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ource Data" sheetId="2" state="visible" r:id="rId4"/>
    <sheet name="Industry Summary" sheetId="3" state="visible" r:id="rId5"/>
    <sheet name="Leave Gap Analysis" sheetId="4" state="visible" r:id="rId6"/>
  </sheets>
  <definedNames>
    <definedName function="false" hidden="true" localSheetId="2" name="_xlnm._FilterDatabase" vbProcedure="false">'Industry Summary'!$A$4:$N$190</definedName>
    <definedName function="false" hidden="true" localSheetId="3" name="_xlnm._FilterDatabase" vbProcedure="false">'Leave Gap Analysis'!$A$4:$F$1605</definedName>
    <definedName function="false" hidden="true" localSheetId="1" name="_xlnm._FilterDatabase" vbProcedure="false">'Source Data'!$A$1:$F$1602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<sst xmlns="http://schemas.openxmlformats.org/spreadsheetml/2006/main" count="3436" uniqueCount="1827">
  <si>
    <t xml:space="preserve">Parental Leave Dataset — Overall Summary</t>
  </si>
  <si>
    <t xml:space="preserve">Total companies analyzed</t>
  </si>
  <si>
    <t xml:space="preserve">Number of industries represented</t>
  </si>
  <si>
    <t xml:space="preserve">Leave Type</t>
  </si>
  <si>
    <t xml:space="preserve">Average (weeks)</t>
  </si>
  <si>
    <t xml:space="preserve">Min (weeks)</t>
  </si>
  <si>
    <t xml:space="preserve">Max (weeks)</t>
  </si>
  <si>
    <t xml:space="preserve">Companies Reporting</t>
  </si>
  <si>
    <t xml:space="preserve">Paid Maternity Leave</t>
  </si>
  <si>
    <t xml:space="preserve">Unpaid Maternity Leave</t>
  </si>
  <si>
    <t xml:space="preserve">Paid Paternity Leave</t>
  </si>
  <si>
    <t xml:space="preserve">Unpaid Paternity Leave</t>
  </si>
  <si>
    <t xml:space="preserve">Assumptions &amp; Notes:</t>
  </si>
  <si>
    <t xml:space="preserve">- Leave figures are expressed in weeks.</t>
  </si>
  <si>
    <t xml:space="preserve">- Averages/Min/Max are computed only over companies that reported that leave type; blank cells are ignored by AVERAGE/MIN/MAX/COUNT.</t>
  </si>
  <si>
    <t xml:space="preserve">- 3 companies (ASML, INK Communications Co., Rokt) had a blank Industry and are grouped as 'Unknown' in the Industry Summary sheet.</t>
  </si>
  <si>
    <t xml:space="preserve">- In the Leave Gap Analysis sheet, a blank paid-leave value is treated as 0 weeks so a gap can be computed for every company.</t>
  </si>
  <si>
    <t xml:space="preserve">- Source: parental_leave.csv, 1601 company rows (originally read as Latin-1 encoded CSV with trailing empty columns removed).</t>
  </si>
  <si>
    <t xml:space="preserve">Company</t>
  </si>
  <si>
    <t xml:space="preserve">Industry</t>
  </si>
  <si>
    <t xml:space="preserve">Epsilon</t>
  </si>
  <si>
    <t xml:space="preserve">Advertising</t>
  </si>
  <si>
    <t xml:space="preserve">The Walt Disney Company</t>
  </si>
  <si>
    <t xml:space="preserve">Arts &amp; Entertainment</t>
  </si>
  <si>
    <t xml:space="preserve">Guild Education</t>
  </si>
  <si>
    <t xml:space="preserve">Business Services: Other</t>
  </si>
  <si>
    <t xml:space="preserve">WeWork</t>
  </si>
  <si>
    <t xml:space="preserve">Randstad USA</t>
  </si>
  <si>
    <t xml:space="preserve">Business Services: Staffing &amp; Outsourcing</t>
  </si>
  <si>
    <t xml:space="preserve">Bain &amp; Company</t>
  </si>
  <si>
    <t xml:space="preserve">Consulting Services</t>
  </si>
  <si>
    <t xml:space="preserve">World 50</t>
  </si>
  <si>
    <t xml:space="preserve">ConAgra Foods, Inc.</t>
  </si>
  <si>
    <t xml:space="preserve">Consumer Packaged Goods: Packaged Foods</t>
  </si>
  <si>
    <t xml:space="preserve">Anduril Industries</t>
  </si>
  <si>
    <t xml:space="preserve">Defense &amp; Space</t>
  </si>
  <si>
    <t xml:space="preserve">Northrop Grumman</t>
  </si>
  <si>
    <t xml:space="preserve">The University of Vermont</t>
  </si>
  <si>
    <t xml:space="preserve">Educational Services: College &amp; Universities</t>
  </si>
  <si>
    <t xml:space="preserve">Belden</t>
  </si>
  <si>
    <t xml:space="preserve">Electronics: Manufacturing</t>
  </si>
  <si>
    <t xml:space="preserve">Motorola Solutions</t>
  </si>
  <si>
    <t xml:space="preserve">MFS Investment Management</t>
  </si>
  <si>
    <t xml:space="preserve">Finance: Asset Management</t>
  </si>
  <si>
    <t xml:space="preserve">PIMCO</t>
  </si>
  <si>
    <t xml:space="preserve">Sandia National Laboratories</t>
  </si>
  <si>
    <t xml:space="preserve">Government: Contractor</t>
  </si>
  <si>
    <t xml:space="preserve">Los Angeles County</t>
  </si>
  <si>
    <t xml:space="preserve">Government: County</t>
  </si>
  <si>
    <t xml:space="preserve">Federal Reserve Bank of Chicago</t>
  </si>
  <si>
    <t xml:space="preserve">Government: Federal</t>
  </si>
  <si>
    <t xml:space="preserve">Southern Health Partners</t>
  </si>
  <si>
    <t xml:space="preserve">Healthcare: Diversified</t>
  </si>
  <si>
    <t xml:space="preserve">Denver Health Medical Center</t>
  </si>
  <si>
    <t xml:space="preserve">Healthcare: Hospitals &amp; Clinics</t>
  </si>
  <si>
    <t xml:space="preserve">Kohler Co.</t>
  </si>
  <si>
    <t xml:space="preserve">Industrial: Equipment Manufacturing</t>
  </si>
  <si>
    <t xml:space="preserve">UnitedHealth Group</t>
  </si>
  <si>
    <t xml:space="preserve">Insurance: Health</t>
  </si>
  <si>
    <t xml:space="preserve">TEGNA</t>
  </si>
  <si>
    <t xml:space="preserve">Media: Television</t>
  </si>
  <si>
    <t xml:space="preserve">BHP Billiton Ltd.</t>
  </si>
  <si>
    <t xml:space="preserve">Natural Resources: Metals &amp; Mining</t>
  </si>
  <si>
    <t xml:space="preserve">Roman Catholic Archdiocese of Philadelphia</t>
  </si>
  <si>
    <t xml:space="preserve">Nonprofit: Religious</t>
  </si>
  <si>
    <t xml:space="preserve">Bristol Myers Squibb</t>
  </si>
  <si>
    <t xml:space="preserve">Pharmaceutical</t>
  </si>
  <si>
    <t xml:space="preserve">Walgreens</t>
  </si>
  <si>
    <t xml:space="preserve">Pharmacies &amp; Drug Stores</t>
  </si>
  <si>
    <t xml:space="preserve">Invitation Homes</t>
  </si>
  <si>
    <t xml:space="preserve">Real Estate</t>
  </si>
  <si>
    <t xml:space="preserve">Cushman &amp; Wakefield</t>
  </si>
  <si>
    <t xml:space="preserve">Real Estate: Development &amp; Management</t>
  </si>
  <si>
    <t xml:space="preserve">L Brands, Inc.</t>
  </si>
  <si>
    <t xml:space="preserve">Retail: Shoes, Accessories and Apparel</t>
  </si>
  <si>
    <t xml:space="preserve">Chronosphere</t>
  </si>
  <si>
    <t xml:space="preserve">Technology: B2B Tech Services</t>
  </si>
  <si>
    <t xml:space="preserve">Dropbox</t>
  </si>
  <si>
    <t xml:space="preserve">Technology: Consumer Internet</t>
  </si>
  <si>
    <t xml:space="preserve">Fairygodboss Inc.</t>
  </si>
  <si>
    <t xml:space="preserve">SiriusXM &amp; Pandora</t>
  </si>
  <si>
    <t xml:space="preserve">Stack Overflow</t>
  </si>
  <si>
    <t xml:space="preserve">Electronic Arts</t>
  </si>
  <si>
    <t xml:space="preserve">Technology: Gaming</t>
  </si>
  <si>
    <t xml:space="preserve">Ginkgo Bioworks</t>
  </si>
  <si>
    <t xml:space="preserve">Technology: Research</t>
  </si>
  <si>
    <t xml:space="preserve">Avalara</t>
  </si>
  <si>
    <t xml:space="preserve">Technology: Software</t>
  </si>
  <si>
    <t xml:space="preserve">Cornerstone OnDemand</t>
  </si>
  <si>
    <t xml:space="preserve">ExamSoft Worldwide, Inc.</t>
  </si>
  <si>
    <t xml:space="preserve">Medidata Solutions</t>
  </si>
  <si>
    <t xml:space="preserve">Sulzer US, LLC</t>
  </si>
  <si>
    <t xml:space="preserve">Thryv</t>
  </si>
  <si>
    <t xml:space="preserve">T-Mobile</t>
  </si>
  <si>
    <t xml:space="preserve">Telecommunications</t>
  </si>
  <si>
    <t xml:space="preserve">CBIZ</t>
  </si>
  <si>
    <t xml:space="preserve">Accounting Services</t>
  </si>
  <si>
    <t xml:space="preserve">CliftonLarsonAllen</t>
  </si>
  <si>
    <t xml:space="preserve">Forvis</t>
  </si>
  <si>
    <t xml:space="preserve">Grant Thornton</t>
  </si>
  <si>
    <t xml:space="preserve">RSM US</t>
  </si>
  <si>
    <t xml:space="preserve">LiveRamp</t>
  </si>
  <si>
    <t xml:space="preserve">Boeing</t>
  </si>
  <si>
    <t xml:space="preserve">Aerospace</t>
  </si>
  <si>
    <t xml:space="preserve">Cessna Aircraft Company</t>
  </si>
  <si>
    <t xml:space="preserve">Collins Aerospace</t>
  </si>
  <si>
    <t xml:space="preserve">Lockheed Martin Corporation</t>
  </si>
  <si>
    <t xml:space="preserve">FCA US LLC</t>
  </si>
  <si>
    <t xml:space="preserve">Automotive: Manufacturers</t>
  </si>
  <si>
    <t xml:space="preserve">Ford Motor Company</t>
  </si>
  <si>
    <t xml:space="preserve">General Motors</t>
  </si>
  <si>
    <t xml:space="preserve">Toyota North America</t>
  </si>
  <si>
    <t xml:space="preserve">Johnson Controls</t>
  </si>
  <si>
    <t xml:space="preserve">Automotive: Parts Manufacturing</t>
  </si>
  <si>
    <t xml:space="preserve">ADP</t>
  </si>
  <si>
    <t xml:space="preserve">Business Services: Human Resources</t>
  </si>
  <si>
    <t xml:space="preserve">IHS Markit Ltd.</t>
  </si>
  <si>
    <t xml:space="preserve">Samsung Research America</t>
  </si>
  <si>
    <t xml:space="preserve">Adecco Group North America</t>
  </si>
  <si>
    <t xml:space="preserve">CGI</t>
  </si>
  <si>
    <t xml:space="preserve">Business Services: Technology Solutions</t>
  </si>
  <si>
    <t xml:space="preserve">Paychex</t>
  </si>
  <si>
    <t xml:space="preserve">Ecolab, Inc.</t>
  </si>
  <si>
    <t xml:space="preserve">Conglomerate</t>
  </si>
  <si>
    <t xml:space="preserve">Siemens</t>
  </si>
  <si>
    <t xml:space="preserve">84.51¡</t>
  </si>
  <si>
    <t xml:space="preserve">Boston Consulting Group</t>
  </si>
  <si>
    <t xml:space="preserve">Deloitte</t>
  </si>
  <si>
    <t xml:space="preserve">KPMG</t>
  </si>
  <si>
    <t xml:space="preserve">McKinsey &amp; Company</t>
  </si>
  <si>
    <t xml:space="preserve">Pariveda</t>
  </si>
  <si>
    <t xml:space="preserve">Protiviti</t>
  </si>
  <si>
    <t xml:space="preserve">Slalom</t>
  </si>
  <si>
    <t xml:space="preserve">Campari America</t>
  </si>
  <si>
    <t xml:space="preserve">Consumer Packaged Goods: Beverages</t>
  </si>
  <si>
    <t xml:space="preserve">Miller Coors</t>
  </si>
  <si>
    <t xml:space="preserve">General Mills</t>
  </si>
  <si>
    <t xml:space="preserve">Mondelez International, Inc.</t>
  </si>
  <si>
    <t xml:space="preserve">Johnson &amp; Johnson</t>
  </si>
  <si>
    <t xml:space="preserve">Consumer Packaged Goods: Packaged Products</t>
  </si>
  <si>
    <t xml:space="preserve">Reckitt Benckiser</t>
  </si>
  <si>
    <t xml:space="preserve">Unilever</t>
  </si>
  <si>
    <t xml:space="preserve">Hasbro Inc.</t>
  </si>
  <si>
    <t xml:space="preserve">Consumer Packaged Goods: Toys &amp; Baby Products</t>
  </si>
  <si>
    <t xml:space="preserve">L'Oral USA</t>
  </si>
  <si>
    <t xml:space="preserve">Cosmetics</t>
  </si>
  <si>
    <t xml:space="preserve">Raytheon Technologies</t>
  </si>
  <si>
    <t xml:space="preserve">Rice University</t>
  </si>
  <si>
    <t xml:space="preserve">University of Minnesota</t>
  </si>
  <si>
    <t xml:space="preserve">Walden University</t>
  </si>
  <si>
    <t xml:space="preserve">Cengage Learning</t>
  </si>
  <si>
    <t xml:space="preserve">Educational Services: E-Learning</t>
  </si>
  <si>
    <t xml:space="preserve">Samsung Electronics</t>
  </si>
  <si>
    <t xml:space="preserve">Apollo Global Management</t>
  </si>
  <si>
    <t xml:space="preserve">Capital Group</t>
  </si>
  <si>
    <t xml:space="preserve">Merrill</t>
  </si>
  <si>
    <t xml:space="preserve">Discover Financial Services</t>
  </si>
  <si>
    <t xml:space="preserve">Finance: Credit &amp; Fund Services</t>
  </si>
  <si>
    <t xml:space="preserve">Mastercard</t>
  </si>
  <si>
    <t xml:space="preserve">Ally Financial</t>
  </si>
  <si>
    <t xml:space="preserve">Finance: Diversified</t>
  </si>
  <si>
    <t xml:space="preserve">Ameriprise Financial</t>
  </si>
  <si>
    <t xml:space="preserve">Charles Schwab</t>
  </si>
  <si>
    <t xml:space="preserve">Citigroup</t>
  </si>
  <si>
    <t xml:space="preserve">Deutsche Bank</t>
  </si>
  <si>
    <t xml:space="preserve">DTCC</t>
  </si>
  <si>
    <t xml:space="preserve">Goldman Sachs</t>
  </si>
  <si>
    <t xml:space="preserve">Macquarie Group</t>
  </si>
  <si>
    <t xml:space="preserve">Northern Trust</t>
  </si>
  <si>
    <t xml:space="preserve">Raymond James</t>
  </si>
  <si>
    <t xml:space="preserve">RBC Wealth Management</t>
  </si>
  <si>
    <t xml:space="preserve">Silicon Valley Bank</t>
  </si>
  <si>
    <t xml:space="preserve">UBS</t>
  </si>
  <si>
    <t xml:space="preserve">Wells Fargo</t>
  </si>
  <si>
    <t xml:space="preserve">William Blair</t>
  </si>
  <si>
    <t xml:space="preserve">SoFi</t>
  </si>
  <si>
    <t xml:space="preserve">Finance: Loans</t>
  </si>
  <si>
    <t xml:space="preserve">PNC Financial Services Group</t>
  </si>
  <si>
    <t xml:space="preserve">Finance: Personal &amp; Commercial Banking</t>
  </si>
  <si>
    <t xml:space="preserve">TD Bank</t>
  </si>
  <si>
    <t xml:space="preserve">TIAA Bank</t>
  </si>
  <si>
    <t xml:space="preserve">OECD</t>
  </si>
  <si>
    <t xml:space="preserve">Government: International</t>
  </si>
  <si>
    <t xml:space="preserve">Banfield Pet Hospital</t>
  </si>
  <si>
    <t xml:space="preserve">Healthcare: Animal Health</t>
  </si>
  <si>
    <t xml:space="preserve">Illumina</t>
  </si>
  <si>
    <t xml:space="preserve">Healthcare: Biotechnology</t>
  </si>
  <si>
    <t xml:space="preserve">Thermo Fisher Scientific</t>
  </si>
  <si>
    <t xml:space="preserve">CVS Health</t>
  </si>
  <si>
    <t xml:space="preserve">Fresenius</t>
  </si>
  <si>
    <t xml:space="preserve">Aurora Health Care</t>
  </si>
  <si>
    <t xml:space="preserve">Mayo Clinic</t>
  </si>
  <si>
    <t xml:space="preserve">Universal Health Services, Inc.</t>
  </si>
  <si>
    <t xml:space="preserve">University of Pittsburgh Medical Center</t>
  </si>
  <si>
    <t xml:space="preserve">Quest Diagnostics</t>
  </si>
  <si>
    <t xml:space="preserve">Healthcare: Laboratory Testing</t>
  </si>
  <si>
    <t xml:space="preserve">Becton, Dickinson and Company</t>
  </si>
  <si>
    <t xml:space="preserve">Healthcare: Medical Devices</t>
  </si>
  <si>
    <t xml:space="preserve">Medtronic</t>
  </si>
  <si>
    <t xml:space="preserve">Zimmer Biomet</t>
  </si>
  <si>
    <t xml:space="preserve">Flatiron Health</t>
  </si>
  <si>
    <t xml:space="preserve">Healthcare: Telemedicine</t>
  </si>
  <si>
    <t xml:space="preserve">Choice Hotels</t>
  </si>
  <si>
    <t xml:space="preserve">Hospitality: Hotels</t>
  </si>
  <si>
    <t xml:space="preserve">Marriott International</t>
  </si>
  <si>
    <t xml:space="preserve">McDonald's</t>
  </si>
  <si>
    <t xml:space="preserve">Hospitality: Restaurants</t>
  </si>
  <si>
    <t xml:space="preserve">Starbucks</t>
  </si>
  <si>
    <t xml:space="preserve">Perkins + Will</t>
  </si>
  <si>
    <t xml:space="preserve">Industrial: Architecture &amp; Design</t>
  </si>
  <si>
    <t xml:space="preserve">Owens Corning</t>
  </si>
  <si>
    <t xml:space="preserve">Industrial: Building Materials Manufacturing</t>
  </si>
  <si>
    <t xml:space="preserve">Power Home Remodeling</t>
  </si>
  <si>
    <t xml:space="preserve">Industrial: Construction Company</t>
  </si>
  <si>
    <t xml:space="preserve">3M</t>
  </si>
  <si>
    <t xml:space="preserve">Industrial: Diversified</t>
  </si>
  <si>
    <t xml:space="preserve">Parker Hannifin</t>
  </si>
  <si>
    <t xml:space="preserve">BEUMER Group</t>
  </si>
  <si>
    <t xml:space="preserve">Caterpillar</t>
  </si>
  <si>
    <t xml:space="preserve">CNH Industrial America</t>
  </si>
  <si>
    <t xml:space="preserve">Cummins</t>
  </si>
  <si>
    <t xml:space="preserve">Hilti Corporation</t>
  </si>
  <si>
    <t xml:space="preserve">nVent</t>
  </si>
  <si>
    <t xml:space="preserve">Rockwell Automation</t>
  </si>
  <si>
    <t xml:space="preserve">McMaster-Carr</t>
  </si>
  <si>
    <t xml:space="preserve">Industrial: Other</t>
  </si>
  <si>
    <t xml:space="preserve">Argus Media</t>
  </si>
  <si>
    <t xml:space="preserve">Information Services: Diversified</t>
  </si>
  <si>
    <t xml:space="preserve">LAC-Group</t>
  </si>
  <si>
    <t xml:space="preserve">S&amp;P Global</t>
  </si>
  <si>
    <t xml:space="preserve">Information Services: Financial</t>
  </si>
  <si>
    <t xml:space="preserve">DXC Technology</t>
  </si>
  <si>
    <t xml:space="preserve">Information Services: Technology</t>
  </si>
  <si>
    <t xml:space="preserve">Forrester Research</t>
  </si>
  <si>
    <t xml:space="preserve">General Dynamics Information Technology</t>
  </si>
  <si>
    <t xml:space="preserve">AON</t>
  </si>
  <si>
    <t xml:space="preserve">Insurance: Diversified</t>
  </si>
  <si>
    <t xml:space="preserve">Aetna</t>
  </si>
  <si>
    <t xml:space="preserve">Health Care Service Corporation</t>
  </si>
  <si>
    <t xml:space="preserve">Highmark Inc.</t>
  </si>
  <si>
    <t xml:space="preserve">Humana</t>
  </si>
  <si>
    <t xml:space="preserve">Kaiser Permanente</t>
  </si>
  <si>
    <t xml:space="preserve">Combined Insurance</t>
  </si>
  <si>
    <t xml:space="preserve">Insurance: Life</t>
  </si>
  <si>
    <t xml:space="preserve">Root Insurance</t>
  </si>
  <si>
    <t xml:space="preserve">Insurance: Property &amp; Casualty</t>
  </si>
  <si>
    <t xml:space="preserve">State Farm</t>
  </si>
  <si>
    <t xml:space="preserve">The Hanover Insurance Group</t>
  </si>
  <si>
    <t xml:space="preserve">Holland &amp; Knight LLP</t>
  </si>
  <si>
    <t xml:space="preserve">Law Firm</t>
  </si>
  <si>
    <t xml:space="preserve">Orrick, Herrington &amp; Sutcliffe LLP</t>
  </si>
  <si>
    <t xml:space="preserve">Expedia Group</t>
  </si>
  <si>
    <t xml:space="preserve">Leisure, Travel &amp; Tourism</t>
  </si>
  <si>
    <t xml:space="preserve">WarnerMedia</t>
  </si>
  <si>
    <t xml:space="preserve">Media: Diversified</t>
  </si>
  <si>
    <t xml:space="preserve">Cargill</t>
  </si>
  <si>
    <t xml:space="preserve">Natural Resources: Agriculture and Food Processing</t>
  </si>
  <si>
    <t xml:space="preserve">Air Liquide</t>
  </si>
  <si>
    <t xml:space="preserve">Natural Resources: Chemicals</t>
  </si>
  <si>
    <t xml:space="preserve">Dow</t>
  </si>
  <si>
    <t xml:space="preserve">Ineos</t>
  </si>
  <si>
    <t xml:space="preserve">Ingevity Corporation</t>
  </si>
  <si>
    <t xml:space="preserve">PolyOne Corporation</t>
  </si>
  <si>
    <t xml:space="preserve">Consumers Energy</t>
  </si>
  <si>
    <t xml:space="preserve">Natural Resources: Electric &amp; Gas Utility</t>
  </si>
  <si>
    <t xml:space="preserve">NextEra Energy</t>
  </si>
  <si>
    <t xml:space="preserve">Natural Resources: Electric Power Generation</t>
  </si>
  <si>
    <t xml:space="preserve">Chevron</t>
  </si>
  <si>
    <t xml:space="preserve">Natural Resources: Oil &amp; Gas</t>
  </si>
  <si>
    <t xml:space="preserve">Phillips 66</t>
  </si>
  <si>
    <t xml:space="preserve">Range Resources</t>
  </si>
  <si>
    <t xml:space="preserve">American Water</t>
  </si>
  <si>
    <t xml:space="preserve">Natural Resources: Renewables &amp; Environment</t>
  </si>
  <si>
    <t xml:space="preserve">Make-A-Wish Foundation</t>
  </si>
  <si>
    <t xml:space="preserve">Nonprofit: Charity</t>
  </si>
  <si>
    <t xml:space="preserve">Wikimedia Foundation</t>
  </si>
  <si>
    <t xml:space="preserve">Nonprofit: Education</t>
  </si>
  <si>
    <t xml:space="preserve">Girl Scouts of the USA</t>
  </si>
  <si>
    <t xml:space="preserve">Nonprofit: Human Rights Advocacy</t>
  </si>
  <si>
    <t xml:space="preserve">RAND Corporation</t>
  </si>
  <si>
    <t xml:space="preserve">Nonprofit: Public Policy</t>
  </si>
  <si>
    <t xml:space="preserve">The MITRE Corporation</t>
  </si>
  <si>
    <t xml:space="preserve">Nonprofit: Research</t>
  </si>
  <si>
    <t xml:space="preserve">Abbott Nutrition</t>
  </si>
  <si>
    <t xml:space="preserve">GlaxoSmithKline</t>
  </si>
  <si>
    <t xml:space="preserve">McKesson</t>
  </si>
  <si>
    <t xml:space="preserve">Vertex Pharmaceuticals</t>
  </si>
  <si>
    <t xml:space="preserve">Bill and Melinda Gates Foundation</t>
  </si>
  <si>
    <t xml:space="preserve">Philanthropy</t>
  </si>
  <si>
    <t xml:space="preserve">MOO</t>
  </si>
  <si>
    <t xml:space="preserve">Printing</t>
  </si>
  <si>
    <t xml:space="preserve">Elsevier</t>
  </si>
  <si>
    <t xml:space="preserve">Publishing</t>
  </si>
  <si>
    <t xml:space="preserve">Wiley Publishing</t>
  </si>
  <si>
    <t xml:space="preserve">Bidwells LLP</t>
  </si>
  <si>
    <t xml:space="preserve">Real Estate: Other</t>
  </si>
  <si>
    <t xml:space="preserve">Realtor.com</t>
  </si>
  <si>
    <t xml:space="preserve">Kohl's</t>
  </si>
  <si>
    <t xml:space="preserve">Retail: Department Store</t>
  </si>
  <si>
    <t xml:space="preserve">Home Depot</t>
  </si>
  <si>
    <t xml:space="preserve">Retail: Furniture &amp; Home Improvement</t>
  </si>
  <si>
    <t xml:space="preserve">Wayfair</t>
  </si>
  <si>
    <t xml:space="preserve">Columbia Sportswear</t>
  </si>
  <si>
    <t xml:space="preserve">Luxottica Group SpA</t>
  </si>
  <si>
    <t xml:space="preserve">Target</t>
  </si>
  <si>
    <t xml:space="preserve">Meijer</t>
  </si>
  <si>
    <t xml:space="preserve">Retail: Supermarket Company</t>
  </si>
  <si>
    <t xml:space="preserve">Publix Super Markets</t>
  </si>
  <si>
    <t xml:space="preserve">Athenahealth</t>
  </si>
  <si>
    <t xml:space="preserve">CDW Corporation</t>
  </si>
  <si>
    <t xml:space="preserve">Cerner Corporation</t>
  </si>
  <si>
    <t xml:space="preserve">Elastic</t>
  </si>
  <si>
    <t xml:space="preserve">Equinix</t>
  </si>
  <si>
    <t xml:space="preserve">Hewlett Packard Enterprise</t>
  </si>
  <si>
    <t xml:space="preserve">Tata Consultancy Services</t>
  </si>
  <si>
    <t xml:space="preserve">Amazon</t>
  </si>
  <si>
    <t xml:space="preserve">Angie's List</t>
  </si>
  <si>
    <t xml:space="preserve">Birchbox</t>
  </si>
  <si>
    <t xml:space="preserve">Box</t>
  </si>
  <si>
    <t xml:space="preserve">eBay</t>
  </si>
  <si>
    <t xml:space="preserve">Glassdoor</t>
  </si>
  <si>
    <t xml:space="preserve">Google</t>
  </si>
  <si>
    <t xml:space="preserve">Indeed</t>
  </si>
  <si>
    <t xml:space="preserve">LinkedIn</t>
  </si>
  <si>
    <t xml:space="preserve">Tinder</t>
  </si>
  <si>
    <t xml:space="preserve">Uber</t>
  </si>
  <si>
    <t xml:space="preserve">FIS Global</t>
  </si>
  <si>
    <t xml:space="preserve">Technology: Financial Services</t>
  </si>
  <si>
    <t xml:space="preserve">Jack Henry</t>
  </si>
  <si>
    <t xml:space="preserve">Personal Capital</t>
  </si>
  <si>
    <t xml:space="preserve">Zwift</t>
  </si>
  <si>
    <t xml:space="preserve">Zynga</t>
  </si>
  <si>
    <t xml:space="preserve">Apple</t>
  </si>
  <si>
    <t xml:space="preserve">Technology: Manufacturing</t>
  </si>
  <si>
    <t xml:space="preserve">Cisco</t>
  </si>
  <si>
    <t xml:space="preserve">Dell Technologies</t>
  </si>
  <si>
    <t xml:space="preserve">Garmin</t>
  </si>
  <si>
    <t xml:space="preserve">IBM</t>
  </si>
  <si>
    <t xml:space="preserve">Intel Corporation</t>
  </si>
  <si>
    <t xml:space="preserve">Western Digital</t>
  </si>
  <si>
    <t xml:space="preserve">VISA</t>
  </si>
  <si>
    <t xml:space="preserve">Technology: Payments</t>
  </si>
  <si>
    <t xml:space="preserve">Waters Corporation</t>
  </si>
  <si>
    <t xml:space="preserve">Forcepoint</t>
  </si>
  <si>
    <t xml:space="preserve">Technology: Security</t>
  </si>
  <si>
    <t xml:space="preserve">Tanium</t>
  </si>
  <si>
    <t xml:space="preserve">Addepar</t>
  </si>
  <si>
    <t xml:space="preserve">Adobe Systems</t>
  </si>
  <si>
    <t xml:space="preserve">Appian</t>
  </si>
  <si>
    <t xml:space="preserve">Calabrio, Inc.</t>
  </si>
  <si>
    <t xml:space="preserve">Epic Systems</t>
  </si>
  <si>
    <t xml:space="preserve">FactSet</t>
  </si>
  <si>
    <t xml:space="preserve">GitHub</t>
  </si>
  <si>
    <t xml:space="preserve">Klaviyo</t>
  </si>
  <si>
    <t xml:space="preserve">Mindbody</t>
  </si>
  <si>
    <t xml:space="preserve">NexJ Systems Inc.</t>
  </si>
  <si>
    <t xml:space="preserve">Pegasystems Inc.</t>
  </si>
  <si>
    <t xml:space="preserve">Qualitest Group</t>
  </si>
  <si>
    <t xml:space="preserve">Salesforce</t>
  </si>
  <si>
    <t xml:space="preserve">ServiceNow</t>
  </si>
  <si>
    <t xml:space="preserve">Slack Technologies</t>
  </si>
  <si>
    <t xml:space="preserve">UKG</t>
  </si>
  <si>
    <t xml:space="preserve">Workiva</t>
  </si>
  <si>
    <t xml:space="preserve">Zendesk, Inc</t>
  </si>
  <si>
    <t xml:space="preserve">DISH</t>
  </si>
  <si>
    <t xml:space="preserve">Lumen</t>
  </si>
  <si>
    <t xml:space="preserve">Spectrum</t>
  </si>
  <si>
    <t xml:space="preserve">Verizon</t>
  </si>
  <si>
    <t xml:space="preserve">Viasat</t>
  </si>
  <si>
    <t xml:space="preserve">Zoom</t>
  </si>
  <si>
    <t xml:space="preserve">FedEx</t>
  </si>
  <si>
    <t xml:space="preserve">Transportation: Couriers &amp; Delivery</t>
  </si>
  <si>
    <t xml:space="preserve">Instacart</t>
  </si>
  <si>
    <t xml:space="preserve">C.H. Robinson</t>
  </si>
  <si>
    <t xml:space="preserve">Transportation: Freight &amp; Logistics</t>
  </si>
  <si>
    <t xml:space="preserve">Virgin Hyperloop One</t>
  </si>
  <si>
    <t xml:space="preserve">Transportation: Rail</t>
  </si>
  <si>
    <t xml:space="preserve">ClassPass</t>
  </si>
  <si>
    <t xml:space="preserve">Wellness &amp; Fitness</t>
  </si>
  <si>
    <t xml:space="preserve">Sysco</t>
  </si>
  <si>
    <t xml:space="preserve">Wholesale</t>
  </si>
  <si>
    <t xml:space="preserve">US Foods</t>
  </si>
  <si>
    <t xml:space="preserve">BerryDunn</t>
  </si>
  <si>
    <t xml:space="preserve">Crowe</t>
  </si>
  <si>
    <t xml:space="preserve">Eisneramper</t>
  </si>
  <si>
    <t xml:space="preserve">Fathom</t>
  </si>
  <si>
    <t xml:space="preserve">Kearney &amp; Company</t>
  </si>
  <si>
    <t xml:space="preserve">Marcum LLP</t>
  </si>
  <si>
    <t xml:space="preserve">Myers &amp; Stauffer LC</t>
  </si>
  <si>
    <t xml:space="preserve">Ryan LLC</t>
  </si>
  <si>
    <t xml:space="preserve">Acceleration Partners</t>
  </si>
  <si>
    <t xml:space="preserve">AdTheorent</t>
  </si>
  <si>
    <t xml:space="preserve">Affinion Group</t>
  </si>
  <si>
    <t xml:space="preserve">Ampersand</t>
  </si>
  <si>
    <t xml:space="preserve">Ansira</t>
  </si>
  <si>
    <t xml:space="preserve">BBDO</t>
  </si>
  <si>
    <t xml:space="preserve">Cares Pro LLC</t>
  </si>
  <si>
    <t xml:space="preserve">Code And Theory</t>
  </si>
  <si>
    <t xml:space="preserve">Constant Contact</t>
  </si>
  <si>
    <t xml:space="preserve">Conversant Media</t>
  </si>
  <si>
    <t xml:space="preserve">Create NYC</t>
  </si>
  <si>
    <t xml:space="preserve">DIGO</t>
  </si>
  <si>
    <t xml:space="preserve">Essence Digital</t>
  </si>
  <si>
    <t xml:space="preserve">Goodway Group</t>
  </si>
  <si>
    <t xml:space="preserve">Hawkeye Agency</t>
  </si>
  <si>
    <t xml:space="preserve">Hill Holliday</t>
  </si>
  <si>
    <t xml:space="preserve">Hirshorn Zuckerman Design Group</t>
  </si>
  <si>
    <t xml:space="preserve">Hootsuite</t>
  </si>
  <si>
    <t xml:space="preserve">Huge Inc</t>
  </si>
  <si>
    <t xml:space="preserve">Launch Potato</t>
  </si>
  <si>
    <t xml:space="preserve">Media Directions Advertising</t>
  </si>
  <si>
    <t xml:space="preserve">MediaCom</t>
  </si>
  <si>
    <t xml:space="preserve">Monigle</t>
  </si>
  <si>
    <t xml:space="preserve">National Cinemedia</t>
  </si>
  <si>
    <t xml:space="preserve">News America Marketing</t>
  </si>
  <si>
    <t xml:space="preserve">Ogilvy</t>
  </si>
  <si>
    <t xml:space="preserve">Omnicom Media Group</t>
  </si>
  <si>
    <t xml:space="preserve">PGR Media</t>
  </si>
  <si>
    <t xml:space="preserve">Pico</t>
  </si>
  <si>
    <t xml:space="preserve">R/GA</t>
  </si>
  <si>
    <t xml:space="preserve">Radancy</t>
  </si>
  <si>
    <t xml:space="preserve">Radius Intelligence</t>
  </si>
  <si>
    <t xml:space="preserve">ReachLocal</t>
  </si>
  <si>
    <t xml:space="preserve">Saatchi &amp; Saatchi</t>
  </si>
  <si>
    <t xml:space="preserve">SapientRazorfish</t>
  </si>
  <si>
    <t xml:space="preserve">SmartBug Media</t>
  </si>
  <si>
    <t xml:space="preserve">Spectrum Science</t>
  </si>
  <si>
    <t xml:space="preserve">Stage Marketing</t>
  </si>
  <si>
    <t xml:space="preserve">Tag Worldwide</t>
  </si>
  <si>
    <t xml:space="preserve">The Richards Group</t>
  </si>
  <si>
    <t xml:space="preserve">UNiDAYS</t>
  </si>
  <si>
    <t xml:space="preserve">VaynerMedia</t>
  </si>
  <si>
    <t xml:space="preserve">Wavemaker</t>
  </si>
  <si>
    <t xml:space="preserve">Wunderman DC</t>
  </si>
  <si>
    <t xml:space="preserve">Zenith Media</t>
  </si>
  <si>
    <t xml:space="preserve">AMG Research</t>
  </si>
  <si>
    <t xml:space="preserve">Advertising: Market Research</t>
  </si>
  <si>
    <t xml:space="preserve">eMarketer</t>
  </si>
  <si>
    <t xml:space="preserve">Hanover Research</t>
  </si>
  <si>
    <t xml:space="preserve">Acubed</t>
  </si>
  <si>
    <t xml:space="preserve">Honeywell Aerospace</t>
  </si>
  <si>
    <t xml:space="preserve">Pratt &amp; Whitney</t>
  </si>
  <si>
    <t xml:space="preserve">SpaceX</t>
  </si>
  <si>
    <t xml:space="preserve">Boston Ballet</t>
  </si>
  <si>
    <t xml:space="preserve">Creative Artists Agency</t>
  </si>
  <si>
    <t xml:space="preserve">Disney Streaming Services</t>
  </si>
  <si>
    <t xml:space="preserve">GoDigital Media Group</t>
  </si>
  <si>
    <t xml:space="preserve">LaneOne</t>
  </si>
  <si>
    <t xml:space="preserve">Live Nation</t>
  </si>
  <si>
    <t xml:space="preserve">Camping World</t>
  </si>
  <si>
    <t xml:space="preserve">Automotive: Dealers</t>
  </si>
  <si>
    <t xml:space="preserve">Young Automotive Group</t>
  </si>
  <si>
    <t xml:space="preserve">Aptiv PLC</t>
  </si>
  <si>
    <t xml:space="preserve">Mercedes-Benz Research &amp; Development North America</t>
  </si>
  <si>
    <t xml:space="preserve">Advance Auto Parts</t>
  </si>
  <si>
    <t xml:space="preserve">Automotive: Parts</t>
  </si>
  <si>
    <t xml:space="preserve">Bendix Commercial Vehicle Systems</t>
  </si>
  <si>
    <t xml:space="preserve">Bridgestone Corporation</t>
  </si>
  <si>
    <t xml:space="preserve">Continental</t>
  </si>
  <si>
    <t xml:space="preserve">Donaldson Company, Inc.</t>
  </si>
  <si>
    <t xml:space="preserve">Michelin</t>
  </si>
  <si>
    <t xml:space="preserve">Valvoline</t>
  </si>
  <si>
    <t xml:space="preserve">Automotive: Products &amp; Services</t>
  </si>
  <si>
    <t xml:space="preserve">Aramark</t>
  </si>
  <si>
    <t xml:space="preserve">Business Services: Food &amp; Hospitality</t>
  </si>
  <si>
    <t xml:space="preserve">Cintas Corporation</t>
  </si>
  <si>
    <t xml:space="preserve">ADP Canada Inc</t>
  </si>
  <si>
    <t xml:space="preserve">ADP India</t>
  </si>
  <si>
    <t xml:space="preserve">ADP Philippines</t>
  </si>
  <si>
    <t xml:space="preserve">ADP UK</t>
  </si>
  <si>
    <t xml:space="preserve">ACA Compliance Group</t>
  </si>
  <si>
    <t xml:space="preserve">BDO USA, LLP</t>
  </si>
  <si>
    <t xml:space="preserve">Brabo Payroll</t>
  </si>
  <si>
    <t xml:space="preserve">Cardlytics</t>
  </si>
  <si>
    <t xml:space="preserve">Cians Analytics</t>
  </si>
  <si>
    <t xml:space="preserve">CoStar Group</t>
  </si>
  <si>
    <t xml:space="preserve">Deluxe Corporation</t>
  </si>
  <si>
    <t xml:space="preserve">EveryDay Labs</t>
  </si>
  <si>
    <t xml:space="preserve">Flexport</t>
  </si>
  <si>
    <t xml:space="preserve">LexisNexis Risk Solutions Group</t>
  </si>
  <si>
    <t xml:space="preserve">LGC Standards</t>
  </si>
  <si>
    <t xml:space="preserve">LOTH, Inc.</t>
  </si>
  <si>
    <t xml:space="preserve">MIC Global Services</t>
  </si>
  <si>
    <t xml:space="preserve">Moody's Analytics</t>
  </si>
  <si>
    <t xml:space="preserve">Nuclear Energy Institute</t>
  </si>
  <si>
    <t xml:space="preserve">SmithBucklin</t>
  </si>
  <si>
    <t xml:space="preserve">The Larkin Company</t>
  </si>
  <si>
    <t xml:space="preserve">Ticketmaster</t>
  </si>
  <si>
    <t xml:space="preserve">UL LLC</t>
  </si>
  <si>
    <t xml:space="preserve">United States Chamber of Commerce</t>
  </si>
  <si>
    <t xml:space="preserve">247 Private Security</t>
  </si>
  <si>
    <t xml:space="preserve">Business Services: Security</t>
  </si>
  <si>
    <t xml:space="preserve">Allied Universal</t>
  </si>
  <si>
    <t xml:space="preserve">Vivint</t>
  </si>
  <si>
    <t xml:space="preserve">24-7 Intouch</t>
  </si>
  <si>
    <t xml:space="preserve">Aerotek, Inc.</t>
  </si>
  <si>
    <t xml:space="preserve">Beetroot</t>
  </si>
  <si>
    <t xml:space="preserve">Caastle</t>
  </si>
  <si>
    <t xml:space="preserve">Concurrent HRO</t>
  </si>
  <si>
    <t xml:space="preserve">Cyberbacker PH</t>
  </si>
  <si>
    <t xml:space="preserve">Daversa Partners</t>
  </si>
  <si>
    <t xml:space="preserve">Hays</t>
  </si>
  <si>
    <t xml:space="preserve">Kforce</t>
  </si>
  <si>
    <t xml:space="preserve">Manpower</t>
  </si>
  <si>
    <t xml:space="preserve">Marketsource</t>
  </si>
  <si>
    <t xml:space="preserve">MarketStar</t>
  </si>
  <si>
    <t xml:space="preserve">Maxim Healthcare Services</t>
  </si>
  <si>
    <t xml:space="preserve">nFuzion</t>
  </si>
  <si>
    <t xml:space="preserve">Norwin Technologies</t>
  </si>
  <si>
    <t xml:space="preserve">Populus Group</t>
  </si>
  <si>
    <t xml:space="preserve">Randstad Sourceright</t>
  </si>
  <si>
    <t xml:space="preserve">Recruitics</t>
  </si>
  <si>
    <t xml:space="preserve">Robert Half</t>
  </si>
  <si>
    <t xml:space="preserve">Rochester Telemessaging Center</t>
  </si>
  <si>
    <t xml:space="preserve">Search Solution Group</t>
  </si>
  <si>
    <t xml:space="preserve">TaskUs</t>
  </si>
  <si>
    <t xml:space="preserve">WilsonHCG</t>
  </si>
  <si>
    <t xml:space="preserve">Alight Solutions</t>
  </si>
  <si>
    <t xml:space="preserve">Allied Telecom Group</t>
  </si>
  <si>
    <t xml:space="preserve">Bazaarvoice</t>
  </si>
  <si>
    <t xml:space="preserve">Broadridge Financial Solutions Group</t>
  </si>
  <si>
    <t xml:space="preserve">CareDox</t>
  </si>
  <si>
    <t xml:space="preserve">Clever Devices</t>
  </si>
  <si>
    <t xml:space="preserve">Galois</t>
  </si>
  <si>
    <t xml:space="preserve">Paya</t>
  </si>
  <si>
    <t xml:space="preserve">Pitney Bowes</t>
  </si>
  <si>
    <t xml:space="preserve">Sprinklr</t>
  </si>
  <si>
    <t xml:space="preserve">Taulia Inc.</t>
  </si>
  <si>
    <t xml:space="preserve">Thoughtworks</t>
  </si>
  <si>
    <t xml:space="preserve">TodayTix</t>
  </si>
  <si>
    <t xml:space="preserve">Sysdig</t>
  </si>
  <si>
    <t xml:space="preserve">Computer &amp; Network Security</t>
  </si>
  <si>
    <t xml:space="preserve">Miro</t>
  </si>
  <si>
    <t xml:space="preserve">Computer Software</t>
  </si>
  <si>
    <t xml:space="preserve">General Electric</t>
  </si>
  <si>
    <t xml:space="preserve">Growmark</t>
  </si>
  <si>
    <t xml:space="preserve">Koch Industries</t>
  </si>
  <si>
    <t xml:space="preserve">Newell Brands</t>
  </si>
  <si>
    <t xml:space="preserve">Reliance Industries, Ltd</t>
  </si>
  <si>
    <t xml:space="preserve">Siemens Industry Automation and Drive Technologies</t>
  </si>
  <si>
    <t xml:space="preserve">Textron Inc.</t>
  </si>
  <si>
    <t xml:space="preserve">Accenture</t>
  </si>
  <si>
    <t xml:space="preserve">Alvarez &amp; Marsal</t>
  </si>
  <si>
    <t xml:space="preserve">Arc Aspicio</t>
  </si>
  <si>
    <t xml:space="preserve">Artemis Connection</t>
  </si>
  <si>
    <t xml:space="preserve">AustinCSI</t>
  </si>
  <si>
    <t xml:space="preserve">BSR (Business for Social Responsibility)</t>
  </si>
  <si>
    <t xml:space="preserve">Capco</t>
  </si>
  <si>
    <t xml:space="preserve">Capgemini</t>
  </si>
  <si>
    <t xml:space="preserve">Credera</t>
  </si>
  <si>
    <t xml:space="preserve">Dalberg</t>
  </si>
  <si>
    <t xml:space="preserve">Dexis Consulting Group</t>
  </si>
  <si>
    <t xml:space="preserve">FTI Consulting</t>
  </si>
  <si>
    <t xml:space="preserve">GHD Group Pty Ltd</t>
  </si>
  <si>
    <t xml:space="preserve">Guidehouse</t>
  </si>
  <si>
    <t xml:space="preserve">Heidrick &amp; Struggles</t>
  </si>
  <si>
    <t xml:space="preserve">Indigo Ag</t>
  </si>
  <si>
    <t xml:space="preserve">Intentional Futures</t>
  </si>
  <si>
    <t xml:space="preserve">Jasper Colin Research</t>
  </si>
  <si>
    <t xml:space="preserve">Macro Consultants LLC</t>
  </si>
  <si>
    <t xml:space="preserve">Mead &amp; Hunt</t>
  </si>
  <si>
    <t xml:space="preserve">MSA Worldwide</t>
  </si>
  <si>
    <t xml:space="preserve">MTX Group Inc</t>
  </si>
  <si>
    <t xml:space="preserve">Navigant Consulting</t>
  </si>
  <si>
    <t xml:space="preserve">Novantas Inc.</t>
  </si>
  <si>
    <t xml:space="preserve">NTT DATA Services</t>
  </si>
  <si>
    <t xml:space="preserve">O.C. Tanner</t>
  </si>
  <si>
    <t xml:space="preserve">OC&amp;C Strategy Consultants</t>
  </si>
  <si>
    <t xml:space="preserve">Oliver Wyman</t>
  </si>
  <si>
    <t xml:space="preserve">Perficient, Inc.</t>
  </si>
  <si>
    <t xml:space="preserve">PwC</t>
  </si>
  <si>
    <t xml:space="preserve">Resource Systems Group</t>
  </si>
  <si>
    <t xml:space="preserve">Search Discovery</t>
  </si>
  <si>
    <t xml:space="preserve">Stride Consulting</t>
  </si>
  <si>
    <t xml:space="preserve">TCG, Inc</t>
  </si>
  <si>
    <t xml:space="preserve">True Group</t>
  </si>
  <si>
    <t xml:space="preserve">West Monroe</t>
  </si>
  <si>
    <t xml:space="preserve">ZS</t>
  </si>
  <si>
    <t xml:space="preserve">Anheuser-Busch InBev</t>
  </si>
  <si>
    <t xml:space="preserve">Beam Suntory</t>
  </si>
  <si>
    <t xml:space="preserve">Boston Beer Company</t>
  </si>
  <si>
    <t xml:space="preserve">Molson Coors Brewing Company</t>
  </si>
  <si>
    <t xml:space="preserve">Nestle Waters</t>
  </si>
  <si>
    <t xml:space="preserve">PepsiCo</t>
  </si>
  <si>
    <t xml:space="preserve">Pernod Ricard</t>
  </si>
  <si>
    <t xml:space="preserve">Ranch Rider Spirits</t>
  </si>
  <si>
    <t xml:space="preserve">The Coca-Cola Company</t>
  </si>
  <si>
    <t xml:space="preserve">Total Wine &amp; More</t>
  </si>
  <si>
    <t xml:space="preserve">Braum's Ice Cream &amp; Dairy Store</t>
  </si>
  <si>
    <t xml:space="preserve">Ajinomoto</t>
  </si>
  <si>
    <t xml:space="preserve">Bimbo Bakeries USA</t>
  </si>
  <si>
    <t xml:space="preserve">Campbell Soup Company</t>
  </si>
  <si>
    <t xml:space="preserve">Frito-Lay</t>
  </si>
  <si>
    <t xml:space="preserve">Impossible Foods</t>
  </si>
  <si>
    <t xml:space="preserve">Lindt &amp; Sprngli</t>
  </si>
  <si>
    <t xml:space="preserve">Nestle</t>
  </si>
  <si>
    <t xml:space="preserve">R. M. Palmer Company</t>
  </si>
  <si>
    <t xml:space="preserve">Taylor Company</t>
  </si>
  <si>
    <t xml:space="preserve">The Coffee Bean &amp; Tea Leaf</t>
  </si>
  <si>
    <t xml:space="preserve">The Dannon Company, Inc.</t>
  </si>
  <si>
    <t xml:space="preserve">The J.M. Smucker Company</t>
  </si>
  <si>
    <t xml:space="preserve">WellPet LLC</t>
  </si>
  <si>
    <t xml:space="preserve">Colgate-Palmolive Company</t>
  </si>
  <si>
    <t xml:space="preserve">Elanco Animal Health</t>
  </si>
  <si>
    <t xml:space="preserve">Henkel</t>
  </si>
  <si>
    <t xml:space="preserve">Nestle Purina PetCare Company</t>
  </si>
  <si>
    <t xml:space="preserve">Procter &amp; Gamble</t>
  </si>
  <si>
    <t xml:space="preserve">The Scotts Miracle-Gro Company</t>
  </si>
  <si>
    <t xml:space="preserve">Altria Group, Inc.</t>
  </si>
  <si>
    <t xml:space="preserve">Consumer Packaged Goods: Tobacco</t>
  </si>
  <si>
    <t xml:space="preserve">Reynolds American Inc.</t>
  </si>
  <si>
    <t xml:space="preserve">Munchkin</t>
  </si>
  <si>
    <t xml:space="preserve">Aesop</t>
  </si>
  <si>
    <t xml:space="preserve">Benefit Cosmetics LLC</t>
  </si>
  <si>
    <t xml:space="preserve">Curology</t>
  </si>
  <si>
    <t xml:space="preserve">Edge Systems LLC</t>
  </si>
  <si>
    <t xml:space="preserve">Estee Lauder Companies</t>
  </si>
  <si>
    <t xml:space="preserve">Mac Cosmetics</t>
  </si>
  <si>
    <t xml:space="preserve">Revlon</t>
  </si>
  <si>
    <t xml:space="preserve">BAE Systems</t>
  </si>
  <si>
    <t xml:space="preserve">L3Harris</t>
  </si>
  <si>
    <t xml:space="preserve">Sierra Nevada Corperation</t>
  </si>
  <si>
    <t xml:space="preserve">Textron Systems</t>
  </si>
  <si>
    <t xml:space="preserve">10up</t>
  </si>
  <si>
    <t xml:space="preserve">Design</t>
  </si>
  <si>
    <t xml:space="preserve">Kettle</t>
  </si>
  <si>
    <t xml:space="preserve">Reaktor</t>
  </si>
  <si>
    <t xml:space="preserve">Bard College</t>
  </si>
  <si>
    <t xml:space="preserve">Bryant University</t>
  </si>
  <si>
    <t xml:space="preserve">California State University</t>
  </si>
  <si>
    <t xml:space="preserve">Capella University</t>
  </si>
  <si>
    <t xml:space="preserve">Case Western Reserve University</t>
  </si>
  <si>
    <t xml:space="preserve">Colorado State University</t>
  </si>
  <si>
    <t xml:space="preserve">Columbia University</t>
  </si>
  <si>
    <t xml:space="preserve">Columbia University Information Technology</t>
  </si>
  <si>
    <t xml:space="preserve">Dartmouth College</t>
  </si>
  <si>
    <t xml:space="preserve">Dickinson College</t>
  </si>
  <si>
    <t xml:space="preserve">Duke University</t>
  </si>
  <si>
    <t xml:space="preserve">Ferris State University</t>
  </si>
  <si>
    <t xml:space="preserve">Florida International University</t>
  </si>
  <si>
    <t xml:space="preserve">Georgetown University</t>
  </si>
  <si>
    <t xml:space="preserve">Griffith University</t>
  </si>
  <si>
    <t xml:space="preserve">Harvard Business School</t>
  </si>
  <si>
    <t xml:space="preserve">Harvard University</t>
  </si>
  <si>
    <t xml:space="preserve">Imperial College London</t>
  </si>
  <si>
    <t xml:space="preserve">Indiana University</t>
  </si>
  <si>
    <t xml:space="preserve">IUPUI</t>
  </si>
  <si>
    <t xml:space="preserve">Johns Hopkins University</t>
  </si>
  <si>
    <t xml:space="preserve">Johns Hopkins University Applied Physics Laboratory</t>
  </si>
  <si>
    <t xml:space="preserve">Lasell College</t>
  </si>
  <si>
    <t xml:space="preserve">Marquette University</t>
  </si>
  <si>
    <t xml:space="preserve">Medical University of South Carolina</t>
  </si>
  <si>
    <t xml:space="preserve">New York University</t>
  </si>
  <si>
    <t xml:space="preserve">Northeastern University</t>
  </si>
  <si>
    <t xml:space="preserve">Northwestern University</t>
  </si>
  <si>
    <t xml:space="preserve">NYU School of Medicine</t>
  </si>
  <si>
    <t xml:space="preserve">Rutgers University</t>
  </si>
  <si>
    <t xml:space="preserve">The George Washington University</t>
  </si>
  <si>
    <t xml:space="preserve">The Ohio State University</t>
  </si>
  <si>
    <t xml:space="preserve">Tufts University</t>
  </si>
  <si>
    <t xml:space="preserve">UCLA</t>
  </si>
  <si>
    <t xml:space="preserve">University at Buffalo</t>
  </si>
  <si>
    <t xml:space="preserve">University of Arizona</t>
  </si>
  <si>
    <t xml:space="preserve">University of British Columbia</t>
  </si>
  <si>
    <t xml:space="preserve">University of California Berkeley</t>
  </si>
  <si>
    <t xml:space="preserve">University of Massachusetts Amherst</t>
  </si>
  <si>
    <t xml:space="preserve">University of Michigan</t>
  </si>
  <si>
    <t xml:space="preserve">University of New Hampshire</t>
  </si>
  <si>
    <t xml:space="preserve">University of Notre Dame</t>
  </si>
  <si>
    <t xml:space="preserve">University of Tampa</t>
  </si>
  <si>
    <t xml:space="preserve">Utah State University</t>
  </si>
  <si>
    <t xml:space="preserve">Virgina Commonwealth University</t>
  </si>
  <si>
    <t xml:space="preserve">Webster University</t>
  </si>
  <si>
    <t xml:space="preserve">Wheaton College</t>
  </si>
  <si>
    <t xml:space="preserve">360DigiTMG</t>
  </si>
  <si>
    <t xml:space="preserve">Chegg</t>
  </si>
  <si>
    <t xml:space="preserve">Clever</t>
  </si>
  <si>
    <t xml:space="preserve">Degreed</t>
  </si>
  <si>
    <t xml:space="preserve">Imagine Learning</t>
  </si>
  <si>
    <t xml:space="preserve">Pluralsight</t>
  </si>
  <si>
    <t xml:space="preserve">Renaissance Learning</t>
  </si>
  <si>
    <t xml:space="preserve">Skillcrush</t>
  </si>
  <si>
    <t xml:space="preserve">Soomo Learning</t>
  </si>
  <si>
    <t xml:space="preserve">Zearn</t>
  </si>
  <si>
    <t xml:space="preserve">CIEE</t>
  </si>
  <si>
    <t xml:space="preserve">Educational Services: Management</t>
  </si>
  <si>
    <t xml:space="preserve">General Assembly</t>
  </si>
  <si>
    <t xml:space="preserve">NWEA</t>
  </si>
  <si>
    <t xml:space="preserve">Prince William County Public Schools</t>
  </si>
  <si>
    <t xml:space="preserve">Santa Fe Public Schools</t>
  </si>
  <si>
    <t xml:space="preserve">Teachstone</t>
  </si>
  <si>
    <t xml:space="preserve">The College Board</t>
  </si>
  <si>
    <t xml:space="preserve">ACT, Inc</t>
  </si>
  <si>
    <t xml:space="preserve">Educational Services: Other</t>
  </si>
  <si>
    <t xml:space="preserve">British Council</t>
  </si>
  <si>
    <t xml:space="preserve">Pearson</t>
  </si>
  <si>
    <t xml:space="preserve">Savvas Learning Company</t>
  </si>
  <si>
    <t xml:space="preserve">Texas A&amp;M AgriLife Research</t>
  </si>
  <si>
    <t xml:space="preserve">The Concord Consortium</t>
  </si>
  <si>
    <t xml:space="preserve">KinderCare Learning Companies</t>
  </si>
  <si>
    <t xml:space="preserve">Educational Services: Preschool</t>
  </si>
  <si>
    <t xml:space="preserve">Aperian Global</t>
  </si>
  <si>
    <t xml:space="preserve">Educational Services: Professional Training</t>
  </si>
  <si>
    <t xml:space="preserve">Achievement First</t>
  </si>
  <si>
    <t xml:space="preserve">Educational Services: School</t>
  </si>
  <si>
    <t xml:space="preserve">Cobb County School District</t>
  </si>
  <si>
    <t xml:space="preserve">Curtis Institute of Music</t>
  </si>
  <si>
    <t xml:space="preserve">Henderson Collegiate</t>
  </si>
  <si>
    <t xml:space="preserve">Humble Independent School District</t>
  </si>
  <si>
    <t xml:space="preserve">IDEA Public Schools</t>
  </si>
  <si>
    <t xml:space="preserve">Long Trail School</t>
  </si>
  <si>
    <t xml:space="preserve">San Francisco Unified School District</t>
  </si>
  <si>
    <t xml:space="preserve">The Meadowbrook School of Weston</t>
  </si>
  <si>
    <t xml:space="preserve">Creative Education Services</t>
  </si>
  <si>
    <t xml:space="preserve">Educational Services: Tutoring</t>
  </si>
  <si>
    <t xml:space="preserve">Armada Technologies</t>
  </si>
  <si>
    <t xml:space="preserve">Bose</t>
  </si>
  <si>
    <t xml:space="preserve">Harman International Industries</t>
  </si>
  <si>
    <t xml:space="preserve">iRobot</t>
  </si>
  <si>
    <t xml:space="preserve">Keysight Technologies</t>
  </si>
  <si>
    <t xml:space="preserve">Legrand</t>
  </si>
  <si>
    <t xml:space="preserve">Maxim Integrated Products</t>
  </si>
  <si>
    <t xml:space="preserve">Philips</t>
  </si>
  <si>
    <t xml:space="preserve">Radar</t>
  </si>
  <si>
    <t xml:space="preserve">Sanmina</t>
  </si>
  <si>
    <t xml:space="preserve">Trane Technologies</t>
  </si>
  <si>
    <t xml:space="preserve">Reprise</t>
  </si>
  <si>
    <t xml:space="preserve">Engineering</t>
  </si>
  <si>
    <t xml:space="preserve">Barclays</t>
  </si>
  <si>
    <t xml:space="preserve">Finance</t>
  </si>
  <si>
    <t xml:space="preserve">Progressive Leasing</t>
  </si>
  <si>
    <t xml:space="preserve">Acorns</t>
  </si>
  <si>
    <t xml:space="preserve">AllianceBernstein LP</t>
  </si>
  <si>
    <t xml:space="preserve">American Century Investments</t>
  </si>
  <si>
    <t xml:space="preserve">American Endowment Foundation</t>
  </si>
  <si>
    <t xml:space="preserve">BNY Mellon</t>
  </si>
  <si>
    <t xml:space="preserve">Bridgewater Associates</t>
  </si>
  <si>
    <t xml:space="preserve">Cantella &amp; Co., Inc.</t>
  </si>
  <si>
    <t xml:space="preserve">Citadel</t>
  </si>
  <si>
    <t xml:space="preserve">Coller Capital Ltd.</t>
  </si>
  <si>
    <t xml:space="preserve">DWS</t>
  </si>
  <si>
    <t xml:space="preserve">Fisher Investments</t>
  </si>
  <si>
    <t xml:space="preserve">Gemini Trust Company</t>
  </si>
  <si>
    <t xml:space="preserve">Golub Capital</t>
  </si>
  <si>
    <t xml:space="preserve">Invesco</t>
  </si>
  <si>
    <t xml:space="preserve">North Star Resource Group</t>
  </si>
  <si>
    <t xml:space="preserve">The StepStone Group LP</t>
  </si>
  <si>
    <t xml:space="preserve">TIAA</t>
  </si>
  <si>
    <t xml:space="preserve">TPG Capital</t>
  </si>
  <si>
    <t xml:space="preserve">Trinity Lifetime</t>
  </si>
  <si>
    <t xml:space="preserve">Vanguard Group</t>
  </si>
  <si>
    <t xml:space="preserve">American Express</t>
  </si>
  <si>
    <t xml:space="preserve">American Honda Finance Corp</t>
  </si>
  <si>
    <t xml:space="preserve">Navy Federal Credit Union</t>
  </si>
  <si>
    <t xml:space="preserve">Finance: Credit Unions</t>
  </si>
  <si>
    <t xml:space="preserve">Achieve</t>
  </si>
  <si>
    <t xml:space="preserve">Andrew Davidson &amp; Co</t>
  </si>
  <si>
    <t xml:space="preserve">ASB Bank</t>
  </si>
  <si>
    <t xml:space="preserve">Bank of America</t>
  </si>
  <si>
    <t xml:space="preserve">BB&amp;T Corporation</t>
  </si>
  <si>
    <t xml:space="preserve">BBVA</t>
  </si>
  <si>
    <t xml:space="preserve">BNP Paribas</t>
  </si>
  <si>
    <t xml:space="preserve">Capital One</t>
  </si>
  <si>
    <t xml:space="preserve">CAPTRUST</t>
  </si>
  <si>
    <t xml:space="preserve">CME Group</t>
  </si>
  <si>
    <t xml:space="preserve">Computershare</t>
  </si>
  <si>
    <t xml:space="preserve">Credit Suisse</t>
  </si>
  <si>
    <t xml:space="preserve">Digistream Investigations</t>
  </si>
  <si>
    <t xml:space="preserve">Edward Jones</t>
  </si>
  <si>
    <t xml:space="preserve">Fidelity Investments</t>
  </si>
  <si>
    <t xml:space="preserve">First Citizens Bank</t>
  </si>
  <si>
    <t xml:space="preserve">Geller &amp; Company</t>
  </si>
  <si>
    <t xml:space="preserve">HSBC</t>
  </si>
  <si>
    <t xml:space="preserve">JMP Group LLC</t>
  </si>
  <si>
    <t xml:space="preserve">JPMorgan Chase</t>
  </si>
  <si>
    <t xml:space="preserve">Kasasa by BancVue</t>
  </si>
  <si>
    <t xml:space="preserve">Lincoln Financial Group</t>
  </si>
  <si>
    <t xml:space="preserve">Marsh McLennan</t>
  </si>
  <si>
    <t xml:space="preserve">Morgan Stanley</t>
  </si>
  <si>
    <t xml:space="preserve">Nomura</t>
  </si>
  <si>
    <t xml:space="preserve">Scotiabank</t>
  </si>
  <si>
    <t xml:space="preserve">Securian Financial Group Inc.</t>
  </si>
  <si>
    <t xml:space="preserve">Standard Chartered</t>
  </si>
  <si>
    <t xml:space="preserve">State Street Corporation</t>
  </si>
  <si>
    <t xml:space="preserve">Stifel Nicolaus &amp; Co.</t>
  </si>
  <si>
    <t xml:space="preserve">USAA</t>
  </si>
  <si>
    <t xml:space="preserve">Northwestern Mutual Ð Corporate Careers</t>
  </si>
  <si>
    <t xml:space="preserve">Finance: Life</t>
  </si>
  <si>
    <t xml:space="preserve">Better Mortgage</t>
  </si>
  <si>
    <t xml:space="preserve">OneMain Financial</t>
  </si>
  <si>
    <t xml:space="preserve">Quicken Loans Inc.</t>
  </si>
  <si>
    <t xml:space="preserve">Veterans United Home Loans</t>
  </si>
  <si>
    <t xml:space="preserve">ANZ</t>
  </si>
  <si>
    <t xml:space="preserve">Bank of the West</t>
  </si>
  <si>
    <t xml:space="preserve">BMO Harris Bank</t>
  </si>
  <si>
    <t xml:space="preserve">CIT</t>
  </si>
  <si>
    <t xml:space="preserve">Citizens Bank</t>
  </si>
  <si>
    <t xml:space="preserve">Commonwealth Bank of Australia</t>
  </si>
  <si>
    <t xml:space="preserve">Federal Home Loan Bank Of New York</t>
  </si>
  <si>
    <t xml:space="preserve">Fifth Third Bank</t>
  </si>
  <si>
    <t xml:space="preserve">First Republic Bank</t>
  </si>
  <si>
    <t xml:space="preserve">Huntington Bank</t>
  </si>
  <si>
    <t xml:space="preserve">KeyBank</t>
  </si>
  <si>
    <t xml:space="preserve">M&amp;T Bank Corporation</t>
  </si>
  <si>
    <t xml:space="preserve">Santander US</t>
  </si>
  <si>
    <t xml:space="preserve">Socit Gnrale</t>
  </si>
  <si>
    <t xml:space="preserve">Stanbic IBTC Bank</t>
  </si>
  <si>
    <t xml:space="preserve">SunTrust Banks</t>
  </si>
  <si>
    <t xml:space="preserve">U.S. Bank</t>
  </si>
  <si>
    <t xml:space="preserve">Union Bank</t>
  </si>
  <si>
    <t xml:space="preserve">Vanquis Bank</t>
  </si>
  <si>
    <t xml:space="preserve">Wintrust Financial Corporation</t>
  </si>
  <si>
    <t xml:space="preserve">Adams Street Partners, LLC</t>
  </si>
  <si>
    <t xml:space="preserve">Finance: Venture Capital</t>
  </si>
  <si>
    <t xml:space="preserve">Guggenheim Partners, LLC</t>
  </si>
  <si>
    <t xml:space="preserve">City of Virginia Beach</t>
  </si>
  <si>
    <t xml:space="preserve">Government: City</t>
  </si>
  <si>
    <t xml:space="preserve">New York City</t>
  </si>
  <si>
    <t xml:space="preserve">New York City Economic Development Corporation</t>
  </si>
  <si>
    <t xml:space="preserve">The City of Portland</t>
  </si>
  <si>
    <t xml:space="preserve">The City of San Antonio</t>
  </si>
  <si>
    <t xml:space="preserve">Peraton</t>
  </si>
  <si>
    <t xml:space="preserve">Marion County Sheriff's Office</t>
  </si>
  <si>
    <t xml:space="preserve">Multnomah County, Oregon</t>
  </si>
  <si>
    <t xml:space="preserve">Spokane County</t>
  </si>
  <si>
    <t xml:space="preserve">Corporation for National and Community Service</t>
  </si>
  <si>
    <t xml:space="preserve">Federal Deposit Insurance Corporation</t>
  </si>
  <si>
    <t xml:space="preserve">Federal Public Defender</t>
  </si>
  <si>
    <t xml:space="preserve">Federal Reserve Bank of New York</t>
  </si>
  <si>
    <t xml:space="preserve">Los Alamos National Laboratory</t>
  </si>
  <si>
    <t xml:space="preserve">NASA Jet Propulsion Laboratory</t>
  </si>
  <si>
    <t xml:space="preserve">Naval Medical Center Portsmouth</t>
  </si>
  <si>
    <t xml:space="preserve">NavSea</t>
  </si>
  <si>
    <t xml:space="preserve">NSA</t>
  </si>
  <si>
    <t xml:space="preserve">The United States Air Force</t>
  </si>
  <si>
    <t xml:space="preserve">U.S. Department of Education</t>
  </si>
  <si>
    <t xml:space="preserve">U.S. Department of Veterans Affairs</t>
  </si>
  <si>
    <t xml:space="preserve">U.S. Social Security Administration</t>
  </si>
  <si>
    <t xml:space="preserve">United States Army</t>
  </si>
  <si>
    <t xml:space="preserve">United States Department of State</t>
  </si>
  <si>
    <t xml:space="preserve">United States Trade and Development Agency</t>
  </si>
  <si>
    <t xml:space="preserve">USAID</t>
  </si>
  <si>
    <t xml:space="preserve">United Nations</t>
  </si>
  <si>
    <t xml:space="preserve">World Health Organization</t>
  </si>
  <si>
    <t xml:space="preserve">Commonwealth of Massachusetts</t>
  </si>
  <si>
    <t xml:space="preserve">Government: State</t>
  </si>
  <si>
    <t xml:space="preserve">DBPR</t>
  </si>
  <si>
    <t xml:space="preserve">State of North Carolina</t>
  </si>
  <si>
    <t xml:space="preserve">Companion Animal Hospital Partners</t>
  </si>
  <si>
    <t xml:space="preserve">Veterinary Emergency Group</t>
  </si>
  <si>
    <t xml:space="preserve">Zoetis</t>
  </si>
  <si>
    <t xml:space="preserve">Beacon Health Options</t>
  </si>
  <si>
    <t xml:space="preserve">Healthcare: Behavioral</t>
  </si>
  <si>
    <t xml:space="preserve">Ambry Genetics</t>
  </si>
  <si>
    <t xml:space="preserve">Biogen</t>
  </si>
  <si>
    <t xml:space="preserve">bioMerieux</t>
  </si>
  <si>
    <t xml:space="preserve">Bolt Threads</t>
  </si>
  <si>
    <t xml:space="preserve">Charles River Laboratories</t>
  </si>
  <si>
    <t xml:space="preserve">Genentech</t>
  </si>
  <si>
    <t xml:space="preserve">Gilead Sciences, Inc.</t>
  </si>
  <si>
    <t xml:space="preserve">Idexx Laboratories</t>
  </si>
  <si>
    <t xml:space="preserve">NanoString Technologies</t>
  </si>
  <si>
    <t xml:space="preserve">Nova Biomedical</t>
  </si>
  <si>
    <t xml:space="preserve">Novozymes</t>
  </si>
  <si>
    <t xml:space="preserve">Promega Corporation</t>
  </si>
  <si>
    <t xml:space="preserve">SCIEX</t>
  </si>
  <si>
    <t xml:space="preserve">Bupa</t>
  </si>
  <si>
    <t xml:space="preserve">Call9</t>
  </si>
  <si>
    <t xml:space="preserve">Saint Francis Medical Center</t>
  </si>
  <si>
    <t xml:space="preserve">BAYADA</t>
  </si>
  <si>
    <t xml:space="preserve">Healthcare: Family Care</t>
  </si>
  <si>
    <t xml:space="preserve">Inspire Wellness</t>
  </si>
  <si>
    <t xml:space="preserve">Landmark Health</t>
  </si>
  <si>
    <t xml:space="preserve">Southwest Idaho Treatment Center</t>
  </si>
  <si>
    <t xml:space="preserve">Ascension Health</t>
  </si>
  <si>
    <t xml:space="preserve">Baptist Health System</t>
  </si>
  <si>
    <t xml:space="preserve">Bon Secours Mercy Health</t>
  </si>
  <si>
    <t xml:space="preserve">Central Maine Medical Center</t>
  </si>
  <si>
    <t xml:space="preserve">Children's Hospital of Pittsburgh of UPMC</t>
  </si>
  <si>
    <t xml:space="preserve">Children's Wisconsin</t>
  </si>
  <si>
    <t xml:space="preserve">Christiana Care Health System</t>
  </si>
  <si>
    <t xml:space="preserve">Cincinnati Children's Hospital Medical Center</t>
  </si>
  <si>
    <t xml:space="preserve">Duke Health</t>
  </si>
  <si>
    <t xml:space="preserve">Everett Clinic</t>
  </si>
  <si>
    <t xml:space="preserve">Houston Methodist Hospital</t>
  </si>
  <si>
    <t xml:space="preserve">Johns Hopkins All Children's Hospital</t>
  </si>
  <si>
    <t xml:space="preserve">Lovelace Health System</t>
  </si>
  <si>
    <t xml:space="preserve">Mercy</t>
  </si>
  <si>
    <t xml:space="preserve">MetroHealth Medical Center</t>
  </si>
  <si>
    <t xml:space="preserve">Michigan Medicine</t>
  </si>
  <si>
    <t xml:space="preserve">Molina Healthcare</t>
  </si>
  <si>
    <t xml:space="preserve">Montefiore Medical Center</t>
  </si>
  <si>
    <t xml:space="preserve">Moses Cone</t>
  </si>
  <si>
    <t xml:space="preserve">New Century Health</t>
  </si>
  <si>
    <t xml:space="preserve">New York State Psychiatric Institute</t>
  </si>
  <si>
    <t xml:space="preserve">Northwell Health</t>
  </si>
  <si>
    <t xml:space="preserve">NYU Langone Health</t>
  </si>
  <si>
    <t xml:space="preserve">Partners Healthcare</t>
  </si>
  <si>
    <t xml:space="preserve">Penn Medicine</t>
  </si>
  <si>
    <t xml:space="preserve">Providence</t>
  </si>
  <si>
    <t xml:space="preserve">Temple University Hospital</t>
  </si>
  <si>
    <t xml:space="preserve">Texas Children's Hospital</t>
  </si>
  <si>
    <t xml:space="preserve">LabCorp</t>
  </si>
  <si>
    <t xml:space="preserve">Aeroflow Healthcare</t>
  </si>
  <si>
    <t xml:space="preserve">Aquilant</t>
  </si>
  <si>
    <t xml:space="preserve">BD</t>
  </si>
  <si>
    <t xml:space="preserve">Boston Scientific</t>
  </si>
  <si>
    <t xml:space="preserve">Cook Medical</t>
  </si>
  <si>
    <t xml:space="preserve">Hillrom</t>
  </si>
  <si>
    <t xml:space="preserve">Integra LifeSciences</t>
  </si>
  <si>
    <t xml:space="preserve">Intuitive</t>
  </si>
  <si>
    <t xml:space="preserve">Medela</t>
  </si>
  <si>
    <t xml:space="preserve">MicroPort Orthopedics</t>
  </si>
  <si>
    <t xml:space="preserve">Olympus Corporation</t>
  </si>
  <si>
    <t xml:space="preserve">ResMed</t>
  </si>
  <si>
    <t xml:space="preserve">Stryker Corporation</t>
  </si>
  <si>
    <t xml:space="preserve">Terumo BCT</t>
  </si>
  <si>
    <t xml:space="preserve">J&amp;J MedTech</t>
  </si>
  <si>
    <t xml:space="preserve">Healthcare: Products</t>
  </si>
  <si>
    <t xml:space="preserve">SmileDirectClub</t>
  </si>
  <si>
    <t xml:space="preserve">Be The Match</t>
  </si>
  <si>
    <t xml:space="preserve">Healthcare: Services</t>
  </si>
  <si>
    <t xml:space="preserve">Cardinal Health</t>
  </si>
  <si>
    <t xml:space="preserve">GE Healthcare Systems</t>
  </si>
  <si>
    <t xml:space="preserve">Heartland Dental</t>
  </si>
  <si>
    <t xml:space="preserve">Lumeris</t>
  </si>
  <si>
    <t xml:space="preserve">McKesson Specialty Health</t>
  </si>
  <si>
    <t xml:space="preserve">Optum</t>
  </si>
  <si>
    <t xml:space="preserve">Spectra</t>
  </si>
  <si>
    <t xml:space="preserve">Hospitality</t>
  </si>
  <si>
    <t xml:space="preserve">Gordon Food Service</t>
  </si>
  <si>
    <t xml:space="preserve">Hospitality: Foodservice Distributors</t>
  </si>
  <si>
    <t xml:space="preserve">Hilton</t>
  </si>
  <si>
    <t xml:space="preserve">Hyatt</t>
  </si>
  <si>
    <t xml:space="preserve">Rosewood Hotels &amp; Resorts</t>
  </si>
  <si>
    <t xml:space="preserve">Taj Hotels</t>
  </si>
  <si>
    <t xml:space="preserve">Blue Apron</t>
  </si>
  <si>
    <t xml:space="preserve">Hospitality: Meal Kit Delivery</t>
  </si>
  <si>
    <t xml:space="preserve">Disneyland</t>
  </si>
  <si>
    <t xml:space="preserve">Hospitality: Resorts</t>
  </si>
  <si>
    <t xml:space="preserve">Great Wolf Resorts</t>
  </si>
  <si>
    <t xml:space="preserve">Hilton Grand Vacations</t>
  </si>
  <si>
    <t xml:space="preserve">Vail Resorts</t>
  </si>
  <si>
    <t xml:space="preserve">Chick-fil-A</t>
  </si>
  <si>
    <t xml:space="preserve">Chipotle Mexican Grill</t>
  </si>
  <si>
    <t xml:space="preserve">Gate Gourmet</t>
  </si>
  <si>
    <t xml:space="preserve">La Colombe Torrefaction</t>
  </si>
  <si>
    <t xml:space="preserve">Momofuku</t>
  </si>
  <si>
    <t xml:space="preserve">Red Robin</t>
  </si>
  <si>
    <t xml:space="preserve">Restaurant Brands International</t>
  </si>
  <si>
    <t xml:space="preserve">Texas Roadhouse</t>
  </si>
  <si>
    <t xml:space="preserve">Ergotron</t>
  </si>
  <si>
    <t xml:space="preserve">Industrial: Appliances &amp; Furniture</t>
  </si>
  <si>
    <t xml:space="preserve">Stanley Black &amp; Decker</t>
  </si>
  <si>
    <t xml:space="preserve">Steelcase</t>
  </si>
  <si>
    <t xml:space="preserve">Whirlpool Corporation</t>
  </si>
  <si>
    <t xml:space="preserve">Deborah Berke Partners</t>
  </si>
  <si>
    <t xml:space="preserve">Grimshaw Architects</t>
  </si>
  <si>
    <t xml:space="preserve">Hickok Cole Architects</t>
  </si>
  <si>
    <t xml:space="preserve">HOK</t>
  </si>
  <si>
    <t xml:space="preserve">MG2</t>
  </si>
  <si>
    <t xml:space="preserve">CertainTeed</t>
  </si>
  <si>
    <t xml:space="preserve">Construction Specialties</t>
  </si>
  <si>
    <t xml:space="preserve">Daltile</t>
  </si>
  <si>
    <t xml:space="preserve">GAF</t>
  </si>
  <si>
    <t xml:space="preserve">Lehigh Hanson</t>
  </si>
  <si>
    <t xml:space="preserve">Sherwin-Williams</t>
  </si>
  <si>
    <t xml:space="preserve">Wilsonart</t>
  </si>
  <si>
    <t xml:space="preserve">Graham Construction &amp; Engineering Inc</t>
  </si>
  <si>
    <t xml:space="preserve">CIRCOR International, Inc.</t>
  </si>
  <si>
    <t xml:space="preserve">Danaher</t>
  </si>
  <si>
    <t xml:space="preserve">Eaton</t>
  </si>
  <si>
    <t xml:space="preserve">Faith Technologies</t>
  </si>
  <si>
    <t xml:space="preserve">HDR</t>
  </si>
  <si>
    <t xml:space="preserve">Honeywell</t>
  </si>
  <si>
    <t xml:space="preserve">Jacobs</t>
  </si>
  <si>
    <t xml:space="preserve">Jason Industrial</t>
  </si>
  <si>
    <t xml:space="preserve">Babcock International Group</t>
  </si>
  <si>
    <t xml:space="preserve">Industrial: Engineering</t>
  </si>
  <si>
    <t xml:space="preserve">Emerson Process Management</t>
  </si>
  <si>
    <t xml:space="preserve">Equinor</t>
  </si>
  <si>
    <t xml:space="preserve">GZA</t>
  </si>
  <si>
    <t xml:space="preserve">Pfaudler inc</t>
  </si>
  <si>
    <t xml:space="preserve">Quiddity Engineering</t>
  </si>
  <si>
    <t xml:space="preserve">Stantec</t>
  </si>
  <si>
    <t xml:space="preserve">Subsea 7</t>
  </si>
  <si>
    <t xml:space="preserve">WSP Global</t>
  </si>
  <si>
    <t xml:space="preserve">Xylem Inc.</t>
  </si>
  <si>
    <t xml:space="preserve">AGCO Corporation</t>
  </si>
  <si>
    <t xml:space="preserve">Association of Equipment Manufacturers</t>
  </si>
  <si>
    <t xml:space="preserve">Atlantic Diving Supply, Inc.</t>
  </si>
  <si>
    <t xml:space="preserve">Emerson Climate Technologies</t>
  </si>
  <si>
    <t xml:space="preserve">Genie Industries</t>
  </si>
  <si>
    <t xml:space="preserve">ITW</t>
  </si>
  <si>
    <t xml:space="preserve">KONE Corporation</t>
  </si>
  <si>
    <t xml:space="preserve">Terex</t>
  </si>
  <si>
    <t xml:space="preserve">Weir ESCO</t>
  </si>
  <si>
    <t xml:space="preserve">Zoox</t>
  </si>
  <si>
    <t xml:space="preserve">Aleris International, Inc.</t>
  </si>
  <si>
    <t xml:space="preserve">Industrial: Materials</t>
  </si>
  <si>
    <t xml:space="preserve">Avantor</t>
  </si>
  <si>
    <t xml:space="preserve">HP Manufacturing</t>
  </si>
  <si>
    <t xml:space="preserve">Orica</t>
  </si>
  <si>
    <t xml:space="preserve">W.L. Gore</t>
  </si>
  <si>
    <t xml:space="preserve">Grainger Industrial Supply</t>
  </si>
  <si>
    <t xml:space="preserve">Hunter Douglas</t>
  </si>
  <si>
    <t xml:space="preserve">United Rentals</t>
  </si>
  <si>
    <t xml:space="preserve">Bloomberg</t>
  </si>
  <si>
    <t xml:space="preserve">Nielsen Holdings N.V.</t>
  </si>
  <si>
    <t xml:space="preserve">RELX Group</t>
  </si>
  <si>
    <t xml:space="preserve">WinBizSolutions</t>
  </si>
  <si>
    <t xml:space="preserve">Wolters Kluwer</t>
  </si>
  <si>
    <t xml:space="preserve">Dun &amp; Bradstreet</t>
  </si>
  <si>
    <t xml:space="preserve">Experian PLC</t>
  </si>
  <si>
    <t xml:space="preserve">Fitch Ratings</t>
  </si>
  <si>
    <t xml:space="preserve">Ipreo Holdings LLC</t>
  </si>
  <si>
    <t xml:space="preserve">NASDAQ</t>
  </si>
  <si>
    <t xml:space="preserve">TransUnion</t>
  </si>
  <si>
    <t xml:space="preserve">Bloomberg BNA</t>
  </si>
  <si>
    <t xml:space="preserve">Information Services: Legal</t>
  </si>
  <si>
    <t xml:space="preserve">1010data</t>
  </si>
  <si>
    <t xml:space="preserve">Avanade</t>
  </si>
  <si>
    <t xml:space="preserve">Cloudreach</t>
  </si>
  <si>
    <t xml:space="preserve">Dataminr</t>
  </si>
  <si>
    <t xml:space="preserve">Dell Boomi</t>
  </si>
  <si>
    <t xml:space="preserve">DoubleVerify, Inc.</t>
  </si>
  <si>
    <t xml:space="preserve">Emids</t>
  </si>
  <si>
    <t xml:space="preserve">Equian</t>
  </si>
  <si>
    <t xml:space="preserve">Eras Tech</t>
  </si>
  <si>
    <t xml:space="preserve">Gartner</t>
  </si>
  <si>
    <t xml:space="preserve">Google Cloud</t>
  </si>
  <si>
    <t xml:space="preserve">HealthStream</t>
  </si>
  <si>
    <t xml:space="preserve">Hitachi Vantara</t>
  </si>
  <si>
    <t xml:space="preserve">Infolock</t>
  </si>
  <si>
    <t xml:space="preserve">Infosys</t>
  </si>
  <si>
    <t xml:space="preserve">J2 Global</t>
  </si>
  <si>
    <t xml:space="preserve">LeverX</t>
  </si>
  <si>
    <t xml:space="preserve">LexisNexis</t>
  </si>
  <si>
    <t xml:space="preserve">Lloyd Group</t>
  </si>
  <si>
    <t xml:space="preserve">LMT Technology Solutions</t>
  </si>
  <si>
    <t xml:space="preserve">Microsoft Azure</t>
  </si>
  <si>
    <t xml:space="preserve">NetImpact Strategies</t>
  </si>
  <si>
    <t xml:space="preserve">Newfold Digital</t>
  </si>
  <si>
    <t xml:space="preserve">Niche</t>
  </si>
  <si>
    <t xml:space="preserve">NielsenIQ</t>
  </si>
  <si>
    <t xml:space="preserve">OM1</t>
  </si>
  <si>
    <t xml:space="preserve">OPTIMIZERx Corporation</t>
  </si>
  <si>
    <t xml:space="preserve">PatientPop</t>
  </si>
  <si>
    <t xml:space="preserve">Publicis Sapient</t>
  </si>
  <si>
    <t xml:space="preserve">Remind</t>
  </si>
  <si>
    <t xml:space="preserve">RF Code</t>
  </si>
  <si>
    <t xml:space="preserve">Siemens Healthineers</t>
  </si>
  <si>
    <t xml:space="preserve">Smarsh</t>
  </si>
  <si>
    <t xml:space="preserve">SpotX</t>
  </si>
  <si>
    <t xml:space="preserve">Surescripts</t>
  </si>
  <si>
    <t xml:space="preserve">The Gordian Group</t>
  </si>
  <si>
    <t xml:space="preserve">TriNet</t>
  </si>
  <si>
    <t xml:space="preserve">Verisk Analytics</t>
  </si>
  <si>
    <t xml:space="preserve">VTS</t>
  </si>
  <si>
    <t xml:space="preserve">WP Engine</t>
  </si>
  <si>
    <t xml:space="preserve">ZoomInfo</t>
  </si>
  <si>
    <t xml:space="preserve">Marsh &amp; McLennan Agency</t>
  </si>
  <si>
    <t xml:space="preserve">Insurance</t>
  </si>
  <si>
    <t xml:space="preserve">Hub International</t>
  </si>
  <si>
    <t xml:space="preserve">Insurance: Brokerage</t>
  </si>
  <si>
    <t xml:space="preserve">USI Insurance Services</t>
  </si>
  <si>
    <t xml:space="preserve">Willis Towers Watson</t>
  </si>
  <si>
    <t xml:space="preserve">AmeriTrust Group</t>
  </si>
  <si>
    <t xml:space="preserve">Aspen Insurance Holdings Limited</t>
  </si>
  <si>
    <t xml:space="preserve">CUNA Mutual Group</t>
  </si>
  <si>
    <t xml:space="preserve">First American</t>
  </si>
  <si>
    <t xml:space="preserve">Hiscox</t>
  </si>
  <si>
    <t xml:space="preserve">IAG Limited</t>
  </si>
  <si>
    <t xml:space="preserve">Lockton Companies Inc.</t>
  </si>
  <si>
    <t xml:space="preserve">MassMutual</t>
  </si>
  <si>
    <t xml:space="preserve">MJ Insurance</t>
  </si>
  <si>
    <t xml:space="preserve">Sana Benefits</t>
  </si>
  <si>
    <t xml:space="preserve">Sun Life Financial</t>
  </si>
  <si>
    <t xml:space="preserve">The McGowan Companies Inc.</t>
  </si>
  <si>
    <t xml:space="preserve">Trustmark Companies</t>
  </si>
  <si>
    <t xml:space="preserve">Anthem</t>
  </si>
  <si>
    <t xml:space="preserve">Blue Cross and Blue Shield of Texas</t>
  </si>
  <si>
    <t xml:space="preserve">Blue Cross Blue Shield of Alabama</t>
  </si>
  <si>
    <t xml:space="preserve">Cambia Health Solutions</t>
  </si>
  <si>
    <t xml:space="preserve">CareFirst</t>
  </si>
  <si>
    <t xml:space="preserve">CareSource</t>
  </si>
  <si>
    <t xml:space="preserve">Centene Corporation</t>
  </si>
  <si>
    <t xml:space="preserve">CIGNA Corporation</t>
  </si>
  <si>
    <t xml:space="preserve">Clover Health</t>
  </si>
  <si>
    <t xml:space="preserve">Delta Dental Ins</t>
  </si>
  <si>
    <t xml:space="preserve">GoHealth</t>
  </si>
  <si>
    <t xml:space="preserve">Independence Blue Cross</t>
  </si>
  <si>
    <t xml:space="preserve">Oscar Health</t>
  </si>
  <si>
    <t xml:space="preserve">Premera Blue Cross</t>
  </si>
  <si>
    <t xml:space="preserve">UCare</t>
  </si>
  <si>
    <t xml:space="preserve">UnitedHealthcare</t>
  </si>
  <si>
    <t xml:space="preserve">WellCare Health Plans</t>
  </si>
  <si>
    <t xml:space="preserve">American Income Life</t>
  </si>
  <si>
    <t xml:space="preserve">Genworth Financial, Inc.</t>
  </si>
  <si>
    <t xml:space="preserve">GuardianLife</t>
  </si>
  <si>
    <t xml:space="preserve">MetLife</t>
  </si>
  <si>
    <t xml:space="preserve">National Benefit Life Insurance</t>
  </si>
  <si>
    <t xml:space="preserve">New York Life Insurance Company</t>
  </si>
  <si>
    <t xml:space="preserve">Prudential Financial</t>
  </si>
  <si>
    <t xml:space="preserve">Unum</t>
  </si>
  <si>
    <t xml:space="preserve">Allstate Insurance Company</t>
  </si>
  <si>
    <t xml:space="preserve">American Family Insurance</t>
  </si>
  <si>
    <t xml:space="preserve">Assurant, Inc.</t>
  </si>
  <si>
    <t xml:space="preserve">Farmers Insurance</t>
  </si>
  <si>
    <t xml:space="preserve">FM Global</t>
  </si>
  <si>
    <t xml:space="preserve">GEICO</t>
  </si>
  <si>
    <t xml:space="preserve">IAT Insurance Group</t>
  </si>
  <si>
    <t xml:space="preserve">Intact Financial Corporation</t>
  </si>
  <si>
    <t xml:space="preserve">Liberty Mutual Insurance</t>
  </si>
  <si>
    <t xml:space="preserve">Progressive Corporation</t>
  </si>
  <si>
    <t xml:space="preserve">Selective Insurance</t>
  </si>
  <si>
    <t xml:space="preserve">The Hartford</t>
  </si>
  <si>
    <t xml:space="preserve">Travelers</t>
  </si>
  <si>
    <t xml:space="preserve">Guy Carpenter</t>
  </si>
  <si>
    <t xml:space="preserve">Insurance: Reinsurance</t>
  </si>
  <si>
    <t xml:space="preserve">Burr &amp; Forman LLP</t>
  </si>
  <si>
    <t xml:space="preserve">Cleary Gottlieb Steen &amp; Hamilton LLP</t>
  </si>
  <si>
    <t xml:space="preserve">Cooley LLP</t>
  </si>
  <si>
    <t xml:space="preserve">Correia &amp; Puth, PLLC</t>
  </si>
  <si>
    <t xml:space="preserve">Covington &amp; Burling LLP</t>
  </si>
  <si>
    <t xml:space="preserve">Crowell &amp; Moring</t>
  </si>
  <si>
    <t xml:space="preserve">Davis &amp; Santos</t>
  </si>
  <si>
    <t xml:space="preserve">Desmarais LLP</t>
  </si>
  <si>
    <t xml:space="preserve">Entwistle &amp; Cappucci LLC</t>
  </si>
  <si>
    <t xml:space="preserve">Fox Rothschild LLP</t>
  </si>
  <si>
    <t xml:space="preserve">Fragomen</t>
  </si>
  <si>
    <t xml:space="preserve">Hogan Lovells</t>
  </si>
  <si>
    <t xml:space="preserve">Hudson Cook</t>
  </si>
  <si>
    <t xml:space="preserve">Kirkland &amp; Ellis LLP</t>
  </si>
  <si>
    <t xml:space="preserve">Latham &amp; Watkins LLP</t>
  </si>
  <si>
    <t xml:space="preserve">Lathrop GPM LLP</t>
  </si>
  <si>
    <t xml:space="preserve">Linklaters LLP</t>
  </si>
  <si>
    <t xml:space="preserve">Littler Mendelson P.C.</t>
  </si>
  <si>
    <t xml:space="preserve">Manatt, Phelps &amp; Phillips, LLP</t>
  </si>
  <si>
    <t xml:space="preserve">Mayer Brown</t>
  </si>
  <si>
    <t xml:space="preserve">McLane Middleton PA</t>
  </si>
  <si>
    <t xml:space="preserve">Mintz Levin Cohn Ferris Glovsky and Popeo PC</t>
  </si>
  <si>
    <t xml:space="preserve">Schlam Stone &amp; Dolan</t>
  </si>
  <si>
    <t xml:space="preserve">Simpson Thacher &amp; Bartlett LLP</t>
  </si>
  <si>
    <t xml:space="preserve">Veritas Law</t>
  </si>
  <si>
    <t xml:space="preserve">Wynyard Wood</t>
  </si>
  <si>
    <t xml:space="preserve">HBR Consulting</t>
  </si>
  <si>
    <t xml:space="preserve">Legal Services</t>
  </si>
  <si>
    <t xml:space="preserve">Cruise Planners</t>
  </si>
  <si>
    <t xml:space="preserve">Royal Caribbean International</t>
  </si>
  <si>
    <t xml:space="preserve">VRBO</t>
  </si>
  <si>
    <t xml:space="preserve">BrightTALK</t>
  </si>
  <si>
    <t xml:space="preserve">Media</t>
  </si>
  <si>
    <t xml:space="preserve">Cond Nast</t>
  </si>
  <si>
    <t xml:space="preserve">Meredith</t>
  </si>
  <si>
    <t xml:space="preserve">NBCUniversal</t>
  </si>
  <si>
    <t xml:space="preserve">Quartz</t>
  </si>
  <si>
    <t xml:space="preserve">Sky PLC</t>
  </si>
  <si>
    <t xml:space="preserve">Thomson Reuters</t>
  </si>
  <si>
    <t xml:space="preserve">Townsquare Media</t>
  </si>
  <si>
    <t xml:space="preserve">Viacom Inc.</t>
  </si>
  <si>
    <t xml:space="preserve">ViacomCBS</t>
  </si>
  <si>
    <t xml:space="preserve">WGBH</t>
  </si>
  <si>
    <t xml:space="preserve">Cinemark</t>
  </si>
  <si>
    <t xml:space="preserve">Media: Entertainment</t>
  </si>
  <si>
    <t xml:space="preserve">Lionsgate</t>
  </si>
  <si>
    <t xml:space="preserve">Madison Square Garden</t>
  </si>
  <si>
    <t xml:space="preserve">Showtime</t>
  </si>
  <si>
    <t xml:space="preserve">Spins</t>
  </si>
  <si>
    <t xml:space="preserve">Media: Magazines</t>
  </si>
  <si>
    <t xml:space="preserve">The Atlantic</t>
  </si>
  <si>
    <t xml:space="preserve">Business Insider</t>
  </si>
  <si>
    <t xml:space="preserve">Media: News</t>
  </si>
  <si>
    <t xml:space="preserve">Dow Jones</t>
  </si>
  <si>
    <t xml:space="preserve">Forbes</t>
  </si>
  <si>
    <t xml:space="preserve">Gannett</t>
  </si>
  <si>
    <t xml:space="preserve">New York Times</t>
  </si>
  <si>
    <t xml:space="preserve">The New York Times Company</t>
  </si>
  <si>
    <t xml:space="preserve">Washington Post</t>
  </si>
  <si>
    <t xml:space="preserve">Public Broadcasting Service</t>
  </si>
  <si>
    <t xml:space="preserve">Sinclair Broadcast Group</t>
  </si>
  <si>
    <t xml:space="preserve">ASML</t>
  </si>
  <si>
    <t xml:space="preserve">Unknown</t>
  </si>
  <si>
    <t xml:space="preserve">INK Communications Co.</t>
  </si>
  <si>
    <t xml:space="preserve">Rokt</t>
  </si>
  <si>
    <t xml:space="preserve">Bunge North America</t>
  </si>
  <si>
    <t xml:space="preserve">Pilgrim's Pride</t>
  </si>
  <si>
    <t xml:space="preserve">Tate &amp; Lyle</t>
  </si>
  <si>
    <t xml:space="preserve">CHS Inc.</t>
  </si>
  <si>
    <t xml:space="preserve">Natural Resources: Agrochemical</t>
  </si>
  <si>
    <t xml:space="preserve">Air Products &amp; Chemicals, Inc.</t>
  </si>
  <si>
    <t xml:space="preserve">AkzoNobel Global</t>
  </si>
  <si>
    <t xml:space="preserve">Albemarle Corporation</t>
  </si>
  <si>
    <t xml:space="preserve">Ashland, Inc.</t>
  </si>
  <si>
    <t xml:space="preserve">DuPont</t>
  </si>
  <si>
    <t xml:space="preserve">Eastman Chemical Company</t>
  </si>
  <si>
    <t xml:space="preserve">LyondellBasell</t>
  </si>
  <si>
    <t xml:space="preserve">Nalco, An Ecolab Company</t>
  </si>
  <si>
    <t xml:space="preserve">Nutrien</t>
  </si>
  <si>
    <t xml:space="preserve">Solvay S.A.</t>
  </si>
  <si>
    <t xml:space="preserve">Syngenta Flowers</t>
  </si>
  <si>
    <t xml:space="preserve">CLEAResult</t>
  </si>
  <si>
    <t xml:space="preserve">Natural Resources: Diversified Energy</t>
  </si>
  <si>
    <t xml:space="preserve">Consolidated Edison Inc.</t>
  </si>
  <si>
    <t xml:space="preserve">Entergy Corporation</t>
  </si>
  <si>
    <t xml:space="preserve">NRG Energy, Inc.</t>
  </si>
  <si>
    <t xml:space="preserve">Eversource</t>
  </si>
  <si>
    <t xml:space="preserve">GE Power</t>
  </si>
  <si>
    <t xml:space="preserve">National Grid plc</t>
  </si>
  <si>
    <t xml:space="preserve">NiSource</t>
  </si>
  <si>
    <t xml:space="preserve">Sempra Energy</t>
  </si>
  <si>
    <t xml:space="preserve">Williams</t>
  </si>
  <si>
    <t xml:space="preserve">American Electric Power Company, Inc.</t>
  </si>
  <si>
    <t xml:space="preserve">Duke Energy</t>
  </si>
  <si>
    <t xml:space="preserve">Exelon Corporation</t>
  </si>
  <si>
    <t xml:space="preserve">Pacific Gas and Electric Company</t>
  </si>
  <si>
    <t xml:space="preserve">Southern California Edison</t>
  </si>
  <si>
    <t xml:space="preserve">Freeport-McMoRan</t>
  </si>
  <si>
    <t xml:space="preserve">Novelis</t>
  </si>
  <si>
    <t xml:space="preserve">Enbridge, Inc.</t>
  </si>
  <si>
    <t xml:space="preserve">ExxonMobil</t>
  </si>
  <si>
    <t xml:space="preserve">Marathon Petroleum Corporation</t>
  </si>
  <si>
    <t xml:space="preserve">Shell Oil Company</t>
  </si>
  <si>
    <t xml:space="preserve">T.D. Williamson, Inc.</t>
  </si>
  <si>
    <t xml:space="preserve">ASRC Energy Services</t>
  </si>
  <si>
    <t xml:space="preserve">Natural Resources: Oilfield Services</t>
  </si>
  <si>
    <t xml:space="preserve">Baker Hughes</t>
  </si>
  <si>
    <t xml:space="preserve">Schlumberger</t>
  </si>
  <si>
    <t xml:space="preserve">Save the Children</t>
  </si>
  <si>
    <t xml:space="preserve">The Pew Charitable Trusts</t>
  </si>
  <si>
    <t xml:space="preserve">World Vision</t>
  </si>
  <si>
    <t xml:space="preserve">AARP</t>
  </si>
  <si>
    <t xml:space="preserve">Nonprofit: Civic &amp; Social</t>
  </si>
  <si>
    <t xml:space="preserve">Convergence</t>
  </si>
  <si>
    <t xml:space="preserve">Enterprise Community Partners</t>
  </si>
  <si>
    <t xml:space="preserve">Help USA</t>
  </si>
  <si>
    <t xml:space="preserve">National Partnership for Women &amp; Families</t>
  </si>
  <si>
    <t xml:space="preserve">Project Renewal</t>
  </si>
  <si>
    <t xml:space="preserve">uAspire</t>
  </si>
  <si>
    <t xml:space="preserve">Washburn Center For Children</t>
  </si>
  <si>
    <t xml:space="preserve">Endeavor</t>
  </si>
  <si>
    <t xml:space="preserve">Nonprofit: Development</t>
  </si>
  <si>
    <t xml:space="preserve">Achievement Network</t>
  </si>
  <si>
    <t xml:space="preserve">Start Early</t>
  </si>
  <si>
    <t xml:space="preserve">Teach for America</t>
  </si>
  <si>
    <t xml:space="preserve">Wildwood Programs</t>
  </si>
  <si>
    <t xml:space="preserve">Environmental Defense Fund</t>
  </si>
  <si>
    <t xml:space="preserve">Nonprofit: Environmental Organization</t>
  </si>
  <si>
    <t xml:space="preserve">Natural Resources Defense Council</t>
  </si>
  <si>
    <t xml:space="preserve">The Nature Conservancy</t>
  </si>
  <si>
    <t xml:space="preserve">Financial Industry Regulatory Authority</t>
  </si>
  <si>
    <t xml:space="preserve">Nonprofit: Finance</t>
  </si>
  <si>
    <t xml:space="preserve">Financial Ombudsman Service</t>
  </si>
  <si>
    <t xml:space="preserve">Harvard Pilgrim Health Care</t>
  </si>
  <si>
    <t xml:space="preserve">Nonprofit: Healthcare</t>
  </si>
  <si>
    <t xml:space="preserve">Jewish Board of Family and Children's Services</t>
  </si>
  <si>
    <t xml:space="preserve">Planned Parenthood</t>
  </si>
  <si>
    <t xml:space="preserve">Sanford Health</t>
  </si>
  <si>
    <t xml:space="preserve">SWOG</t>
  </si>
  <si>
    <t xml:space="preserve">The Task Force For Global Health</t>
  </si>
  <si>
    <t xml:space="preserve">American Red Cross</t>
  </si>
  <si>
    <t xml:space="preserve">Nonprofit: Humanitarian Aid Organization</t>
  </si>
  <si>
    <t xml:space="preserve">International Justice Mission</t>
  </si>
  <si>
    <t xml:space="preserve">Nonprofit: Legal</t>
  </si>
  <si>
    <t xml:space="preserve">Legal Aid Society - Employment Law Center</t>
  </si>
  <si>
    <t xml:space="preserve">Center for Reproductive Rights</t>
  </si>
  <si>
    <t xml:space="preserve">Nonprofit: Legal Services</t>
  </si>
  <si>
    <t xml:space="preserve">Legal Aid of North Carolina</t>
  </si>
  <si>
    <t xml:space="preserve">Westbank Community Library</t>
  </si>
  <si>
    <t xml:space="preserve">Nonprofit: Libraries</t>
  </si>
  <si>
    <t xml:space="preserve">Camden Coalition of Healthcare Providers</t>
  </si>
  <si>
    <t xml:space="preserve">Nonprofit: Medical</t>
  </si>
  <si>
    <t xml:space="preserve">MOXI, The Wolf Museum of Exploration + Innovation</t>
  </si>
  <si>
    <t xml:space="preserve">Nonprofit: Museums</t>
  </si>
  <si>
    <t xml:space="preserve">The Field Museum</t>
  </si>
  <si>
    <t xml:space="preserve">The World Economic Forum</t>
  </si>
  <si>
    <t xml:space="preserve">Nonprofit: Political Organization</t>
  </si>
  <si>
    <t xml:space="preserve">Archdiocese of Chicago</t>
  </si>
  <si>
    <t xml:space="preserve">Battelle Memorial Institute</t>
  </si>
  <si>
    <t xml:space="preserve">Charles Stark Draper Laboratory</t>
  </si>
  <si>
    <t xml:space="preserve">Education Development Center, Inc.</t>
  </si>
  <si>
    <t xml:space="preserve">HopeLab</t>
  </si>
  <si>
    <t xml:space="preserve">RTI International</t>
  </si>
  <si>
    <t xml:space="preserve">The Leukemia &amp; Lymphoma Society</t>
  </si>
  <si>
    <t xml:space="preserve">American Chemical Society</t>
  </si>
  <si>
    <t xml:space="preserve">Nonprofit: Science &amp; Technology</t>
  </si>
  <si>
    <t xml:space="preserve">AICPA</t>
  </si>
  <si>
    <t xml:space="preserve">Nonprofit: Trade Organization</t>
  </si>
  <si>
    <t xml:space="preserve">The Georgia Society of CPAs</t>
  </si>
  <si>
    <t xml:space="preserve">American Canning</t>
  </si>
  <si>
    <t xml:space="preserve">Packaging</t>
  </si>
  <si>
    <t xml:space="preserve">Avery Dennison</t>
  </si>
  <si>
    <t xml:space="preserve">AbbVie Inc.</t>
  </si>
  <si>
    <t xml:space="preserve">Agios Pharmaceuticals</t>
  </si>
  <si>
    <t xml:space="preserve">AstraZeneca</t>
  </si>
  <si>
    <t xml:space="preserve">Bayer AG</t>
  </si>
  <si>
    <t xml:space="preserve">Bayer HealthCare Pharmaceuticals</t>
  </si>
  <si>
    <t xml:space="preserve">Envigo</t>
  </si>
  <si>
    <t xml:space="preserve">Ferring Pharmaceuticals</t>
  </si>
  <si>
    <t xml:space="preserve">Kite Pharma</t>
  </si>
  <si>
    <t xml:space="preserve">Merck &amp; Co., Inc.</t>
  </si>
  <si>
    <t xml:space="preserve">Novartis</t>
  </si>
  <si>
    <t xml:space="preserve">Oceanic Pharmachem Pvt. Ltd.</t>
  </si>
  <si>
    <t xml:space="preserve">Otsuka Pharmaceutical</t>
  </si>
  <si>
    <t xml:space="preserve">Pfizer</t>
  </si>
  <si>
    <t xml:space="preserve">Reata Pharmaceuticals</t>
  </si>
  <si>
    <t xml:space="preserve">Recursion Pharmaceuticals</t>
  </si>
  <si>
    <t xml:space="preserve">Syneos Health</t>
  </si>
  <si>
    <t xml:space="preserve">Express Scripts Holding</t>
  </si>
  <si>
    <t xml:space="preserve">OptumRx</t>
  </si>
  <si>
    <t xml:space="preserve">Chan Zuckerberg Initiative</t>
  </si>
  <si>
    <t xml:space="preserve">Harold Grinspoon Foundation</t>
  </si>
  <si>
    <t xml:space="preserve">Open Society Foundations</t>
  </si>
  <si>
    <t xml:space="preserve">W. K. Kellogg Foundation</t>
  </si>
  <si>
    <t xml:space="preserve">BCW</t>
  </si>
  <si>
    <t xml:space="preserve">Public Relations</t>
  </si>
  <si>
    <t xml:space="preserve">Curley &amp; Pynn</t>
  </si>
  <si>
    <t xml:space="preserve">Edelman</t>
  </si>
  <si>
    <t xml:space="preserve">Golin</t>
  </si>
  <si>
    <t xml:space="preserve">MWWPR</t>
  </si>
  <si>
    <t xml:space="preserve">Virgo Health</t>
  </si>
  <si>
    <t xml:space="preserve">American City Business Journals</t>
  </si>
  <si>
    <t xml:space="preserve">Axel Springer</t>
  </si>
  <si>
    <t xml:space="preserve">Curriculum Associates</t>
  </si>
  <si>
    <t xml:space="preserve">Macmillan Learning</t>
  </si>
  <si>
    <t xml:space="preserve">Mcgraw Hill</t>
  </si>
  <si>
    <t xml:space="preserve">Penguin Random House</t>
  </si>
  <si>
    <t xml:space="preserve">NavigatorCRE</t>
  </si>
  <si>
    <t xml:space="preserve">Keller Williams Realty</t>
  </si>
  <si>
    <t xml:space="preserve">Real Estate: Brokers</t>
  </si>
  <si>
    <t xml:space="preserve">Redfin</t>
  </si>
  <si>
    <t xml:space="preserve">Square Yards</t>
  </si>
  <si>
    <t xml:space="preserve">Wyse Home Team Realty</t>
  </si>
  <si>
    <t xml:space="preserve">CBRE</t>
  </si>
  <si>
    <t xml:space="preserve">HILLS Properties</t>
  </si>
  <si>
    <t xml:space="preserve">Jones Lang LaSalle</t>
  </si>
  <si>
    <t xml:space="preserve">Ryan Companies</t>
  </si>
  <si>
    <t xml:space="preserve">The Howard Hughes Corporation</t>
  </si>
  <si>
    <t xml:space="preserve">David Weekley Homes</t>
  </si>
  <si>
    <t xml:space="preserve">Real Estate: Home Building</t>
  </si>
  <si>
    <t xml:space="preserve">PGIM Real Estate</t>
  </si>
  <si>
    <t xml:space="preserve">Real Estate: Investment Trust</t>
  </si>
  <si>
    <t xml:space="preserve">Uniti</t>
  </si>
  <si>
    <t xml:space="preserve">Blanton Turner</t>
  </si>
  <si>
    <t xml:space="preserve">Real Estate: Management</t>
  </si>
  <si>
    <t xml:space="preserve">Love's</t>
  </si>
  <si>
    <t xml:space="preserve">Retail: Convenience Store</t>
  </si>
  <si>
    <t xml:space="preserve">Hallmark Cards</t>
  </si>
  <si>
    <t xml:space="preserve">Retail: Crafts, Fabrics &amp; Party Supplies</t>
  </si>
  <si>
    <t xml:space="preserve">Michaels</t>
  </si>
  <si>
    <t xml:space="preserve">Belk</t>
  </si>
  <si>
    <t xml:space="preserve">Bloomingdale's</t>
  </si>
  <si>
    <t xml:space="preserve">Macy's</t>
  </si>
  <si>
    <t xml:space="preserve">Myer</t>
  </si>
  <si>
    <t xml:space="preserve">Nordstrom</t>
  </si>
  <si>
    <t xml:space="preserve">Aldi USA</t>
  </si>
  <si>
    <t xml:space="preserve">Retail: Discount Store</t>
  </si>
  <si>
    <t xml:space="preserve">BJs Wholesale Club</t>
  </si>
  <si>
    <t xml:space="preserve">Costco</t>
  </si>
  <si>
    <t xml:space="preserve">Dollar General</t>
  </si>
  <si>
    <t xml:space="preserve">Ross Stores</t>
  </si>
  <si>
    <t xml:space="preserve">Sprouts Farmers Market</t>
  </si>
  <si>
    <t xml:space="preserve">Best Buy</t>
  </si>
  <si>
    <t xml:space="preserve">Retail: Electronics</t>
  </si>
  <si>
    <t xml:space="preserve">Crutchfield</t>
  </si>
  <si>
    <t xml:space="preserve">Telstra</t>
  </si>
  <si>
    <t xml:space="preserve">Central Garden &amp; Pet</t>
  </si>
  <si>
    <t xml:space="preserve">Floor &amp; Decor</t>
  </si>
  <si>
    <t xml:space="preserve">Sleep Number</t>
  </si>
  <si>
    <t xml:space="preserve">Williams Sonoma</t>
  </si>
  <si>
    <t xml:space="preserve">Kroger</t>
  </si>
  <si>
    <t xml:space="preserve">Retail: General Merchandise</t>
  </si>
  <si>
    <t xml:space="preserve">LoweÕs Home Improvement</t>
  </si>
  <si>
    <t xml:space="preserve">Petco</t>
  </si>
  <si>
    <t xml:space="preserve">Petsmart</t>
  </si>
  <si>
    <t xml:space="preserve">Tesco PLC</t>
  </si>
  <si>
    <t xml:space="preserve">Signet Jewelers</t>
  </si>
  <si>
    <t xml:space="preserve">Retail: Jewelery</t>
  </si>
  <si>
    <t xml:space="preserve">Drizly</t>
  </si>
  <si>
    <t xml:space="preserve">Retail: Liquor</t>
  </si>
  <si>
    <t xml:space="preserve">Custom Ink</t>
  </si>
  <si>
    <t xml:space="preserve">Retail: Online</t>
  </si>
  <si>
    <t xml:space="preserve">Overstock.com</t>
  </si>
  <si>
    <t xml:space="preserve">Zola</t>
  </si>
  <si>
    <t xml:space="preserve">Academy Sports + Outdoors</t>
  </si>
  <si>
    <t xml:space="preserve">Retail: Other</t>
  </si>
  <si>
    <t xml:space="preserve">Accent Decor</t>
  </si>
  <si>
    <t xml:space="preserve">Guitar Center</t>
  </si>
  <si>
    <t xml:space="preserve">Marshall Retail Group</t>
  </si>
  <si>
    <t xml:space="preserve">Uncommon Goods</t>
  </si>
  <si>
    <t xml:space="preserve">ANN Inc.</t>
  </si>
  <si>
    <t xml:space="preserve">Athleta</t>
  </si>
  <si>
    <t xml:space="preserve">Calvin Klein</t>
  </si>
  <si>
    <t xml:space="preserve">DICK'S Sporting Goods</t>
  </si>
  <si>
    <t xml:space="preserve">DSW</t>
  </si>
  <si>
    <t xml:space="preserve">Esprit</t>
  </si>
  <si>
    <t xml:space="preserve">Evisons</t>
  </si>
  <si>
    <t xml:space="preserve">Fossil</t>
  </si>
  <si>
    <t xml:space="preserve">Haggar</t>
  </si>
  <si>
    <t xml:space="preserve">Hollister</t>
  </si>
  <si>
    <t xml:space="preserve">J.Crew</t>
  </si>
  <si>
    <t xml:space="preserve">Jockey International, Inc.</t>
  </si>
  <si>
    <t xml:space="preserve">Lands' End</t>
  </si>
  <si>
    <t xml:space="preserve">Levi Strauss &amp; Co.</t>
  </si>
  <si>
    <t xml:space="preserve">Lululemon Athletica</t>
  </si>
  <si>
    <t xml:space="preserve">New Balance</t>
  </si>
  <si>
    <t xml:space="preserve">PVH Corp.</t>
  </si>
  <si>
    <t xml:space="preserve">Reebok International, Ltd.</t>
  </si>
  <si>
    <t xml:space="preserve">REI</t>
  </si>
  <si>
    <t xml:space="preserve">Trunk Club</t>
  </si>
  <si>
    <t xml:space="preserve">Uniqlo</t>
  </si>
  <si>
    <t xml:space="preserve">Meredith Digital</t>
  </si>
  <si>
    <t xml:space="preserve">Retail: Stationary &amp; Office Supplies</t>
  </si>
  <si>
    <t xml:space="preserve">Office Depot</t>
  </si>
  <si>
    <t xml:space="preserve">Ahold Delhaize</t>
  </si>
  <si>
    <t xml:space="preserve">Family Dollar</t>
  </si>
  <si>
    <t xml:space="preserve">Hy-Vee</t>
  </si>
  <si>
    <t xml:space="preserve">Lowes Foods</t>
  </si>
  <si>
    <t xml:space="preserve">CozyKin</t>
  </si>
  <si>
    <t xml:space="preserve">Services: Daycare</t>
  </si>
  <si>
    <t xml:space="preserve">EasyWayPaper</t>
  </si>
  <si>
    <t xml:space="preserve">Services: Other</t>
  </si>
  <si>
    <t xml:space="preserve">Essay 4 Students</t>
  </si>
  <si>
    <t xml:space="preserve">Industrious</t>
  </si>
  <si>
    <t xml:space="preserve">International SOS</t>
  </si>
  <si>
    <t xml:space="preserve">Sunrun</t>
  </si>
  <si>
    <t xml:space="preserve">Terminix</t>
  </si>
  <si>
    <t xml:space="preserve">Uno Assignment Help</t>
  </si>
  <si>
    <t xml:space="preserve">TransPerfect</t>
  </si>
  <si>
    <t xml:space="preserve">Services: Translation</t>
  </si>
  <si>
    <t xml:space="preserve">Clean Harbors, Inc.</t>
  </si>
  <si>
    <t xml:space="preserve">Services: Waste Management</t>
  </si>
  <si>
    <t xml:space="preserve">Republic Services, Inc.</t>
  </si>
  <si>
    <t xml:space="preserve">Waste Connections</t>
  </si>
  <si>
    <t xml:space="preserve">WIN Waste Innovations</t>
  </si>
  <si>
    <t xml:space="preserve">Nike</t>
  </si>
  <si>
    <t xml:space="preserve">Sporting Goods</t>
  </si>
  <si>
    <t xml:space="preserve">Trek Bikes</t>
  </si>
  <si>
    <t xml:space="preserve">National Football League</t>
  </si>
  <si>
    <t xml:space="preserve">Sports</t>
  </si>
  <si>
    <t xml:space="preserve">Round Rock Express</t>
  </si>
  <si>
    <t xml:space="preserve">Braze</t>
  </si>
  <si>
    <t xml:space="preserve">Technology</t>
  </si>
  <si>
    <t xml:space="preserve">Akamai</t>
  </si>
  <si>
    <t xml:space="preserve">Amazon Web Services</t>
  </si>
  <si>
    <t xml:space="preserve">Atos</t>
  </si>
  <si>
    <t xml:space="preserve">Bepress</t>
  </si>
  <si>
    <t xml:space="preserve">CACI International</t>
  </si>
  <si>
    <t xml:space="preserve">CDK Global</t>
  </si>
  <si>
    <t xml:space="preserve">Chartbeat</t>
  </si>
  <si>
    <t xml:space="preserve">Cognizant</t>
  </si>
  <si>
    <t xml:space="preserve">Cubic Corporation</t>
  </si>
  <si>
    <t xml:space="preserve">Datto, Inc.</t>
  </si>
  <si>
    <t xml:space="preserve">DMI, Inc.</t>
  </si>
  <si>
    <t xml:space="preserve">Impinj</t>
  </si>
  <si>
    <t xml:space="preserve">Iron Mountain</t>
  </si>
  <si>
    <t xml:space="preserve">Knowable</t>
  </si>
  <si>
    <t xml:space="preserve">Leidos</t>
  </si>
  <si>
    <t xml:space="preserve">Luxoft</t>
  </si>
  <si>
    <t xml:space="preserve">MediaMath</t>
  </si>
  <si>
    <t xml:space="preserve">MEDITECH</t>
  </si>
  <si>
    <t xml:space="preserve">MPAY</t>
  </si>
  <si>
    <t xml:space="preserve">NCR Corporation</t>
  </si>
  <si>
    <t xml:space="preserve">Optoro</t>
  </si>
  <si>
    <t xml:space="preserve">Quantcast</t>
  </si>
  <si>
    <t xml:space="preserve">Recurly</t>
  </si>
  <si>
    <t xml:space="preserve">Sirius Computer Solutions</t>
  </si>
  <si>
    <t xml:space="preserve">Teradata</t>
  </si>
  <si>
    <t xml:space="preserve">Twilio</t>
  </si>
  <si>
    <t xml:space="preserve">Unisys</t>
  </si>
  <si>
    <t xml:space="preserve">Volt Information Sciences</t>
  </si>
  <si>
    <t xml:space="preserve">Wipro</t>
  </si>
  <si>
    <t xml:space="preserve">Airbnb</t>
  </si>
  <si>
    <t xml:space="preserve">AOL</t>
  </si>
  <si>
    <t xml:space="preserve">BentoBox</t>
  </si>
  <si>
    <t xml:space="preserve">BlaBlaCar</t>
  </si>
  <si>
    <t xml:space="preserve">Booking.com</t>
  </si>
  <si>
    <t xml:space="preserve">CampusLogic</t>
  </si>
  <si>
    <t xml:space="preserve">CarMax</t>
  </si>
  <si>
    <t xml:space="preserve">Carsales</t>
  </si>
  <si>
    <t xml:space="preserve">ChowNow</t>
  </si>
  <si>
    <t xml:space="preserve">Cloudworkers</t>
  </si>
  <si>
    <t xml:space="preserve">Comoto Holdings</t>
  </si>
  <si>
    <t xml:space="preserve">Divercity</t>
  </si>
  <si>
    <t xml:space="preserve">DoorDash</t>
  </si>
  <si>
    <t xml:space="preserve">Freewheel</t>
  </si>
  <si>
    <t xml:space="preserve">Genius</t>
  </si>
  <si>
    <t xml:space="preserve">GoDaddy</t>
  </si>
  <si>
    <t xml:space="preserve">Groupon</t>
  </si>
  <si>
    <t xml:space="preserve">Grubhub</t>
  </si>
  <si>
    <t xml:space="preserve">Ibotta</t>
  </si>
  <si>
    <t xml:space="preserve">Indiegogo</t>
  </si>
  <si>
    <t xml:space="preserve">Justworks</t>
  </si>
  <si>
    <t xml:space="preserve">LaunchGood</t>
  </si>
  <si>
    <t xml:space="preserve">Lyft</t>
  </si>
  <si>
    <t xml:space="preserve">Match</t>
  </si>
  <si>
    <t xml:space="preserve">Match Group</t>
  </si>
  <si>
    <t xml:space="preserve">Meta</t>
  </si>
  <si>
    <t xml:space="preserve">MindSumo</t>
  </si>
  <si>
    <t xml:space="preserve">Nerdwallet</t>
  </si>
  <si>
    <t xml:space="preserve">Netflix</t>
  </si>
  <si>
    <t xml:space="preserve">Noom, inc.</t>
  </si>
  <si>
    <t xml:space="preserve">Offerup</t>
  </si>
  <si>
    <t xml:space="preserve">OLX Group</t>
  </si>
  <si>
    <t xml:space="preserve">ON Semiconductor</t>
  </si>
  <si>
    <t xml:space="preserve">Peapod Digital Labs</t>
  </si>
  <si>
    <t xml:space="preserve">Postmates</t>
  </si>
  <si>
    <t xml:space="preserve">Rally Health</t>
  </si>
  <si>
    <t xml:space="preserve">Reddit</t>
  </si>
  <si>
    <t xml:space="preserve">Shopify</t>
  </si>
  <si>
    <t xml:space="preserve">Spotify</t>
  </si>
  <si>
    <t xml:space="preserve">Spring Health</t>
  </si>
  <si>
    <t xml:space="preserve">Squarespace</t>
  </si>
  <si>
    <t xml:space="preserve">Travelzoo</t>
  </si>
  <si>
    <t xml:space="preserve">Twitter</t>
  </si>
  <si>
    <t xml:space="preserve">WorkMarket</t>
  </si>
  <si>
    <t xml:space="preserve">Yelp</t>
  </si>
  <si>
    <t xml:space="preserve">YouTube</t>
  </si>
  <si>
    <t xml:space="preserve">Zillow</t>
  </si>
  <si>
    <t xml:space="preserve">Zumper</t>
  </si>
  <si>
    <t xml:space="preserve">Enova</t>
  </si>
  <si>
    <t xml:space="preserve">Funding Circle</t>
  </si>
  <si>
    <t xml:space="preserve">Kabbage</t>
  </si>
  <si>
    <t xml:space="preserve">Amazon Games</t>
  </si>
  <si>
    <t xml:space="preserve">Roblox</t>
  </si>
  <si>
    <t xml:space="preserve">Advantest</t>
  </si>
  <si>
    <t xml:space="preserve">Analog Devices</t>
  </si>
  <si>
    <t xml:space="preserve">Aruba Networks</t>
  </si>
  <si>
    <t xml:space="preserve">Cadence Design Systems</t>
  </si>
  <si>
    <t xml:space="preserve">Cirrus Logic</t>
  </si>
  <si>
    <t xml:space="preserve">Ericsson</t>
  </si>
  <si>
    <t xml:space="preserve">GlobalFoundries</t>
  </si>
  <si>
    <t xml:space="preserve">HP Inc.</t>
  </si>
  <si>
    <t xml:space="preserve">Infineon Technologies</t>
  </si>
  <si>
    <t xml:space="preserve">Itron</t>
  </si>
  <si>
    <t xml:space="preserve">Juniper Networks</t>
  </si>
  <si>
    <t xml:space="preserve">KLA-Tencor Corporation</t>
  </si>
  <si>
    <t xml:space="preserve">Lenovo</t>
  </si>
  <si>
    <t xml:space="preserve">Markforged</t>
  </si>
  <si>
    <t xml:space="preserve">Molecular Devices</t>
  </si>
  <si>
    <t xml:space="preserve">National Instruments</t>
  </si>
  <si>
    <t xml:space="preserve">Roku</t>
  </si>
  <si>
    <t xml:space="preserve">Seagate Technology</t>
  </si>
  <si>
    <t xml:space="preserve">Siemens Energy</t>
  </si>
  <si>
    <t xml:space="preserve">Snap Inc.</t>
  </si>
  <si>
    <t xml:space="preserve">Texas Instruments</t>
  </si>
  <si>
    <t xml:space="preserve">Currencycloud</t>
  </si>
  <si>
    <t xml:space="preserve">Gusto</t>
  </si>
  <si>
    <t xml:space="preserve">Ingenico Group</t>
  </si>
  <si>
    <t xml:space="preserve">MineralTree</t>
  </si>
  <si>
    <t xml:space="preserve">Pangea Money Transfer</t>
  </si>
  <si>
    <t xml:space="preserve">PayPal</t>
  </si>
  <si>
    <t xml:space="preserve">Plastiq</t>
  </si>
  <si>
    <t xml:space="preserve">Ramp</t>
  </si>
  <si>
    <t xml:space="preserve">Square</t>
  </si>
  <si>
    <t xml:space="preserve">Magic Leap</t>
  </si>
  <si>
    <t xml:space="preserve">ADT Security Services</t>
  </si>
  <si>
    <t xml:space="preserve">Alarm.com</t>
  </si>
  <si>
    <t xml:space="preserve">Brivo</t>
  </si>
  <si>
    <t xml:space="preserve">Coalfire</t>
  </si>
  <si>
    <t xml:space="preserve">CrowdStrike</t>
  </si>
  <si>
    <t xml:space="preserve">Entrust</t>
  </si>
  <si>
    <t xml:space="preserve">RSA</t>
  </si>
  <si>
    <t xml:space="preserve">Trustwave Holdings</t>
  </si>
  <si>
    <t xml:space="preserve">Agilysys</t>
  </si>
  <si>
    <t xml:space="preserve">Alkami Technology</t>
  </si>
  <si>
    <t xml:space="preserve">Alteryx</t>
  </si>
  <si>
    <t xml:space="preserve">Amplitude</t>
  </si>
  <si>
    <t xml:space="preserve">Anant Corporation</t>
  </si>
  <si>
    <t xml:space="preserve">Ansys</t>
  </si>
  <si>
    <t xml:space="preserve">AppDynamics</t>
  </si>
  <si>
    <t xml:space="preserve">Aquicore</t>
  </si>
  <si>
    <t xml:space="preserve">ArisGlobal</t>
  </si>
  <si>
    <t xml:space="preserve">Atlassian</t>
  </si>
  <si>
    <t xml:space="preserve">Automox</t>
  </si>
  <si>
    <t xml:space="preserve">Aware, Inc</t>
  </si>
  <si>
    <t xml:space="preserve">Axon</t>
  </si>
  <si>
    <t xml:space="preserve">Bentley Systems, Inc.</t>
  </si>
  <si>
    <t xml:space="preserve">BigCommerce</t>
  </si>
  <si>
    <t xml:space="preserve">Bitdefender</t>
  </si>
  <si>
    <t xml:space="preserve">Blackbaud</t>
  </si>
  <si>
    <t xml:space="preserve">Bullhorn</t>
  </si>
  <si>
    <t xml:space="preserve">CallRail</t>
  </si>
  <si>
    <t xml:space="preserve">Canva</t>
  </si>
  <si>
    <t xml:space="preserve">CareValidate</t>
  </si>
  <si>
    <t xml:space="preserve">CentralSquare Technologies</t>
  </si>
  <si>
    <t xml:space="preserve">Ceridian</t>
  </si>
  <si>
    <t xml:space="preserve">Citrix</t>
  </si>
  <si>
    <t xml:space="preserve">ClearPoint Strategy</t>
  </si>
  <si>
    <t xml:space="preserve">Cludo</t>
  </si>
  <si>
    <t xml:space="preserve">Collective Health</t>
  </si>
  <si>
    <t xml:space="preserve">Collibra</t>
  </si>
  <si>
    <t xml:space="preserve">Community Brands</t>
  </si>
  <si>
    <t xml:space="preserve">ConsenSys</t>
  </si>
  <si>
    <t xml:space="preserve">Conviva</t>
  </si>
  <si>
    <t xml:space="preserve">Convoy</t>
  </si>
  <si>
    <t xml:space="preserve">Coupa</t>
  </si>
  <si>
    <t xml:space="preserve">Dassault Systemes</t>
  </si>
  <si>
    <t xml:space="preserve">Detechtion Technologies</t>
  </si>
  <si>
    <t xml:space="preserve">Digit</t>
  </si>
  <si>
    <t xml:space="preserve">DISCO</t>
  </si>
  <si>
    <t xml:space="preserve">Donnelley Financial Solutions</t>
  </si>
  <si>
    <t xml:space="preserve">Doximity</t>
  </si>
  <si>
    <t xml:space="preserve">DxMinds Technologies Inc</t>
  </si>
  <si>
    <t xml:space="preserve">Dynatrace</t>
  </si>
  <si>
    <t xml:space="preserve">Ellevation Education</t>
  </si>
  <si>
    <t xml:space="preserve">Engrain</t>
  </si>
  <si>
    <t xml:space="preserve">ePublishing</t>
  </si>
  <si>
    <t xml:space="preserve">Esri</t>
  </si>
  <si>
    <t xml:space="preserve">Expeed Software</t>
  </si>
  <si>
    <t xml:space="preserve">Fearless</t>
  </si>
  <si>
    <t xml:space="preserve">Flexera Software</t>
  </si>
  <si>
    <t xml:space="preserve">FreshBooks</t>
  </si>
  <si>
    <t xml:space="preserve">Freshworks</t>
  </si>
  <si>
    <t xml:space="preserve">Frontline Education</t>
  </si>
  <si>
    <t xml:space="preserve">Fusion Risk Management</t>
  </si>
  <si>
    <t xml:space="preserve">GlossGenius</t>
  </si>
  <si>
    <t xml:space="preserve">Gong</t>
  </si>
  <si>
    <t xml:space="preserve">GoodCore Software</t>
  </si>
  <si>
    <t xml:space="preserve">Higher Logic</t>
  </si>
  <si>
    <t xml:space="preserve">HubSpot, Inc.</t>
  </si>
  <si>
    <t xml:space="preserve">Hudl</t>
  </si>
  <si>
    <t xml:space="preserve">iCIMS, Inc.</t>
  </si>
  <si>
    <t xml:space="preserve">Infor</t>
  </si>
  <si>
    <t xml:space="preserve">Informatica</t>
  </si>
  <si>
    <t xml:space="preserve">InsightSquared</t>
  </si>
  <si>
    <t xml:space="preserve">Instructure</t>
  </si>
  <si>
    <t xml:space="preserve">Integrity Software</t>
  </si>
  <si>
    <t xml:space="preserve">Intellimize</t>
  </si>
  <si>
    <t xml:space="preserve">Intuit, Inc</t>
  </si>
  <si>
    <t xml:space="preserve">JHC Systems</t>
  </si>
  <si>
    <t xml:space="preserve">Juice Analytics</t>
  </si>
  <si>
    <t xml:space="preserve">Kajabi</t>
  </si>
  <si>
    <t xml:space="preserve">Khoros</t>
  </si>
  <si>
    <t xml:space="preserve">LevaData</t>
  </si>
  <si>
    <t xml:space="preserve">Lionbridge</t>
  </si>
  <si>
    <t xml:space="preserve">Lithero</t>
  </si>
  <si>
    <t xml:space="preserve">Mad Mobile</t>
  </si>
  <si>
    <t xml:space="preserve">Maestro</t>
  </si>
  <si>
    <t xml:space="preserve">Mapbox</t>
  </si>
  <si>
    <t xml:space="preserve">MaritzCX</t>
  </si>
  <si>
    <t xml:space="preserve">Medallia</t>
  </si>
  <si>
    <t xml:space="preserve">Microsoft</t>
  </si>
  <si>
    <t xml:space="preserve">MicroStrategy</t>
  </si>
  <si>
    <t xml:space="preserve">MobileIron</t>
  </si>
  <si>
    <t xml:space="preserve">Mode Mobile</t>
  </si>
  <si>
    <t xml:space="preserve">MongoDB, Inc.</t>
  </si>
  <si>
    <t xml:space="preserve">Motus LLC</t>
  </si>
  <si>
    <t xml:space="preserve">Netskope</t>
  </si>
  <si>
    <t xml:space="preserve">NetSuite Inc.</t>
  </si>
  <si>
    <t xml:space="preserve">New Relic</t>
  </si>
  <si>
    <t xml:space="preserve">Nextech</t>
  </si>
  <si>
    <t xml:space="preserve">NextGen Healthcare</t>
  </si>
  <si>
    <t xml:space="preserve">Nutanix</t>
  </si>
  <si>
    <t xml:space="preserve">OfferFit</t>
  </si>
  <si>
    <t xml:space="preserve">Palantir</t>
  </si>
  <si>
    <t xml:space="preserve">PandaDoc</t>
  </si>
  <si>
    <t xml:space="preserve">panOpen</t>
  </si>
  <si>
    <t xml:space="preserve">Panopto, Inc.</t>
  </si>
  <si>
    <t xml:space="preserve">Patron Technology</t>
  </si>
  <si>
    <t xml:space="preserve">Paylocity</t>
  </si>
  <si>
    <t xml:space="preserve">Pear Therapeutics</t>
  </si>
  <si>
    <t xml:space="preserve">Persistent Systems</t>
  </si>
  <si>
    <t xml:space="preserve">Pexip</t>
  </si>
  <si>
    <t xml:space="preserve">PhotoShelter</t>
  </si>
  <si>
    <t xml:space="preserve">Praxent</t>
  </si>
  <si>
    <t xml:space="preserve">Privitar Ltd</t>
  </si>
  <si>
    <t xml:space="preserve">Procore Technologies</t>
  </si>
  <si>
    <t xml:space="preserve">Qualtrics</t>
  </si>
  <si>
    <t xml:space="preserve">Rangle.io</t>
  </si>
  <si>
    <t xml:space="preserve">Red Hat</t>
  </si>
  <si>
    <t xml:space="preserve">Rosetta Stone</t>
  </si>
  <si>
    <t xml:space="preserve">Safety Labs Inc</t>
  </si>
  <si>
    <t xml:space="preserve">Sage</t>
  </si>
  <si>
    <t xml:space="preserve">SAP</t>
  </si>
  <si>
    <t xml:space="preserve">SAS</t>
  </si>
  <si>
    <t xml:space="preserve">Screencastify</t>
  </si>
  <si>
    <t xml:space="preserve">ServiceTitan</t>
  </si>
  <si>
    <t xml:space="preserve">Siemens Digital Industries Software</t>
  </si>
  <si>
    <t xml:space="preserve">Signzy Technology Private Limited</t>
  </si>
  <si>
    <t xml:space="preserve">SmartBear Software</t>
  </si>
  <si>
    <t xml:space="preserve">Splunk</t>
  </si>
  <si>
    <t xml:space="preserve">Storable</t>
  </si>
  <si>
    <t xml:space="preserve">Tableau Software</t>
  </si>
  <si>
    <t xml:space="preserve">Taboola</t>
  </si>
  <si>
    <t xml:space="preserve">Talkdesk</t>
  </si>
  <si>
    <t xml:space="preserve">TIBCO Software</t>
  </si>
  <si>
    <t xml:space="preserve">Triton Digital</t>
  </si>
  <si>
    <t xml:space="preserve">Veeva Systems</t>
  </si>
  <si>
    <t xml:space="preserve">VMware</t>
  </si>
  <si>
    <t xml:space="preserve">WGU Labs</t>
  </si>
  <si>
    <t xml:space="preserve">Workday</t>
  </si>
  <si>
    <t xml:space="preserve">WorkJam</t>
  </si>
  <si>
    <t xml:space="preserve">Wrike, Inc.</t>
  </si>
  <si>
    <t xml:space="preserve">Xactly Corporation</t>
  </si>
  <si>
    <t xml:space="preserve">Xandr</t>
  </si>
  <si>
    <t xml:space="preserve">Zapier</t>
  </si>
  <si>
    <t xml:space="preserve">Charter Communications</t>
  </si>
  <si>
    <t xml:space="preserve">Asurion</t>
  </si>
  <si>
    <t xml:space="preserve">AT&amp;T</t>
  </si>
  <si>
    <t xml:space="preserve">Ciena</t>
  </si>
  <si>
    <t xml:space="preserve">Comcast</t>
  </si>
  <si>
    <t xml:space="preserve">Cox</t>
  </si>
  <si>
    <t xml:space="preserve">G Fiber</t>
  </si>
  <si>
    <t xml:space="preserve">Hughes Network Systems</t>
  </si>
  <si>
    <t xml:space="preserve">Qualcomm Incorporated</t>
  </si>
  <si>
    <t xml:space="preserve">RingCentral, Inc.</t>
  </si>
  <si>
    <t xml:space="preserve">Telnyx</t>
  </si>
  <si>
    <t xml:space="preserve">Viettel Group</t>
  </si>
  <si>
    <t xml:space="preserve">Zara</t>
  </si>
  <si>
    <t xml:space="preserve">Textiles</t>
  </si>
  <si>
    <t xml:space="preserve">FlixBus</t>
  </si>
  <si>
    <t xml:space="preserve">Transportation: Bus</t>
  </si>
  <si>
    <t xml:space="preserve">UPS</t>
  </si>
  <si>
    <t xml:space="preserve">CSX Corporation</t>
  </si>
  <si>
    <t xml:space="preserve">Dematic</t>
  </si>
  <si>
    <t xml:space="preserve">Echo Global Logistics</t>
  </si>
  <si>
    <t xml:space="preserve">Redwood Logistics</t>
  </si>
  <si>
    <t xml:space="preserve">Transplace</t>
  </si>
  <si>
    <t xml:space="preserve">UniGroup</t>
  </si>
  <si>
    <t xml:space="preserve">American Airlines</t>
  </si>
  <si>
    <t xml:space="preserve">Transportation: Passenger Air</t>
  </si>
  <si>
    <t xml:space="preserve">Southwest Airlines</t>
  </si>
  <si>
    <t xml:space="preserve">United Airlines</t>
  </si>
  <si>
    <t xml:space="preserve">Amtrak</t>
  </si>
  <si>
    <t xml:space="preserve">BNSF Logistics</t>
  </si>
  <si>
    <t xml:space="preserve">Kansas City Southern</t>
  </si>
  <si>
    <t xml:space="preserve">Avis Budget Group, Inc.</t>
  </si>
  <si>
    <t xml:space="preserve">Transportation: Rental</t>
  </si>
  <si>
    <t xml:space="preserve">Enterprise Holdings</t>
  </si>
  <si>
    <t xml:space="preserve">Hertz Global Holdings, Inc.</t>
  </si>
  <si>
    <t xml:space="preserve">ISO New England</t>
  </si>
  <si>
    <t xml:space="preserve">Utilities</t>
  </si>
  <si>
    <t xml:space="preserve">Equinox</t>
  </si>
  <si>
    <t xml:space="preserve">THE WELL</t>
  </si>
  <si>
    <t xml:space="preserve">C&amp;S Wholesale Grocers</t>
  </si>
  <si>
    <t xml:space="preserve">Martine's Wines</t>
  </si>
  <si>
    <t xml:space="preserve">Sonepar</t>
  </si>
  <si>
    <t xml:space="preserve">Sonepar USA</t>
  </si>
  <si>
    <t xml:space="preserve">Worldwide Produce</t>
  </si>
  <si>
    <t xml:space="preserve">Daggerwing Group Inc.</t>
  </si>
  <si>
    <t xml:space="preserve">KBS</t>
  </si>
  <si>
    <t xml:space="preserve">Wilson Dow Group</t>
  </si>
  <si>
    <t xml:space="preserve">Compass Group PLC</t>
  </si>
  <si>
    <t xml:space="preserve">Hays PLC</t>
  </si>
  <si>
    <t xml:space="preserve">S.i. Systems</t>
  </si>
  <si>
    <t xml:space="preserve">Vectrus</t>
  </si>
  <si>
    <t xml:space="preserve">Scentsy</t>
  </si>
  <si>
    <t xml:space="preserve">Yankee Candle</t>
  </si>
  <si>
    <t xml:space="preserve">Weill Cornell Medicine</t>
  </si>
  <si>
    <t xml:space="preserve">Round Rock ISD</t>
  </si>
  <si>
    <t xml:space="preserve">Austin Independent School District</t>
  </si>
  <si>
    <t xml:space="preserve">Bain Capital</t>
  </si>
  <si>
    <t xml:space="preserve">KKR &amp; Co. LP</t>
  </si>
  <si>
    <t xml:space="preserve">Nationwide Building Society</t>
  </si>
  <si>
    <t xml:space="preserve">Carbon Health</t>
  </si>
  <si>
    <t xml:space="preserve">Nemours</t>
  </si>
  <si>
    <t xml:space="preserve">ProMedica</t>
  </si>
  <si>
    <t xml:space="preserve">Trinity Health System</t>
  </si>
  <si>
    <t xml:space="preserve">University Hospitals</t>
  </si>
  <si>
    <t xml:space="preserve">NxStage Medical, Inc.</t>
  </si>
  <si>
    <t xml:space="preserve">Intercontinental Hotels Group</t>
  </si>
  <si>
    <t xml:space="preserve">Waffle House</t>
  </si>
  <si>
    <t xml:space="preserve">Whataburger</t>
  </si>
  <si>
    <t xml:space="preserve">Pella Windows and Doors</t>
  </si>
  <si>
    <t xml:space="preserve">American Bridge Company</t>
  </si>
  <si>
    <t xml:space="preserve">Black &amp; Veatch</t>
  </si>
  <si>
    <t xml:space="preserve">Bhel</t>
  </si>
  <si>
    <t xml:space="preserve">Macy's Technology</t>
  </si>
  <si>
    <t xml:space="preserve">Wisetech Global</t>
  </si>
  <si>
    <t xml:space="preserve">Yext</t>
  </si>
  <si>
    <t xml:space="preserve">Matrix Absence Management, Inc.</t>
  </si>
  <si>
    <t xml:space="preserve">Elevance Health</t>
  </si>
  <si>
    <t xml:space="preserve">Auto-Owners Insurance</t>
  </si>
  <si>
    <t xml:space="preserve">Hapag-Lloyd</t>
  </si>
  <si>
    <t xml:space="preserve">Maritime</t>
  </si>
  <si>
    <t xml:space="preserve">BASF</t>
  </si>
  <si>
    <t xml:space="preserve">Alpha Natural Resources</t>
  </si>
  <si>
    <t xml:space="preserve">Barrick Gold Corporation</t>
  </si>
  <si>
    <t xml:space="preserve">BP</t>
  </si>
  <si>
    <t xml:space="preserve">Halliburton</t>
  </si>
  <si>
    <t xml:space="preserve">National Oilwell Varco, Inc.</t>
  </si>
  <si>
    <t xml:space="preserve">Silicon Valley Employers Forum</t>
  </si>
  <si>
    <t xml:space="preserve">SPEEA</t>
  </si>
  <si>
    <t xml:space="preserve">AmerisourceBergen</t>
  </si>
  <si>
    <t xml:space="preserve">Transwestern</t>
  </si>
  <si>
    <t xml:space="preserve">Trader JoeÕs</t>
  </si>
  <si>
    <t xml:space="preserve">Harrods</t>
  </si>
  <si>
    <t xml:space="preserve">Tractor Supply Company</t>
  </si>
  <si>
    <t xml:space="preserve">American Eagle Outfitters</t>
  </si>
  <si>
    <t xml:space="preserve">LVMH</t>
  </si>
  <si>
    <t xml:space="preserve">Steve Madden</t>
  </si>
  <si>
    <t xml:space="preserve">Food Lion</t>
  </si>
  <si>
    <t xml:space="preserve">Bright Horizons</t>
  </si>
  <si>
    <t xml:space="preserve">Talent Inc.</t>
  </si>
  <si>
    <t xml:space="preserve">SHI International Corp.</t>
  </si>
  <si>
    <t xml:space="preserve">Vistaprint</t>
  </si>
  <si>
    <t xml:space="preserve">Fujifilm Global</t>
  </si>
  <si>
    <t xml:space="preserve">PlayStation</t>
  </si>
  <si>
    <t xml:space="preserve">Druva</t>
  </si>
  <si>
    <t xml:space="preserve">SurveyGizmo</t>
  </si>
  <si>
    <t xml:space="preserve">Xero</t>
  </si>
  <si>
    <t xml:space="preserve">Fedex Supply Chain</t>
  </si>
  <si>
    <t xml:space="preserve">Schneider National</t>
  </si>
  <si>
    <t xml:space="preserve">HD Supply</t>
  </si>
  <si>
    <t xml:space="preserve">Merrimac Industrial Sales</t>
  </si>
  <si>
    <t xml:space="preserve">Industry Summary — Average / Min / Max Leave by Industry (weeks)</t>
  </si>
  <si>
    <t xml:space="preserve">All figures pull live from the 'Source Data' sheet via AVERAGEIF / MINIFS / MAXIFS. Blank source cells are ignored automatically.</t>
  </si>
  <si>
    <t xml:space="preserve">Company Count</t>
  </si>
  <si>
    <t xml:space="preserve">Paid Maternity Leave — Avg</t>
  </si>
  <si>
    <t xml:space="preserve">Paid Maternity Leave — Min</t>
  </si>
  <si>
    <t xml:space="preserve">Paid Maternity Leave — Max</t>
  </si>
  <si>
    <t xml:space="preserve">Unpaid Maternity Leave — Avg</t>
  </si>
  <si>
    <t xml:space="preserve">Unpaid Maternity Leave — Min</t>
  </si>
  <si>
    <t xml:space="preserve">Unpaid Maternity Leave — Max</t>
  </si>
  <si>
    <t xml:space="preserve">Paid Paternity Leave — Avg</t>
  </si>
  <si>
    <t xml:space="preserve">Paid Paternity Leave — Min</t>
  </si>
  <si>
    <t xml:space="preserve">Paid Paternity Leave — Max</t>
  </si>
  <si>
    <t xml:space="preserve">Unpaid Paternity Leave — Avg</t>
  </si>
  <si>
    <t xml:space="preserve">Unpaid Paternity Leave — Min</t>
  </si>
  <si>
    <t xml:space="preserve">Unpaid Paternity Leave — Max</t>
  </si>
  <si>
    <t xml:space="preserve">Leave Gap Analysis — Paid Maternity vs Paid Paternity Leave by Company</t>
  </si>
  <si>
    <t xml:space="preserve">Gap (weeks) = Paid Maternity Leave − Paid Paternity Leave, pulled live from 'Source Data'. A blank paid-leave figure is treated as 0 weeks here so every company gets a gap value (see assumptions in the Summary sheet).</t>
  </si>
  <si>
    <t xml:space="preserve">Paid Maternity Leave (weeks)</t>
  </si>
  <si>
    <t xml:space="preserve">Paid Paternity Leave (weeks)</t>
  </si>
  <si>
    <t xml:space="preserve">Gap (Maternity − Paternity)</t>
  </si>
  <si>
    <t xml:space="preserve">Maternity Advantage?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</si>
</sst>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n">
        <f aca="false">COUNTA('Source Data'!$A$2:$A$1602)</f>
        <v>1601</v>
      </c>
    </row>
    <row r="4" customFormat="false" ht="15" hidden="false" customHeight="false" outlineLevel="0" collapsed="false">
      <c r="A4" s="2" t="s">
        <v>2</v>
      </c>
      <c r="B4" s="3" t="n">
        <v>186</v>
      </c>
    </row>
    <row r="6" customFormat="false" ht="26.85" hidden="false" customHeight="fals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customFormat="false" ht="15" hidden="false" customHeight="false" outlineLevel="0" collapsed="false">
      <c r="A7" s="5" t="s">
        <v>8</v>
      </c>
      <c r="B7" s="6" t="n">
        <f aca="false">AVERAGE('Source Data'!$C$2:$C$1602)</f>
        <v>10.9091193004372</v>
      </c>
      <c r="C7" s="6" t="n">
        <f aca="false">MIN('Source Data'!$C$2:$C$1602)</f>
        <v>0</v>
      </c>
      <c r="D7" s="6" t="n">
        <f aca="false">MAX('Source Data'!$C$2:$C$1602)</f>
        <v>52</v>
      </c>
      <c r="E7" s="7" t="n">
        <f aca="false">COUNT('Source Data'!$C$2:$C$1602)</f>
        <v>1601</v>
      </c>
    </row>
    <row r="8" customFormat="false" ht="15" hidden="false" customHeight="false" outlineLevel="0" collapsed="false">
      <c r="A8" s="5" t="s">
        <v>9</v>
      </c>
      <c r="B8" s="6" t="n">
        <f aca="false">AVERAGE('Source Data'!$D$2:$D$1602)</f>
        <v>6.62884872824632</v>
      </c>
      <c r="C8" s="6" t="n">
        <f aca="false">MIN('Source Data'!$D$2:$D$1602)</f>
        <v>0</v>
      </c>
      <c r="D8" s="6" t="n">
        <f aca="false">MAX('Source Data'!$D$2:$D$1602)</f>
        <v>52</v>
      </c>
      <c r="E8" s="7" t="n">
        <f aca="false">COUNT('Source Data'!$D$2:$D$1602)</f>
        <v>1494</v>
      </c>
    </row>
    <row r="9" customFormat="false" ht="15" hidden="false" customHeight="false" outlineLevel="0" collapsed="false">
      <c r="A9" s="5" t="s">
        <v>10</v>
      </c>
      <c r="B9" s="6" t="n">
        <f aca="false">AVERAGE('Source Data'!$E$2:$E$1602)</f>
        <v>7.33217993079585</v>
      </c>
      <c r="C9" s="6" t="n">
        <f aca="false">MIN('Source Data'!$E$2:$E$1602)</f>
        <v>0</v>
      </c>
      <c r="D9" s="6" t="n">
        <f aca="false">MAX('Source Data'!$E$2:$E$1602)</f>
        <v>51</v>
      </c>
      <c r="E9" s="7" t="n">
        <f aca="false">COUNT('Source Data'!$E$2:$E$1602)</f>
        <v>289</v>
      </c>
    </row>
    <row r="10" customFormat="false" ht="15" hidden="false" customHeight="false" outlineLevel="0" collapsed="false">
      <c r="A10" s="5" t="s">
        <v>11</v>
      </c>
      <c r="B10" s="6" t="n">
        <f aca="false">AVERAGE('Source Data'!$F$2:$F$1602)</f>
        <v>7.734375</v>
      </c>
      <c r="C10" s="6" t="n">
        <f aca="false">MIN('Source Data'!$F$2:$F$1602)</f>
        <v>0</v>
      </c>
      <c r="D10" s="6" t="n">
        <f aca="false">MAX('Source Data'!$F$2:$F$1602)</f>
        <v>29</v>
      </c>
      <c r="E10" s="7" t="n">
        <f aca="false">COUNT('Source Data'!$F$2:$F$1602)</f>
        <v>64</v>
      </c>
    </row>
    <row r="12" customFormat="false" ht="15" hidden="false" customHeight="false" outlineLevel="0" collapsed="false">
      <c r="A12" s="2" t="s">
        <v>12</v>
      </c>
    </row>
    <row r="13" customFormat="false" ht="15" hidden="false" customHeight="false" outlineLevel="0" collapsed="false">
      <c r="A13" s="8" t="s">
        <v>13</v>
      </c>
      <c r="B13" s="8"/>
      <c r="C13" s="8"/>
      <c r="D13" s="8"/>
      <c r="E13" s="8"/>
      <c r="F13" s="8"/>
    </row>
    <row r="14" customFormat="false" ht="15" hidden="false" customHeight="false" outlineLevel="0" collapsed="false">
      <c r="A14" s="8" t="s">
        <v>14</v>
      </c>
      <c r="B14" s="8"/>
      <c r="C14" s="8"/>
      <c r="D14" s="8"/>
      <c r="E14" s="8"/>
      <c r="F14" s="8"/>
    </row>
    <row r="15" customFormat="false" ht="15" hidden="false" customHeight="false" outlineLevel="0" collapsed="false">
      <c r="A15" s="8" t="s">
        <v>15</v>
      </c>
      <c r="B15" s="8"/>
      <c r="C15" s="8"/>
      <c r="D15" s="8"/>
      <c r="E15" s="8"/>
      <c r="F15" s="8"/>
    </row>
    <row r="16" customFormat="false" ht="15" hidden="false" customHeight="false" outlineLevel="0" collapsed="false">
      <c r="A16" s="8" t="s">
        <v>16</v>
      </c>
      <c r="B16" s="8"/>
      <c r="C16" s="8"/>
      <c r="D16" s="8"/>
      <c r="E16" s="8"/>
      <c r="F16" s="8"/>
    </row>
    <row r="17" customFormat="false" ht="15" hidden="false" customHeight="false" outlineLevel="0" collapsed="false">
      <c r="A17" s="8" t="s">
        <v>17</v>
      </c>
      <c r="B17" s="8"/>
      <c r="C17" s="8"/>
      <c r="D17" s="8"/>
      <c r="E17" s="8"/>
      <c r="F17" s="8"/>
    </row>
  </sheetData>
  <mergeCells count="6">
    <mergeCell ref="A1:D1"/>
    <mergeCell ref="A13:F13"/>
    <mergeCell ref="A14:F14"/>
    <mergeCell ref="A15:F15"/>
    <mergeCell ref="A16:F16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5"/>
  </cols>
  <sheetData>
    <row r="1" customFormat="false" ht="39.55" hidden="false" customHeight="false" outlineLevel="0" collapsed="false">
      <c r="A1" s="4" t="s">
        <v>18</v>
      </c>
      <c r="B1" s="4" t="s">
        <v>19</v>
      </c>
      <c r="C1" s="4" t="s">
        <v>8</v>
      </c>
      <c r="D1" s="4" t="s">
        <v>9</v>
      </c>
      <c r="E1" s="4" t="s">
        <v>10</v>
      </c>
      <c r="F1" s="4" t="s">
        <v>11</v>
      </c>
    </row>
    <row r="2" customFormat="false" ht="15" hidden="false" customHeight="false" outlineLevel="0" collapsed="false">
      <c r="A2" s="5" t="s">
        <v>20</v>
      </c>
      <c r="B2" s="5" t="s">
        <v>21</v>
      </c>
      <c r="C2" s="6" t="n">
        <v>6</v>
      </c>
      <c r="D2" s="6" t="n">
        <v>6</v>
      </c>
      <c r="E2" s="6" t="n">
        <v>6</v>
      </c>
      <c r="F2" s="6" t="n">
        <v>6</v>
      </c>
    </row>
    <row r="3" customFormat="false" ht="15" hidden="false" customHeight="false" outlineLevel="0" collapsed="false">
      <c r="A3" s="5" t="s">
        <v>22</v>
      </c>
      <c r="B3" s="5" t="s">
        <v>23</v>
      </c>
      <c r="C3" s="6" t="n">
        <v>5</v>
      </c>
      <c r="D3" s="6" t="n">
        <v>4</v>
      </c>
      <c r="E3" s="6" t="n">
        <v>4.5</v>
      </c>
      <c r="F3" s="6" t="n">
        <v>4</v>
      </c>
    </row>
    <row r="4" customFormat="false" ht="15" hidden="false" customHeight="false" outlineLevel="0" collapsed="false">
      <c r="A4" s="5" t="s">
        <v>24</v>
      </c>
      <c r="B4" s="5" t="s">
        <v>25</v>
      </c>
      <c r="C4" s="6" t="n">
        <v>14</v>
      </c>
      <c r="D4" s="6" t="n">
        <v>0</v>
      </c>
      <c r="E4" s="6" t="n">
        <v>8</v>
      </c>
      <c r="F4" s="6" t="n">
        <v>4</v>
      </c>
    </row>
    <row r="5" customFormat="false" ht="15" hidden="false" customHeight="false" outlineLevel="0" collapsed="false">
      <c r="A5" s="5" t="s">
        <v>26</v>
      </c>
      <c r="B5" s="5" t="s">
        <v>25</v>
      </c>
      <c r="C5" s="6" t="n">
        <v>14</v>
      </c>
      <c r="D5" s="6" t="n">
        <v>2</v>
      </c>
      <c r="E5" s="6" t="n">
        <v>16</v>
      </c>
      <c r="F5" s="6" t="n">
        <v>4</v>
      </c>
    </row>
    <row r="6" customFormat="false" ht="15" hidden="false" customHeight="false" outlineLevel="0" collapsed="false">
      <c r="A6" s="5" t="s">
        <v>27</v>
      </c>
      <c r="B6" s="5" t="s">
        <v>28</v>
      </c>
      <c r="C6" s="6" t="n">
        <v>5</v>
      </c>
      <c r="D6" s="6" t="n">
        <v>7</v>
      </c>
      <c r="E6" s="6" t="n">
        <v>0</v>
      </c>
      <c r="F6" s="6" t="n">
        <v>0</v>
      </c>
    </row>
    <row r="7" customFormat="false" ht="15" hidden="false" customHeight="false" outlineLevel="0" collapsed="false">
      <c r="A7" s="5" t="s">
        <v>29</v>
      </c>
      <c r="B7" s="5" t="s">
        <v>30</v>
      </c>
      <c r="C7" s="6" t="n">
        <v>20.5</v>
      </c>
      <c r="D7" s="6" t="n">
        <v>5</v>
      </c>
      <c r="E7" s="6" t="n">
        <v>21</v>
      </c>
      <c r="F7" s="6" t="n">
        <v>5</v>
      </c>
    </row>
    <row r="8" customFormat="false" ht="15" hidden="false" customHeight="false" outlineLevel="0" collapsed="false">
      <c r="A8" s="5" t="s">
        <v>31</v>
      </c>
      <c r="B8" s="5" t="s">
        <v>30</v>
      </c>
      <c r="C8" s="6" t="n">
        <v>8</v>
      </c>
      <c r="D8" s="6" t="n">
        <v>12</v>
      </c>
      <c r="E8" s="6" t="n">
        <v>1</v>
      </c>
      <c r="F8" s="6" t="n">
        <v>12</v>
      </c>
    </row>
    <row r="9" customFormat="false" ht="15" hidden="false" customHeight="false" outlineLevel="0" collapsed="false">
      <c r="A9" s="5" t="s">
        <v>32</v>
      </c>
      <c r="B9" s="5" t="s">
        <v>33</v>
      </c>
      <c r="C9" s="6" t="n">
        <v>6</v>
      </c>
      <c r="D9" s="6" t="n">
        <v>6</v>
      </c>
      <c r="E9" s="6" t="n">
        <v>2</v>
      </c>
      <c r="F9" s="6" t="n">
        <v>6</v>
      </c>
    </row>
    <row r="10" customFormat="false" ht="15" hidden="false" customHeight="false" outlineLevel="0" collapsed="false">
      <c r="A10" s="5" t="s">
        <v>34</v>
      </c>
      <c r="B10" s="5" t="s">
        <v>35</v>
      </c>
      <c r="C10" s="6" t="n">
        <v>16</v>
      </c>
      <c r="D10" s="6" t="n">
        <v>0</v>
      </c>
      <c r="E10" s="6" t="n">
        <v>16</v>
      </c>
      <c r="F10" s="6" t="n">
        <v>0</v>
      </c>
    </row>
    <row r="11" customFormat="false" ht="15" hidden="false" customHeight="false" outlineLevel="0" collapsed="false">
      <c r="A11" s="5" t="s">
        <v>36</v>
      </c>
      <c r="B11" s="5" t="s">
        <v>35</v>
      </c>
      <c r="C11" s="6" t="n">
        <v>3</v>
      </c>
      <c r="D11" s="6" t="n">
        <v>12</v>
      </c>
      <c r="E11" s="6" t="n">
        <v>2</v>
      </c>
      <c r="F11" s="6" t="n">
        <v>12</v>
      </c>
    </row>
    <row r="12" customFormat="false" ht="15" hidden="false" customHeight="false" outlineLevel="0" collapsed="false">
      <c r="A12" s="5" t="s">
        <v>37</v>
      </c>
      <c r="B12" s="5" t="s">
        <v>38</v>
      </c>
      <c r="C12" s="6" t="n">
        <v>0</v>
      </c>
      <c r="D12" s="6" t="n">
        <v>12</v>
      </c>
      <c r="E12" s="6" t="n">
        <v>0</v>
      </c>
      <c r="F12" s="6" t="n">
        <v>12</v>
      </c>
    </row>
    <row r="13" customFormat="false" ht="15" hidden="false" customHeight="false" outlineLevel="0" collapsed="false">
      <c r="A13" s="5" t="s">
        <v>39</v>
      </c>
      <c r="B13" s="5" t="s">
        <v>40</v>
      </c>
      <c r="C13" s="6" t="n">
        <v>0</v>
      </c>
      <c r="D13" s="6" t="n">
        <v>12</v>
      </c>
      <c r="E13" s="6" t="n">
        <v>0</v>
      </c>
      <c r="F13" s="6" t="n">
        <v>12</v>
      </c>
    </row>
    <row r="14" customFormat="false" ht="15" hidden="false" customHeight="false" outlineLevel="0" collapsed="false">
      <c r="A14" s="5" t="s">
        <v>41</v>
      </c>
      <c r="B14" s="5" t="s">
        <v>40</v>
      </c>
      <c r="C14" s="6" t="n">
        <v>6</v>
      </c>
      <c r="D14" s="6" t="n">
        <v>7.5</v>
      </c>
      <c r="E14" s="6" t="n">
        <v>0</v>
      </c>
      <c r="F14" s="6" t="n">
        <v>6</v>
      </c>
    </row>
    <row r="15" customFormat="false" ht="15" hidden="false" customHeight="false" outlineLevel="0" collapsed="false">
      <c r="A15" s="5" t="s">
        <v>42</v>
      </c>
      <c r="B15" s="5" t="s">
        <v>43</v>
      </c>
      <c r="C15" s="6" t="n">
        <v>16</v>
      </c>
      <c r="D15" s="6" t="n">
        <v>2</v>
      </c>
      <c r="E15" s="6" t="n">
        <v>12</v>
      </c>
      <c r="F15" s="6" t="n">
        <v>0</v>
      </c>
    </row>
    <row r="16" customFormat="false" ht="15" hidden="false" customHeight="false" outlineLevel="0" collapsed="false">
      <c r="A16" s="5" t="s">
        <v>44</v>
      </c>
      <c r="B16" s="5" t="s">
        <v>43</v>
      </c>
      <c r="C16" s="6" t="n">
        <v>12</v>
      </c>
      <c r="D16" s="6" t="n">
        <v>12</v>
      </c>
      <c r="E16" s="6" t="n">
        <v>3</v>
      </c>
      <c r="F16" s="6" t="n">
        <v>12</v>
      </c>
    </row>
    <row r="17" customFormat="false" ht="15" hidden="false" customHeight="false" outlineLevel="0" collapsed="false">
      <c r="A17" s="5" t="s">
        <v>45</v>
      </c>
      <c r="B17" s="5" t="s">
        <v>46</v>
      </c>
      <c r="C17" s="6" t="n">
        <v>6</v>
      </c>
      <c r="D17" s="6" t="n">
        <v>6</v>
      </c>
      <c r="E17" s="6" t="n">
        <v>6</v>
      </c>
      <c r="F17" s="6" t="n">
        <v>6</v>
      </c>
    </row>
    <row r="18" customFormat="false" ht="15" hidden="false" customHeight="false" outlineLevel="0" collapsed="false">
      <c r="A18" s="5" t="s">
        <v>47</v>
      </c>
      <c r="B18" s="5" t="s">
        <v>48</v>
      </c>
      <c r="C18" s="6" t="n">
        <v>0</v>
      </c>
      <c r="D18" s="6" t="n">
        <v>12</v>
      </c>
      <c r="E18" s="6" t="n">
        <v>0</v>
      </c>
      <c r="F18" s="6" t="n">
        <v>12</v>
      </c>
    </row>
    <row r="19" customFormat="false" ht="15" hidden="false" customHeight="false" outlineLevel="0" collapsed="false">
      <c r="A19" s="5" t="s">
        <v>49</v>
      </c>
      <c r="B19" s="5" t="s">
        <v>50</v>
      </c>
      <c r="C19" s="6" t="n">
        <v>12</v>
      </c>
      <c r="D19" s="6" t="n">
        <v>0</v>
      </c>
      <c r="E19" s="6" t="n">
        <v>6</v>
      </c>
      <c r="F19" s="6" t="n">
        <v>0</v>
      </c>
    </row>
    <row r="20" customFormat="false" ht="15" hidden="false" customHeight="false" outlineLevel="0" collapsed="false">
      <c r="A20" s="5" t="s">
        <v>51</v>
      </c>
      <c r="B20" s="5" t="s">
        <v>52</v>
      </c>
      <c r="C20" s="6" t="n">
        <v>4</v>
      </c>
      <c r="D20" s="6" t="n">
        <v>8</v>
      </c>
      <c r="E20" s="6" t="n">
        <v>2</v>
      </c>
      <c r="F20" s="6" t="n">
        <v>2</v>
      </c>
    </row>
    <row r="21" customFormat="false" ht="15" hidden="false" customHeight="false" outlineLevel="0" collapsed="false">
      <c r="A21" s="5" t="s">
        <v>53</v>
      </c>
      <c r="B21" s="5" t="s">
        <v>54</v>
      </c>
      <c r="C21" s="6" t="n">
        <v>2.5</v>
      </c>
      <c r="D21" s="6" t="n">
        <v>10.5</v>
      </c>
      <c r="E21" s="6" t="n">
        <v>0</v>
      </c>
      <c r="F21" s="6" t="n">
        <v>12</v>
      </c>
    </row>
    <row r="22" customFormat="false" ht="15" hidden="false" customHeight="false" outlineLevel="0" collapsed="false">
      <c r="A22" s="5" t="s">
        <v>55</v>
      </c>
      <c r="B22" s="5" t="s">
        <v>56</v>
      </c>
      <c r="C22" s="6" t="n">
        <v>6</v>
      </c>
      <c r="D22" s="6" t="n">
        <v>6</v>
      </c>
      <c r="E22" s="6" t="n">
        <v>2</v>
      </c>
      <c r="F22" s="6" t="n">
        <v>12</v>
      </c>
    </row>
    <row r="23" customFormat="false" ht="15" hidden="false" customHeight="false" outlineLevel="0" collapsed="false">
      <c r="A23" s="5" t="s">
        <v>57</v>
      </c>
      <c r="B23" s="5" t="s">
        <v>58</v>
      </c>
      <c r="C23" s="6" t="n">
        <v>4</v>
      </c>
      <c r="D23" s="6" t="n">
        <v>8</v>
      </c>
      <c r="E23" s="6" t="n">
        <v>5</v>
      </c>
      <c r="F23" s="6" t="n">
        <v>4</v>
      </c>
    </row>
    <row r="24" customFormat="false" ht="15" hidden="false" customHeight="false" outlineLevel="0" collapsed="false">
      <c r="A24" s="5" t="s">
        <v>59</v>
      </c>
      <c r="B24" s="5" t="s">
        <v>60</v>
      </c>
      <c r="C24" s="6" t="n">
        <v>12</v>
      </c>
      <c r="D24" s="6" t="n">
        <v>12</v>
      </c>
      <c r="E24" s="6" t="n">
        <v>2</v>
      </c>
      <c r="F24" s="6" t="n">
        <v>12</v>
      </c>
    </row>
    <row r="25" customFormat="false" ht="15" hidden="false" customHeight="false" outlineLevel="0" collapsed="false">
      <c r="A25" s="5" t="s">
        <v>61</v>
      </c>
      <c r="B25" s="5" t="s">
        <v>62</v>
      </c>
      <c r="C25" s="6" t="n">
        <v>18</v>
      </c>
      <c r="D25" s="6" t="n">
        <v>34</v>
      </c>
      <c r="E25" s="6" t="n">
        <v>2</v>
      </c>
      <c r="F25" s="6" t="n">
        <v>8</v>
      </c>
    </row>
    <row r="26" customFormat="false" ht="15" hidden="false" customHeight="false" outlineLevel="0" collapsed="false">
      <c r="A26" s="5" t="s">
        <v>63</v>
      </c>
      <c r="B26" s="5" t="s">
        <v>64</v>
      </c>
      <c r="C26" s="6" t="n">
        <v>0</v>
      </c>
      <c r="D26" s="6" t="n">
        <v>12</v>
      </c>
      <c r="E26" s="6" t="n">
        <v>0</v>
      </c>
      <c r="F26" s="6" t="n">
        <v>12</v>
      </c>
    </row>
    <row r="27" customFormat="false" ht="15" hidden="false" customHeight="false" outlineLevel="0" collapsed="false">
      <c r="A27" s="5" t="s">
        <v>65</v>
      </c>
      <c r="B27" s="5" t="s">
        <v>66</v>
      </c>
      <c r="C27" s="6" t="n">
        <v>15</v>
      </c>
      <c r="D27" s="6" t="n">
        <v>0</v>
      </c>
      <c r="E27" s="6" t="n">
        <v>8</v>
      </c>
      <c r="F27" s="6" t="n">
        <v>16</v>
      </c>
    </row>
    <row r="28" customFormat="false" ht="15" hidden="false" customHeight="false" outlineLevel="0" collapsed="false">
      <c r="A28" s="5" t="s">
        <v>67</v>
      </c>
      <c r="B28" s="5" t="s">
        <v>68</v>
      </c>
      <c r="C28" s="6" t="n">
        <v>6</v>
      </c>
      <c r="D28" s="6" t="n">
        <v>3</v>
      </c>
      <c r="E28" s="6" t="n">
        <v>8</v>
      </c>
      <c r="F28" s="6" t="n">
        <v>24</v>
      </c>
    </row>
    <row r="29" customFormat="false" ht="15" hidden="false" customHeight="false" outlineLevel="0" collapsed="false">
      <c r="A29" s="5" t="s">
        <v>69</v>
      </c>
      <c r="B29" s="5" t="s">
        <v>70</v>
      </c>
      <c r="C29" s="6" t="n">
        <v>6</v>
      </c>
      <c r="D29" s="6" t="n">
        <v>6</v>
      </c>
      <c r="E29" s="6" t="n">
        <v>6</v>
      </c>
      <c r="F29" s="6" t="n">
        <v>3</v>
      </c>
    </row>
    <row r="30" customFormat="false" ht="15" hidden="false" customHeight="false" outlineLevel="0" collapsed="false">
      <c r="A30" s="5" t="s">
        <v>71</v>
      </c>
      <c r="B30" s="5" t="s">
        <v>72</v>
      </c>
      <c r="C30" s="6" t="n">
        <v>9</v>
      </c>
      <c r="D30" s="6" t="n">
        <v>0</v>
      </c>
      <c r="E30" s="6" t="n">
        <v>6</v>
      </c>
      <c r="F30" s="6" t="n">
        <v>6</v>
      </c>
    </row>
    <row r="31" customFormat="false" ht="15" hidden="false" customHeight="false" outlineLevel="0" collapsed="false">
      <c r="A31" s="5" t="s">
        <v>73</v>
      </c>
      <c r="B31" s="5" t="s">
        <v>74</v>
      </c>
      <c r="C31" s="6" t="n">
        <v>14</v>
      </c>
      <c r="D31" s="6" t="n">
        <v>0</v>
      </c>
      <c r="E31" s="6" t="n">
        <v>6</v>
      </c>
      <c r="F31" s="6" t="n">
        <v>6</v>
      </c>
    </row>
    <row r="32" customFormat="false" ht="15" hidden="false" customHeight="false" outlineLevel="0" collapsed="false">
      <c r="A32" s="5" t="s">
        <v>75</v>
      </c>
      <c r="B32" s="5" t="s">
        <v>76</v>
      </c>
      <c r="C32" s="6" t="n">
        <v>16</v>
      </c>
      <c r="D32" s="6" t="n">
        <v>8</v>
      </c>
      <c r="E32" s="6" t="n">
        <v>16</v>
      </c>
      <c r="F32" s="6" t="n">
        <v>8</v>
      </c>
    </row>
    <row r="33" customFormat="false" ht="15" hidden="false" customHeight="false" outlineLevel="0" collapsed="false">
      <c r="A33" s="5" t="s">
        <v>77</v>
      </c>
      <c r="B33" s="5" t="s">
        <v>78</v>
      </c>
      <c r="C33" s="6" t="n">
        <v>24</v>
      </c>
      <c r="D33" s="6" t="n">
        <v>0</v>
      </c>
      <c r="E33" s="6" t="n">
        <v>24</v>
      </c>
      <c r="F33" s="6" t="n">
        <v>24</v>
      </c>
    </row>
    <row r="34" customFormat="false" ht="15" hidden="false" customHeight="false" outlineLevel="0" collapsed="false">
      <c r="A34" s="5" t="s">
        <v>79</v>
      </c>
      <c r="B34" s="5" t="s">
        <v>78</v>
      </c>
      <c r="C34" s="6" t="n">
        <v>12</v>
      </c>
      <c r="D34" s="6" t="n">
        <v>0</v>
      </c>
      <c r="E34" s="6" t="n">
        <v>21</v>
      </c>
      <c r="F34" s="6" t="n">
        <v>3</v>
      </c>
    </row>
    <row r="35" customFormat="false" ht="15" hidden="false" customHeight="false" outlineLevel="0" collapsed="false">
      <c r="A35" s="5" t="s">
        <v>80</v>
      </c>
      <c r="B35" s="5" t="s">
        <v>78</v>
      </c>
      <c r="C35" s="6" t="n">
        <v>14</v>
      </c>
      <c r="D35" s="6" t="n">
        <v>0</v>
      </c>
      <c r="E35" s="6" t="n">
        <v>14</v>
      </c>
      <c r="F35" s="6" t="n">
        <v>2</v>
      </c>
    </row>
    <row r="36" customFormat="false" ht="15" hidden="false" customHeight="false" outlineLevel="0" collapsed="false">
      <c r="A36" s="5" t="s">
        <v>81</v>
      </c>
      <c r="B36" s="5" t="s">
        <v>78</v>
      </c>
      <c r="C36" s="6" t="n">
        <v>16</v>
      </c>
      <c r="D36" s="6" t="n">
        <v>0</v>
      </c>
      <c r="E36" s="6" t="n">
        <v>16</v>
      </c>
      <c r="F36" s="6" t="n">
        <v>8</v>
      </c>
    </row>
    <row r="37" customFormat="false" ht="15" hidden="false" customHeight="false" outlineLevel="0" collapsed="false">
      <c r="A37" s="5" t="s">
        <v>82</v>
      </c>
      <c r="B37" s="5" t="s">
        <v>83</v>
      </c>
      <c r="C37" s="6" t="n">
        <v>11</v>
      </c>
      <c r="D37" s="6" t="n">
        <v>12</v>
      </c>
      <c r="E37" s="6" t="n">
        <v>11</v>
      </c>
      <c r="F37" s="6" t="n">
        <v>12</v>
      </c>
    </row>
    <row r="38" customFormat="false" ht="15" hidden="false" customHeight="false" outlineLevel="0" collapsed="false">
      <c r="A38" s="5" t="s">
        <v>84</v>
      </c>
      <c r="B38" s="5" t="s">
        <v>85</v>
      </c>
      <c r="C38" s="6" t="n">
        <v>12</v>
      </c>
      <c r="D38" s="6" t="n">
        <v>0</v>
      </c>
      <c r="E38" s="6" t="n">
        <v>2</v>
      </c>
      <c r="F38" s="6" t="n">
        <v>0</v>
      </c>
    </row>
    <row r="39" customFormat="false" ht="15" hidden="false" customHeight="false" outlineLevel="0" collapsed="false">
      <c r="A39" s="5" t="s">
        <v>86</v>
      </c>
      <c r="B39" s="5" t="s">
        <v>87</v>
      </c>
      <c r="C39" s="6" t="n">
        <v>12</v>
      </c>
      <c r="D39" s="6" t="n">
        <v>15</v>
      </c>
      <c r="E39" s="6" t="n">
        <v>12</v>
      </c>
      <c r="F39" s="6" t="n">
        <v>12</v>
      </c>
    </row>
    <row r="40" customFormat="false" ht="15" hidden="false" customHeight="false" outlineLevel="0" collapsed="false">
      <c r="A40" s="5" t="s">
        <v>88</v>
      </c>
      <c r="B40" s="5" t="s">
        <v>87</v>
      </c>
      <c r="C40" s="6" t="n">
        <v>14</v>
      </c>
      <c r="D40" s="6" t="n">
        <v>0</v>
      </c>
      <c r="E40" s="6" t="n">
        <v>6</v>
      </c>
      <c r="F40" s="6" t="n">
        <v>12</v>
      </c>
    </row>
    <row r="41" customFormat="false" ht="15" hidden="false" customHeight="false" outlineLevel="0" collapsed="false">
      <c r="A41" s="5" t="s">
        <v>89</v>
      </c>
      <c r="B41" s="5" t="s">
        <v>87</v>
      </c>
      <c r="C41" s="6" t="n">
        <v>4</v>
      </c>
      <c r="D41" s="6" t="n">
        <v>12</v>
      </c>
      <c r="E41" s="6" t="n">
        <v>2</v>
      </c>
      <c r="F41" s="6" t="n">
        <v>12</v>
      </c>
    </row>
    <row r="42" customFormat="false" ht="15" hidden="false" customHeight="false" outlineLevel="0" collapsed="false">
      <c r="A42" s="5" t="s">
        <v>90</v>
      </c>
      <c r="B42" s="5" t="s">
        <v>87</v>
      </c>
      <c r="C42" s="6" t="n">
        <v>16</v>
      </c>
      <c r="D42" s="6" t="n">
        <v>24</v>
      </c>
      <c r="E42" s="6" t="n">
        <v>16</v>
      </c>
      <c r="F42" s="6" t="n">
        <v>24</v>
      </c>
    </row>
    <row r="43" customFormat="false" ht="15" hidden="false" customHeight="false" outlineLevel="0" collapsed="false">
      <c r="A43" s="5" t="s">
        <v>91</v>
      </c>
      <c r="B43" s="5" t="s">
        <v>87</v>
      </c>
      <c r="C43" s="6" t="n">
        <v>4</v>
      </c>
      <c r="D43" s="6" t="n">
        <v>12</v>
      </c>
      <c r="E43" s="6" t="n">
        <v>2</v>
      </c>
      <c r="F43" s="6" t="n">
        <v>12</v>
      </c>
    </row>
    <row r="44" customFormat="false" ht="15" hidden="false" customHeight="false" outlineLevel="0" collapsed="false">
      <c r="A44" s="5" t="s">
        <v>92</v>
      </c>
      <c r="B44" s="5" t="s">
        <v>87</v>
      </c>
      <c r="C44" s="6" t="n">
        <v>0</v>
      </c>
      <c r="D44" s="6" t="n">
        <v>3</v>
      </c>
      <c r="E44" s="6" t="n">
        <v>0</v>
      </c>
      <c r="F44" s="6" t="n">
        <v>0</v>
      </c>
    </row>
    <row r="45" customFormat="false" ht="15" hidden="false" customHeight="false" outlineLevel="0" collapsed="false">
      <c r="A45" s="5" t="s">
        <v>93</v>
      </c>
      <c r="B45" s="5" t="s">
        <v>94</v>
      </c>
      <c r="C45" s="6" t="n">
        <v>7.5</v>
      </c>
      <c r="D45" s="6" t="n">
        <v>3</v>
      </c>
      <c r="E45" s="6" t="n">
        <v>3</v>
      </c>
      <c r="F45" s="6" t="n">
        <v>4</v>
      </c>
    </row>
    <row r="46" customFormat="false" ht="15" hidden="false" customHeight="false" outlineLevel="0" collapsed="false">
      <c r="A46" s="5" t="s">
        <v>95</v>
      </c>
      <c r="B46" s="5" t="s">
        <v>96</v>
      </c>
      <c r="C46" s="6" t="n">
        <v>3.5</v>
      </c>
      <c r="D46" s="6" t="n">
        <v>6</v>
      </c>
      <c r="E46" s="6" t="n">
        <v>1</v>
      </c>
      <c r="F46" s="6"/>
    </row>
    <row r="47" customFormat="false" ht="15" hidden="false" customHeight="false" outlineLevel="0" collapsed="false">
      <c r="A47" s="5" t="s">
        <v>97</v>
      </c>
      <c r="B47" s="5" t="s">
        <v>96</v>
      </c>
      <c r="C47" s="6" t="n">
        <v>9.5</v>
      </c>
      <c r="D47" s="6" t="n">
        <v>6</v>
      </c>
      <c r="E47" s="6" t="n">
        <v>6</v>
      </c>
      <c r="F47" s="6"/>
    </row>
    <row r="48" customFormat="false" ht="15" hidden="false" customHeight="false" outlineLevel="0" collapsed="false">
      <c r="A48" s="5" t="s">
        <v>98</v>
      </c>
      <c r="B48" s="5" t="s">
        <v>96</v>
      </c>
      <c r="C48" s="6" t="n">
        <v>12</v>
      </c>
      <c r="D48" s="6"/>
      <c r="E48" s="6" t="n">
        <v>2</v>
      </c>
      <c r="F48" s="6" t="n">
        <v>12</v>
      </c>
    </row>
    <row r="49" customFormat="false" ht="15" hidden="false" customHeight="false" outlineLevel="0" collapsed="false">
      <c r="A49" s="5" t="s">
        <v>99</v>
      </c>
      <c r="B49" s="5" t="s">
        <v>96</v>
      </c>
      <c r="C49" s="6" t="n">
        <v>51</v>
      </c>
      <c r="D49" s="6" t="n">
        <v>51</v>
      </c>
      <c r="E49" s="6" t="n">
        <v>51</v>
      </c>
      <c r="F49" s="6"/>
    </row>
    <row r="50" customFormat="false" ht="15" hidden="false" customHeight="false" outlineLevel="0" collapsed="false">
      <c r="A50" s="5" t="s">
        <v>100</v>
      </c>
      <c r="B50" s="5" t="s">
        <v>96</v>
      </c>
      <c r="C50" s="6" t="n">
        <v>12</v>
      </c>
      <c r="D50" s="6" t="n">
        <v>0</v>
      </c>
      <c r="E50" s="6" t="n">
        <v>7</v>
      </c>
      <c r="F50" s="6"/>
    </row>
    <row r="51" customFormat="false" ht="15" hidden="false" customHeight="false" outlineLevel="0" collapsed="false">
      <c r="A51" s="5" t="s">
        <v>101</v>
      </c>
      <c r="B51" s="5" t="s">
        <v>21</v>
      </c>
      <c r="C51" s="6" t="n">
        <v>16</v>
      </c>
      <c r="D51" s="6" t="n">
        <v>6</v>
      </c>
      <c r="E51" s="6" t="n">
        <v>16</v>
      </c>
      <c r="F51" s="6"/>
    </row>
    <row r="52" customFormat="false" ht="15" hidden="false" customHeight="false" outlineLevel="0" collapsed="false">
      <c r="A52" s="5" t="s">
        <v>102</v>
      </c>
      <c r="B52" s="5" t="s">
        <v>103</v>
      </c>
      <c r="C52" s="6" t="n">
        <v>12</v>
      </c>
      <c r="D52" s="6" t="n">
        <v>9</v>
      </c>
      <c r="E52" s="6" t="n">
        <v>12</v>
      </c>
      <c r="F52" s="6"/>
    </row>
    <row r="53" customFormat="false" ht="15" hidden="false" customHeight="false" outlineLevel="0" collapsed="false">
      <c r="A53" s="5" t="s">
        <v>104</v>
      </c>
      <c r="B53" s="5" t="s">
        <v>103</v>
      </c>
      <c r="C53" s="6" t="n">
        <v>8</v>
      </c>
      <c r="D53" s="6" t="n">
        <v>10</v>
      </c>
      <c r="E53" s="6" t="n">
        <v>12</v>
      </c>
      <c r="F53" s="6"/>
    </row>
    <row r="54" customFormat="false" ht="15" hidden="false" customHeight="false" outlineLevel="0" collapsed="false">
      <c r="A54" s="5" t="s">
        <v>105</v>
      </c>
      <c r="B54" s="5" t="s">
        <v>103</v>
      </c>
      <c r="C54" s="6" t="n">
        <v>12</v>
      </c>
      <c r="D54" s="6" t="n">
        <v>0</v>
      </c>
      <c r="E54" s="6" t="n">
        <v>4</v>
      </c>
      <c r="F54" s="6"/>
    </row>
    <row r="55" customFormat="false" ht="15" hidden="false" customHeight="false" outlineLevel="0" collapsed="false">
      <c r="A55" s="5" t="s">
        <v>105</v>
      </c>
      <c r="B55" s="5" t="s">
        <v>103</v>
      </c>
      <c r="C55" s="6" t="n">
        <v>4</v>
      </c>
      <c r="D55" s="6" t="n">
        <v>12</v>
      </c>
      <c r="E55" s="6" t="n">
        <v>4</v>
      </c>
      <c r="F55" s="6"/>
    </row>
    <row r="56" customFormat="false" ht="15" hidden="false" customHeight="false" outlineLevel="0" collapsed="false">
      <c r="A56" s="5" t="s">
        <v>106</v>
      </c>
      <c r="B56" s="5" t="s">
        <v>103</v>
      </c>
      <c r="C56" s="6" t="n">
        <v>6</v>
      </c>
      <c r="D56" s="6" t="n">
        <v>1</v>
      </c>
      <c r="E56" s="6" t="n">
        <v>4</v>
      </c>
      <c r="F56" s="6"/>
    </row>
    <row r="57" customFormat="false" ht="15" hidden="false" customHeight="false" outlineLevel="0" collapsed="false">
      <c r="A57" s="5" t="s">
        <v>107</v>
      </c>
      <c r="B57" s="5" t="s">
        <v>108</v>
      </c>
      <c r="C57" s="6" t="n">
        <v>7.5</v>
      </c>
      <c r="D57" s="6" t="n">
        <v>1</v>
      </c>
      <c r="E57" s="6" t="n">
        <v>6</v>
      </c>
      <c r="F57" s="6"/>
    </row>
    <row r="58" customFormat="false" ht="15" hidden="false" customHeight="false" outlineLevel="0" collapsed="false">
      <c r="A58" s="5" t="s">
        <v>109</v>
      </c>
      <c r="B58" s="5" t="s">
        <v>108</v>
      </c>
      <c r="C58" s="6" t="n">
        <v>12</v>
      </c>
      <c r="D58" s="6" t="n">
        <v>0</v>
      </c>
      <c r="E58" s="6" t="n">
        <v>8</v>
      </c>
      <c r="F58" s="6"/>
    </row>
    <row r="59" customFormat="false" ht="15" hidden="false" customHeight="false" outlineLevel="0" collapsed="false">
      <c r="A59" s="5" t="s">
        <v>110</v>
      </c>
      <c r="B59" s="5" t="s">
        <v>108</v>
      </c>
      <c r="C59" s="6" t="n">
        <v>12</v>
      </c>
      <c r="D59" s="6" t="n">
        <v>12</v>
      </c>
      <c r="E59" s="6" t="n">
        <v>12</v>
      </c>
      <c r="F59" s="6"/>
    </row>
    <row r="60" customFormat="false" ht="15" hidden="false" customHeight="false" outlineLevel="0" collapsed="false">
      <c r="A60" s="5" t="s">
        <v>111</v>
      </c>
      <c r="B60" s="5" t="s">
        <v>108</v>
      </c>
      <c r="C60" s="6" t="n">
        <v>6</v>
      </c>
      <c r="D60" s="6" t="n">
        <v>1.5</v>
      </c>
      <c r="E60" s="6" t="n">
        <v>0</v>
      </c>
      <c r="F60" s="6"/>
    </row>
    <row r="61" customFormat="false" ht="15" hidden="false" customHeight="false" outlineLevel="0" collapsed="false">
      <c r="A61" s="5" t="s">
        <v>112</v>
      </c>
      <c r="B61" s="5" t="s">
        <v>113</v>
      </c>
      <c r="C61" s="6" t="n">
        <v>6</v>
      </c>
      <c r="D61" s="6" t="n">
        <v>6</v>
      </c>
      <c r="E61" s="6" t="n">
        <v>0</v>
      </c>
      <c r="F61" s="6"/>
    </row>
    <row r="62" customFormat="false" ht="15" hidden="false" customHeight="false" outlineLevel="0" collapsed="false">
      <c r="A62" s="5" t="s">
        <v>114</v>
      </c>
      <c r="B62" s="5" t="s">
        <v>115</v>
      </c>
      <c r="C62" s="6" t="n">
        <v>6</v>
      </c>
      <c r="D62" s="6" t="n">
        <v>6</v>
      </c>
      <c r="E62" s="6" t="n">
        <v>16</v>
      </c>
      <c r="F62" s="6"/>
    </row>
    <row r="63" customFormat="false" ht="15" hidden="false" customHeight="false" outlineLevel="0" collapsed="false">
      <c r="A63" s="5" t="s">
        <v>116</v>
      </c>
      <c r="B63" s="5" t="s">
        <v>25</v>
      </c>
      <c r="C63" s="6" t="n">
        <v>26</v>
      </c>
      <c r="D63" s="6" t="n">
        <v>13</v>
      </c>
      <c r="E63" s="6" t="n">
        <v>2</v>
      </c>
      <c r="F63" s="6"/>
    </row>
    <row r="64" customFormat="false" ht="15" hidden="false" customHeight="false" outlineLevel="0" collapsed="false">
      <c r="A64" s="5" t="s">
        <v>117</v>
      </c>
      <c r="B64" s="5" t="s">
        <v>25</v>
      </c>
      <c r="C64" s="6" t="n">
        <v>6</v>
      </c>
      <c r="D64" s="6" t="n">
        <v>0</v>
      </c>
      <c r="E64" s="6" t="n">
        <v>6</v>
      </c>
      <c r="F64" s="6"/>
    </row>
    <row r="65" customFormat="false" ht="15" hidden="false" customHeight="false" outlineLevel="0" collapsed="false">
      <c r="A65" s="5" t="s">
        <v>118</v>
      </c>
      <c r="B65" s="5" t="s">
        <v>28</v>
      </c>
      <c r="C65" s="6" t="n">
        <v>12</v>
      </c>
      <c r="D65" s="6" t="n">
        <v>6</v>
      </c>
      <c r="E65" s="6" t="n">
        <v>0</v>
      </c>
      <c r="F65" s="6"/>
    </row>
    <row r="66" customFormat="false" ht="15" hidden="false" customHeight="false" outlineLevel="0" collapsed="false">
      <c r="A66" s="5" t="s">
        <v>119</v>
      </c>
      <c r="B66" s="5" t="s">
        <v>120</v>
      </c>
      <c r="C66" s="6" t="n">
        <v>8</v>
      </c>
      <c r="D66" s="6" t="n">
        <v>0</v>
      </c>
      <c r="E66" s="6" t="n">
        <v>2</v>
      </c>
      <c r="F66" s="6"/>
    </row>
    <row r="67" customFormat="false" ht="15" hidden="false" customHeight="false" outlineLevel="0" collapsed="false">
      <c r="A67" s="5" t="s">
        <v>121</v>
      </c>
      <c r="B67" s="5" t="s">
        <v>120</v>
      </c>
      <c r="C67" s="6" t="n">
        <v>9</v>
      </c>
      <c r="D67" s="6" t="n">
        <v>3</v>
      </c>
      <c r="E67" s="6" t="n">
        <v>6</v>
      </c>
      <c r="F67" s="6"/>
    </row>
    <row r="68" customFormat="false" ht="15" hidden="false" customHeight="false" outlineLevel="0" collapsed="false">
      <c r="A68" s="5" t="s">
        <v>122</v>
      </c>
      <c r="B68" s="5" t="s">
        <v>123</v>
      </c>
      <c r="C68" s="6" t="n">
        <v>9</v>
      </c>
      <c r="D68" s="6" t="n">
        <v>0</v>
      </c>
      <c r="E68" s="6" t="n">
        <v>6</v>
      </c>
      <c r="F68" s="6"/>
    </row>
    <row r="69" customFormat="false" ht="15" hidden="false" customHeight="false" outlineLevel="0" collapsed="false">
      <c r="A69" s="5" t="s">
        <v>124</v>
      </c>
      <c r="B69" s="5" t="s">
        <v>123</v>
      </c>
      <c r="C69" s="6" t="n">
        <v>6</v>
      </c>
      <c r="D69" s="6" t="n">
        <v>0.5</v>
      </c>
      <c r="E69" s="6" t="n">
        <v>2</v>
      </c>
      <c r="F69" s="6"/>
    </row>
    <row r="70" customFormat="false" ht="15" hidden="false" customHeight="false" outlineLevel="0" collapsed="false">
      <c r="A70" s="5" t="s">
        <v>125</v>
      </c>
      <c r="B70" s="5" t="s">
        <v>30</v>
      </c>
      <c r="C70" s="6" t="n">
        <v>12</v>
      </c>
      <c r="D70" s="6" t="n">
        <v>0</v>
      </c>
      <c r="E70" s="6" t="n">
        <v>4</v>
      </c>
      <c r="F70" s="6"/>
    </row>
    <row r="71" customFormat="false" ht="15" hidden="false" customHeight="false" outlineLevel="0" collapsed="false">
      <c r="A71" s="5" t="s">
        <v>126</v>
      </c>
      <c r="B71" s="5" t="s">
        <v>30</v>
      </c>
      <c r="C71" s="6" t="n">
        <v>16</v>
      </c>
      <c r="D71" s="6" t="n">
        <v>0</v>
      </c>
      <c r="E71" s="6" t="n">
        <v>8</v>
      </c>
      <c r="F71" s="6"/>
    </row>
    <row r="72" customFormat="false" ht="15" hidden="false" customHeight="false" outlineLevel="0" collapsed="false">
      <c r="A72" s="5" t="s">
        <v>127</v>
      </c>
      <c r="B72" s="5" t="s">
        <v>30</v>
      </c>
      <c r="C72" s="6" t="n">
        <v>16</v>
      </c>
      <c r="D72" s="6" t="n">
        <v>4</v>
      </c>
      <c r="E72" s="6" t="n">
        <v>9</v>
      </c>
      <c r="F72" s="6"/>
    </row>
    <row r="73" customFormat="false" ht="15" hidden="false" customHeight="false" outlineLevel="0" collapsed="false">
      <c r="A73" s="5" t="s">
        <v>128</v>
      </c>
      <c r="B73" s="5" t="s">
        <v>30</v>
      </c>
      <c r="C73" s="6" t="n">
        <v>12</v>
      </c>
      <c r="D73" s="6" t="n">
        <v>10</v>
      </c>
      <c r="E73" s="6" t="n">
        <v>12</v>
      </c>
      <c r="F73" s="6"/>
    </row>
    <row r="74" customFormat="false" ht="15" hidden="false" customHeight="false" outlineLevel="0" collapsed="false">
      <c r="A74" s="5" t="s">
        <v>129</v>
      </c>
      <c r="B74" s="5" t="s">
        <v>30</v>
      </c>
      <c r="C74" s="6" t="n">
        <v>16</v>
      </c>
      <c r="D74" s="6" t="n">
        <v>26</v>
      </c>
      <c r="E74" s="6" t="n">
        <v>8</v>
      </c>
      <c r="F74" s="6"/>
    </row>
    <row r="75" customFormat="false" ht="15" hidden="false" customHeight="false" outlineLevel="0" collapsed="false">
      <c r="A75" s="5" t="s">
        <v>130</v>
      </c>
      <c r="B75" s="5" t="s">
        <v>30</v>
      </c>
      <c r="C75" s="6" t="n">
        <v>6</v>
      </c>
      <c r="D75" s="6" t="n">
        <v>0</v>
      </c>
      <c r="E75" s="6" t="n">
        <v>6</v>
      </c>
      <c r="F75" s="6"/>
    </row>
    <row r="76" customFormat="false" ht="15" hidden="false" customHeight="false" outlineLevel="0" collapsed="false">
      <c r="A76" s="5" t="s">
        <v>131</v>
      </c>
      <c r="B76" s="5" t="s">
        <v>30</v>
      </c>
      <c r="C76" s="6" t="n">
        <v>9</v>
      </c>
      <c r="D76" s="6" t="n">
        <v>0</v>
      </c>
      <c r="E76" s="6" t="n">
        <v>10</v>
      </c>
      <c r="F76" s="6"/>
    </row>
    <row r="77" customFormat="false" ht="15" hidden="false" customHeight="false" outlineLevel="0" collapsed="false">
      <c r="A77" s="5" t="s">
        <v>132</v>
      </c>
      <c r="B77" s="5" t="s">
        <v>30</v>
      </c>
      <c r="C77" s="6" t="n">
        <v>14</v>
      </c>
      <c r="D77" s="6" t="n">
        <v>0</v>
      </c>
      <c r="E77" s="6" t="n">
        <v>4</v>
      </c>
      <c r="F77" s="6"/>
    </row>
    <row r="78" customFormat="false" ht="15" hidden="false" customHeight="false" outlineLevel="0" collapsed="false">
      <c r="A78" s="5" t="s">
        <v>133</v>
      </c>
      <c r="B78" s="5" t="s">
        <v>134</v>
      </c>
      <c r="C78" s="6" t="n">
        <v>12</v>
      </c>
      <c r="D78" s="6"/>
      <c r="E78" s="6" t="n">
        <v>12</v>
      </c>
      <c r="F78" s="6" t="n">
        <v>6</v>
      </c>
    </row>
    <row r="79" customFormat="false" ht="15" hidden="false" customHeight="false" outlineLevel="0" collapsed="false">
      <c r="A79" s="5" t="s">
        <v>135</v>
      </c>
      <c r="B79" s="5" t="s">
        <v>134</v>
      </c>
      <c r="C79" s="6" t="n">
        <v>16</v>
      </c>
      <c r="D79" s="6" t="n">
        <v>34</v>
      </c>
      <c r="E79" s="6" t="n">
        <v>16</v>
      </c>
      <c r="F79" s="6"/>
    </row>
    <row r="80" customFormat="false" ht="15" hidden="false" customHeight="false" outlineLevel="0" collapsed="false">
      <c r="A80" s="5" t="s">
        <v>136</v>
      </c>
      <c r="B80" s="5" t="s">
        <v>33</v>
      </c>
      <c r="C80" s="6" t="n">
        <v>18</v>
      </c>
      <c r="D80" s="6" t="n">
        <v>12</v>
      </c>
      <c r="E80" s="6" t="n">
        <v>12</v>
      </c>
      <c r="F80" s="6"/>
    </row>
    <row r="81" customFormat="false" ht="15" hidden="false" customHeight="false" outlineLevel="0" collapsed="false">
      <c r="A81" s="5" t="s">
        <v>137</v>
      </c>
      <c r="B81" s="5" t="s">
        <v>33</v>
      </c>
      <c r="C81" s="6" t="n">
        <v>6</v>
      </c>
      <c r="D81" s="6" t="n">
        <v>9.5</v>
      </c>
      <c r="E81" s="6" t="n">
        <v>6</v>
      </c>
      <c r="F81" s="6"/>
    </row>
    <row r="82" customFormat="false" ht="15" hidden="false" customHeight="false" outlineLevel="0" collapsed="false">
      <c r="A82" s="5" t="s">
        <v>138</v>
      </c>
      <c r="B82" s="5" t="s">
        <v>139</v>
      </c>
      <c r="C82" s="6" t="n">
        <v>16</v>
      </c>
      <c r="D82" s="6" t="n">
        <v>24</v>
      </c>
      <c r="E82" s="6" t="n">
        <v>8</v>
      </c>
      <c r="F82" s="6"/>
    </row>
    <row r="83" customFormat="false" ht="15" hidden="false" customHeight="false" outlineLevel="0" collapsed="false">
      <c r="A83" s="5" t="s">
        <v>140</v>
      </c>
      <c r="B83" s="5" t="s">
        <v>139</v>
      </c>
      <c r="C83" s="6" t="n">
        <v>21</v>
      </c>
      <c r="D83" s="6" t="n">
        <v>31</v>
      </c>
      <c r="E83" s="6" t="n">
        <v>16</v>
      </c>
      <c r="F83" s="6"/>
    </row>
    <row r="84" customFormat="false" ht="15" hidden="false" customHeight="false" outlineLevel="0" collapsed="false">
      <c r="A84" s="5" t="s">
        <v>141</v>
      </c>
      <c r="B84" s="5" t="s">
        <v>139</v>
      </c>
      <c r="C84" s="6" t="n">
        <v>16</v>
      </c>
      <c r="D84" s="6" t="n">
        <v>4</v>
      </c>
      <c r="E84" s="6" t="n">
        <v>8</v>
      </c>
      <c r="F84" s="6"/>
    </row>
    <row r="85" customFormat="false" ht="15" hidden="false" customHeight="false" outlineLevel="0" collapsed="false">
      <c r="A85" s="5" t="s">
        <v>142</v>
      </c>
      <c r="B85" s="5" t="s">
        <v>143</v>
      </c>
      <c r="C85" s="6" t="n">
        <v>18</v>
      </c>
      <c r="D85" s="6" t="n">
        <v>18</v>
      </c>
      <c r="E85" s="6"/>
      <c r="F85" s="6" t="n">
        <v>13</v>
      </c>
    </row>
    <row r="86" customFormat="false" ht="15" hidden="false" customHeight="false" outlineLevel="0" collapsed="false">
      <c r="A86" s="5" t="s">
        <v>144</v>
      </c>
      <c r="B86" s="5" t="s">
        <v>145</v>
      </c>
      <c r="C86" s="6" t="n">
        <v>12</v>
      </c>
      <c r="D86" s="6" t="n">
        <v>0</v>
      </c>
      <c r="E86" s="6" t="n">
        <v>8</v>
      </c>
      <c r="F86" s="6"/>
    </row>
    <row r="87" customFormat="false" ht="15" hidden="false" customHeight="false" outlineLevel="0" collapsed="false">
      <c r="A87" s="5" t="s">
        <v>146</v>
      </c>
      <c r="B87" s="5" t="s">
        <v>35</v>
      </c>
      <c r="C87" s="6" t="n">
        <v>7.5</v>
      </c>
      <c r="D87" s="6" t="n">
        <v>3</v>
      </c>
      <c r="E87" s="6" t="n">
        <v>3</v>
      </c>
      <c r="F87" s="6"/>
    </row>
    <row r="88" customFormat="false" ht="15" hidden="false" customHeight="false" outlineLevel="0" collapsed="false">
      <c r="A88" s="5" t="s">
        <v>147</v>
      </c>
      <c r="B88" s="5" t="s">
        <v>38</v>
      </c>
      <c r="C88" s="6" t="n">
        <v>6</v>
      </c>
      <c r="D88" s="6" t="n">
        <v>6</v>
      </c>
      <c r="E88" s="6" t="n">
        <v>0</v>
      </c>
      <c r="F88" s="6"/>
    </row>
    <row r="89" customFormat="false" ht="15" hidden="false" customHeight="false" outlineLevel="0" collapsed="false">
      <c r="A89" s="5" t="s">
        <v>148</v>
      </c>
      <c r="B89" s="5" t="s">
        <v>38</v>
      </c>
      <c r="C89" s="6" t="n">
        <v>6</v>
      </c>
      <c r="D89" s="6" t="n">
        <v>6</v>
      </c>
      <c r="E89" s="6" t="n">
        <v>6</v>
      </c>
      <c r="F89" s="6"/>
    </row>
    <row r="90" customFormat="false" ht="15" hidden="false" customHeight="false" outlineLevel="0" collapsed="false">
      <c r="A90" s="5" t="s">
        <v>149</v>
      </c>
      <c r="B90" s="5" t="s">
        <v>38</v>
      </c>
      <c r="C90" s="6" t="n">
        <v>6</v>
      </c>
      <c r="D90" s="6" t="n">
        <v>6</v>
      </c>
      <c r="E90" s="6" t="n">
        <v>1</v>
      </c>
      <c r="F90" s="6"/>
    </row>
    <row r="91" customFormat="false" ht="15" hidden="false" customHeight="false" outlineLevel="0" collapsed="false">
      <c r="A91" s="5" t="s">
        <v>150</v>
      </c>
      <c r="B91" s="5" t="s">
        <v>151</v>
      </c>
      <c r="C91" s="6" t="n">
        <v>12</v>
      </c>
      <c r="D91" s="6" t="n">
        <v>0</v>
      </c>
      <c r="E91" s="6" t="n">
        <v>12</v>
      </c>
      <c r="F91" s="6"/>
    </row>
    <row r="92" customFormat="false" ht="15" hidden="false" customHeight="false" outlineLevel="0" collapsed="false">
      <c r="A92" s="5" t="s">
        <v>152</v>
      </c>
      <c r="B92" s="5" t="s">
        <v>40</v>
      </c>
      <c r="C92" s="6" t="n">
        <v>2</v>
      </c>
      <c r="D92" s="6" t="n">
        <v>12</v>
      </c>
      <c r="E92" s="6" t="n">
        <v>2</v>
      </c>
      <c r="F92" s="6"/>
    </row>
    <row r="93" customFormat="false" ht="15" hidden="false" customHeight="false" outlineLevel="0" collapsed="false">
      <c r="A93" s="5" t="s">
        <v>153</v>
      </c>
      <c r="B93" s="5" t="s">
        <v>43</v>
      </c>
      <c r="C93" s="6" t="n">
        <v>16</v>
      </c>
      <c r="D93" s="6"/>
      <c r="E93" s="6" t="n">
        <v>2</v>
      </c>
      <c r="F93" s="6" t="n">
        <v>0</v>
      </c>
    </row>
    <row r="94" customFormat="false" ht="15" hidden="false" customHeight="false" outlineLevel="0" collapsed="false">
      <c r="A94" s="5" t="s">
        <v>154</v>
      </c>
      <c r="B94" s="5" t="s">
        <v>43</v>
      </c>
      <c r="C94" s="6" t="n">
        <v>12</v>
      </c>
      <c r="D94" s="6" t="n">
        <v>0</v>
      </c>
      <c r="E94" s="6" t="n">
        <v>18</v>
      </c>
      <c r="F94" s="6"/>
    </row>
    <row r="95" customFormat="false" ht="15" hidden="false" customHeight="false" outlineLevel="0" collapsed="false">
      <c r="A95" s="5" t="s">
        <v>155</v>
      </c>
      <c r="B95" s="5" t="s">
        <v>43</v>
      </c>
      <c r="C95" s="6" t="n">
        <v>11</v>
      </c>
      <c r="D95" s="6" t="n">
        <v>6</v>
      </c>
      <c r="E95" s="6" t="n">
        <v>16</v>
      </c>
      <c r="F95" s="6"/>
    </row>
    <row r="96" customFormat="false" ht="15" hidden="false" customHeight="false" outlineLevel="0" collapsed="false">
      <c r="A96" s="5" t="s">
        <v>156</v>
      </c>
      <c r="B96" s="5" t="s">
        <v>157</v>
      </c>
      <c r="C96" s="6" t="n">
        <v>16</v>
      </c>
      <c r="D96" s="6" t="n">
        <v>0</v>
      </c>
      <c r="E96" s="6" t="n">
        <v>2</v>
      </c>
      <c r="F96" s="6"/>
    </row>
    <row r="97" customFormat="false" ht="15" hidden="false" customHeight="false" outlineLevel="0" collapsed="false">
      <c r="A97" s="5" t="s">
        <v>158</v>
      </c>
      <c r="B97" s="5" t="s">
        <v>157</v>
      </c>
      <c r="C97" s="6" t="n">
        <v>16</v>
      </c>
      <c r="D97" s="6" t="n">
        <v>0</v>
      </c>
      <c r="E97" s="6" t="n">
        <v>16</v>
      </c>
      <c r="F97" s="6"/>
    </row>
    <row r="98" customFormat="false" ht="15" hidden="false" customHeight="false" outlineLevel="0" collapsed="false">
      <c r="A98" s="5" t="s">
        <v>159</v>
      </c>
      <c r="B98" s="5" t="s">
        <v>160</v>
      </c>
      <c r="C98" s="6" t="n">
        <v>12</v>
      </c>
      <c r="D98" s="6" t="n">
        <v>0</v>
      </c>
      <c r="E98" s="6" t="n">
        <v>12</v>
      </c>
      <c r="F98" s="6"/>
    </row>
    <row r="99" customFormat="false" ht="15" hidden="false" customHeight="false" outlineLevel="0" collapsed="false">
      <c r="A99" s="5" t="s">
        <v>161</v>
      </c>
      <c r="B99" s="5" t="s">
        <v>160</v>
      </c>
      <c r="C99" s="6" t="n">
        <v>12</v>
      </c>
      <c r="D99" s="6" t="n">
        <v>4</v>
      </c>
      <c r="E99" s="6" t="n">
        <v>2</v>
      </c>
      <c r="F99" s="6"/>
    </row>
    <row r="100" customFormat="false" ht="15" hidden="false" customHeight="false" outlineLevel="0" collapsed="false">
      <c r="A100" s="5" t="s">
        <v>162</v>
      </c>
      <c r="B100" s="5" t="s">
        <v>160</v>
      </c>
      <c r="C100" s="6" t="n">
        <v>8</v>
      </c>
      <c r="D100" s="6" t="n">
        <v>6</v>
      </c>
      <c r="E100" s="6" t="n">
        <v>6</v>
      </c>
      <c r="F100" s="6"/>
    </row>
    <row r="101" customFormat="false" ht="15" hidden="false" customHeight="false" outlineLevel="0" collapsed="false">
      <c r="A101" s="5" t="s">
        <v>163</v>
      </c>
      <c r="B101" s="5" t="s">
        <v>160</v>
      </c>
      <c r="C101" s="6" t="n">
        <v>16</v>
      </c>
      <c r="D101" s="6" t="n">
        <v>4</v>
      </c>
      <c r="E101" s="6" t="n">
        <v>4.5</v>
      </c>
      <c r="F101" s="6"/>
    </row>
    <row r="102" customFormat="false" ht="15" hidden="false" customHeight="false" outlineLevel="0" collapsed="false">
      <c r="A102" s="5" t="s">
        <v>164</v>
      </c>
      <c r="B102" s="5" t="s">
        <v>160</v>
      </c>
      <c r="C102" s="6" t="n">
        <v>16</v>
      </c>
      <c r="D102" s="6" t="n">
        <v>5</v>
      </c>
      <c r="E102" s="6" t="n">
        <v>16</v>
      </c>
      <c r="F102" s="6"/>
    </row>
    <row r="103" customFormat="false" ht="15" hidden="false" customHeight="false" outlineLevel="0" collapsed="false">
      <c r="A103" s="5" t="s">
        <v>165</v>
      </c>
      <c r="B103" s="5" t="s">
        <v>160</v>
      </c>
      <c r="C103" s="6" t="n">
        <v>16</v>
      </c>
      <c r="D103" s="6" t="n">
        <v>4</v>
      </c>
      <c r="E103" s="6" t="n">
        <v>16</v>
      </c>
      <c r="F103" s="6"/>
    </row>
    <row r="104" customFormat="false" ht="15" hidden="false" customHeight="false" outlineLevel="0" collapsed="false">
      <c r="A104" s="5" t="s">
        <v>166</v>
      </c>
      <c r="B104" s="5" t="s">
        <v>160</v>
      </c>
      <c r="C104" s="6" t="n">
        <v>20</v>
      </c>
      <c r="D104" s="6" t="n">
        <v>3</v>
      </c>
      <c r="E104" s="6" t="n">
        <v>20</v>
      </c>
      <c r="F104" s="6"/>
    </row>
    <row r="105" customFormat="false" ht="15" hidden="false" customHeight="false" outlineLevel="0" collapsed="false">
      <c r="A105" s="5" t="s">
        <v>167</v>
      </c>
      <c r="B105" s="5" t="s">
        <v>160</v>
      </c>
      <c r="C105" s="6" t="n">
        <v>16</v>
      </c>
      <c r="D105" s="6" t="n">
        <v>0</v>
      </c>
      <c r="E105" s="6" t="n">
        <v>6</v>
      </c>
      <c r="F105" s="6"/>
    </row>
    <row r="106" customFormat="false" ht="15" hidden="false" customHeight="false" outlineLevel="0" collapsed="false">
      <c r="A106" s="5" t="s">
        <v>168</v>
      </c>
      <c r="B106" s="5" t="s">
        <v>160</v>
      </c>
      <c r="C106" s="6" t="n">
        <v>10</v>
      </c>
      <c r="D106" s="6" t="n">
        <v>6</v>
      </c>
      <c r="E106" s="6" t="n">
        <v>10</v>
      </c>
      <c r="F106" s="6"/>
    </row>
    <row r="107" customFormat="false" ht="15" hidden="false" customHeight="false" outlineLevel="0" collapsed="false">
      <c r="A107" s="5" t="s">
        <v>169</v>
      </c>
      <c r="B107" s="5" t="s">
        <v>160</v>
      </c>
      <c r="C107" s="6" t="n">
        <v>16</v>
      </c>
      <c r="D107" s="6" t="n">
        <v>0</v>
      </c>
      <c r="E107" s="6" t="n">
        <v>4</v>
      </c>
      <c r="F107" s="6"/>
    </row>
    <row r="108" customFormat="false" ht="15" hidden="false" customHeight="false" outlineLevel="0" collapsed="false">
      <c r="A108" s="5" t="s">
        <v>170</v>
      </c>
      <c r="B108" s="5" t="s">
        <v>160</v>
      </c>
      <c r="C108" s="6" t="n">
        <v>11.5</v>
      </c>
      <c r="D108" s="6" t="n">
        <v>10</v>
      </c>
      <c r="E108" s="6" t="n">
        <v>4</v>
      </c>
      <c r="F108" s="6"/>
    </row>
    <row r="109" customFormat="false" ht="15" hidden="false" customHeight="false" outlineLevel="0" collapsed="false">
      <c r="A109" s="5" t="s">
        <v>171</v>
      </c>
      <c r="B109" s="5" t="s">
        <v>160</v>
      </c>
      <c r="C109" s="6" t="n">
        <v>12</v>
      </c>
      <c r="D109" s="6" t="n">
        <v>0</v>
      </c>
      <c r="E109" s="6" t="n">
        <v>12</v>
      </c>
      <c r="F109" s="6"/>
    </row>
    <row r="110" customFormat="false" ht="15" hidden="false" customHeight="false" outlineLevel="0" collapsed="false">
      <c r="A110" s="5" t="s">
        <v>172</v>
      </c>
      <c r="B110" s="5" t="s">
        <v>160</v>
      </c>
      <c r="C110" s="6" t="n">
        <v>24</v>
      </c>
      <c r="D110" s="6" t="n">
        <v>24</v>
      </c>
      <c r="E110" s="6" t="n">
        <v>20</v>
      </c>
      <c r="F110" s="6"/>
    </row>
    <row r="111" customFormat="false" ht="15" hidden="false" customHeight="false" outlineLevel="0" collapsed="false">
      <c r="A111" s="5" t="s">
        <v>173</v>
      </c>
      <c r="B111" s="5" t="s">
        <v>160</v>
      </c>
      <c r="C111" s="6" t="n">
        <v>16</v>
      </c>
      <c r="D111" s="6" t="n">
        <v>5</v>
      </c>
      <c r="E111" s="6" t="n">
        <v>4</v>
      </c>
      <c r="F111" s="6"/>
    </row>
    <row r="112" customFormat="false" ht="15" hidden="false" customHeight="false" outlineLevel="0" collapsed="false">
      <c r="A112" s="5" t="s">
        <v>174</v>
      </c>
      <c r="B112" s="5" t="s">
        <v>160</v>
      </c>
      <c r="C112" s="6" t="n">
        <v>18</v>
      </c>
      <c r="D112" s="6" t="n">
        <v>0</v>
      </c>
      <c r="E112" s="6" t="n">
        <v>2</v>
      </c>
      <c r="F112" s="6"/>
    </row>
    <row r="113" customFormat="false" ht="15" hidden="false" customHeight="false" outlineLevel="0" collapsed="false">
      <c r="A113" s="5" t="s">
        <v>175</v>
      </c>
      <c r="B113" s="5" t="s">
        <v>176</v>
      </c>
      <c r="C113" s="6" t="n">
        <v>4</v>
      </c>
      <c r="D113" s="6" t="n">
        <v>5</v>
      </c>
      <c r="E113" s="6" t="n">
        <v>2</v>
      </c>
      <c r="F113" s="6"/>
    </row>
    <row r="114" customFormat="false" ht="15" hidden="false" customHeight="false" outlineLevel="0" collapsed="false">
      <c r="A114" s="5" t="s">
        <v>177</v>
      </c>
      <c r="B114" s="5" t="s">
        <v>178</v>
      </c>
      <c r="C114" s="6" t="n">
        <v>12</v>
      </c>
      <c r="D114" s="6" t="n">
        <v>0</v>
      </c>
      <c r="E114" s="6" t="n">
        <v>6</v>
      </c>
      <c r="F114" s="6"/>
    </row>
    <row r="115" customFormat="false" ht="15" hidden="false" customHeight="false" outlineLevel="0" collapsed="false">
      <c r="A115" s="5" t="s">
        <v>179</v>
      </c>
      <c r="B115" s="5" t="s">
        <v>178</v>
      </c>
      <c r="C115" s="6" t="n">
        <v>16</v>
      </c>
      <c r="D115" s="6" t="n">
        <v>13</v>
      </c>
      <c r="E115" s="6" t="n">
        <v>16</v>
      </c>
      <c r="F115" s="6"/>
    </row>
    <row r="116" customFormat="false" ht="15" hidden="false" customHeight="false" outlineLevel="0" collapsed="false">
      <c r="A116" s="5" t="s">
        <v>180</v>
      </c>
      <c r="B116" s="5" t="s">
        <v>178</v>
      </c>
      <c r="C116" s="6" t="n">
        <v>28</v>
      </c>
      <c r="D116" s="6" t="n">
        <v>0</v>
      </c>
      <c r="E116" s="6" t="n">
        <v>16</v>
      </c>
      <c r="F116" s="6"/>
    </row>
    <row r="117" customFormat="false" ht="15" hidden="false" customHeight="false" outlineLevel="0" collapsed="false">
      <c r="A117" s="5" t="s">
        <v>181</v>
      </c>
      <c r="B117" s="5" t="s">
        <v>182</v>
      </c>
      <c r="C117" s="6" t="n">
        <v>14</v>
      </c>
      <c r="D117" s="6" t="n">
        <v>0</v>
      </c>
      <c r="E117" s="6" t="n">
        <v>4</v>
      </c>
      <c r="F117" s="6"/>
    </row>
    <row r="118" customFormat="false" ht="15" hidden="false" customHeight="false" outlineLevel="0" collapsed="false">
      <c r="A118" s="5" t="s">
        <v>183</v>
      </c>
      <c r="B118" s="5" t="s">
        <v>184</v>
      </c>
      <c r="C118" s="6" t="n">
        <v>6</v>
      </c>
      <c r="D118" s="6" t="n">
        <v>12</v>
      </c>
      <c r="E118" s="6" t="n">
        <v>4</v>
      </c>
      <c r="F118" s="6"/>
    </row>
    <row r="119" customFormat="false" ht="15" hidden="false" customHeight="false" outlineLevel="0" collapsed="false">
      <c r="A119" s="5" t="s">
        <v>185</v>
      </c>
      <c r="B119" s="5" t="s">
        <v>186</v>
      </c>
      <c r="C119" s="6" t="n">
        <v>6</v>
      </c>
      <c r="D119" s="6" t="n">
        <v>3</v>
      </c>
      <c r="E119" s="6" t="n">
        <v>6</v>
      </c>
      <c r="F119" s="6"/>
    </row>
    <row r="120" customFormat="false" ht="15" hidden="false" customHeight="false" outlineLevel="0" collapsed="false">
      <c r="A120" s="5" t="s">
        <v>187</v>
      </c>
      <c r="B120" s="5" t="s">
        <v>186</v>
      </c>
      <c r="C120" s="6" t="n">
        <v>11.5</v>
      </c>
      <c r="D120" s="6" t="n">
        <v>1</v>
      </c>
      <c r="E120" s="6" t="n">
        <v>3</v>
      </c>
      <c r="F120" s="6"/>
    </row>
    <row r="121" customFormat="false" ht="15" hidden="false" customHeight="false" outlineLevel="0" collapsed="false">
      <c r="A121" s="5" t="s">
        <v>188</v>
      </c>
      <c r="B121" s="5" t="s">
        <v>52</v>
      </c>
      <c r="C121" s="6" t="n">
        <v>4</v>
      </c>
      <c r="D121" s="6" t="n">
        <v>4</v>
      </c>
      <c r="E121" s="6" t="n">
        <v>4</v>
      </c>
      <c r="F121" s="6"/>
    </row>
    <row r="122" customFormat="false" ht="15" hidden="false" customHeight="false" outlineLevel="0" collapsed="false">
      <c r="A122" s="5" t="s">
        <v>189</v>
      </c>
      <c r="B122" s="5" t="s">
        <v>52</v>
      </c>
      <c r="C122" s="6" t="n">
        <v>4</v>
      </c>
      <c r="D122" s="6" t="n">
        <v>12</v>
      </c>
      <c r="E122" s="6" t="n">
        <v>0</v>
      </c>
      <c r="F122" s="6"/>
    </row>
    <row r="123" customFormat="false" ht="15" hidden="false" customHeight="false" outlineLevel="0" collapsed="false">
      <c r="A123" s="5" t="s">
        <v>190</v>
      </c>
      <c r="B123" s="5" t="s">
        <v>54</v>
      </c>
      <c r="C123" s="6" t="n">
        <v>0</v>
      </c>
      <c r="D123" s="6" t="n">
        <v>12</v>
      </c>
      <c r="E123" s="6"/>
      <c r="F123" s="6" t="n">
        <v>0</v>
      </c>
    </row>
    <row r="124" customFormat="false" ht="15" hidden="false" customHeight="false" outlineLevel="0" collapsed="false">
      <c r="A124" s="5" t="s">
        <v>191</v>
      </c>
      <c r="B124" s="5" t="s">
        <v>54</v>
      </c>
      <c r="C124" s="6" t="n">
        <v>5</v>
      </c>
      <c r="D124" s="6" t="n">
        <v>6.5</v>
      </c>
      <c r="E124" s="6" t="n">
        <v>0</v>
      </c>
      <c r="F124" s="6"/>
    </row>
    <row r="125" customFormat="false" ht="15" hidden="false" customHeight="false" outlineLevel="0" collapsed="false">
      <c r="A125" s="5" t="s">
        <v>192</v>
      </c>
      <c r="B125" s="5" t="s">
        <v>54</v>
      </c>
      <c r="C125" s="6" t="n">
        <v>0</v>
      </c>
      <c r="D125" s="6" t="n">
        <v>12</v>
      </c>
      <c r="E125" s="6" t="n">
        <v>0</v>
      </c>
      <c r="F125" s="6"/>
    </row>
    <row r="126" customFormat="false" ht="15" hidden="false" customHeight="false" outlineLevel="0" collapsed="false">
      <c r="A126" s="5" t="s">
        <v>193</v>
      </c>
      <c r="B126" s="5" t="s">
        <v>54</v>
      </c>
      <c r="C126" s="6" t="n">
        <v>2</v>
      </c>
      <c r="D126" s="6" t="n">
        <v>6</v>
      </c>
      <c r="E126" s="6" t="n">
        <v>2</v>
      </c>
      <c r="F126" s="6"/>
    </row>
    <row r="127" customFormat="false" ht="15" hidden="false" customHeight="false" outlineLevel="0" collapsed="false">
      <c r="A127" s="5" t="s">
        <v>194</v>
      </c>
      <c r="B127" s="5" t="s">
        <v>195</v>
      </c>
      <c r="C127" s="6" t="n">
        <v>6</v>
      </c>
      <c r="D127" s="6" t="n">
        <v>0</v>
      </c>
      <c r="E127" s="6"/>
      <c r="F127" s="6" t="n">
        <v>0</v>
      </c>
    </row>
    <row r="128" customFormat="false" ht="15" hidden="false" customHeight="false" outlineLevel="0" collapsed="false">
      <c r="A128" s="5" t="s">
        <v>196</v>
      </c>
      <c r="B128" s="5" t="s">
        <v>197</v>
      </c>
      <c r="C128" s="6" t="n">
        <v>6</v>
      </c>
      <c r="D128" s="6" t="n">
        <v>12</v>
      </c>
      <c r="E128" s="6" t="n">
        <v>6</v>
      </c>
      <c r="F128" s="6"/>
    </row>
    <row r="129" customFormat="false" ht="15" hidden="false" customHeight="false" outlineLevel="0" collapsed="false">
      <c r="A129" s="5" t="s">
        <v>198</v>
      </c>
      <c r="B129" s="5" t="s">
        <v>197</v>
      </c>
      <c r="C129" s="6" t="n">
        <v>12</v>
      </c>
      <c r="D129" s="6" t="n">
        <v>2</v>
      </c>
      <c r="E129" s="6" t="n">
        <v>0</v>
      </c>
      <c r="F129" s="6"/>
    </row>
    <row r="130" customFormat="false" ht="15" hidden="false" customHeight="false" outlineLevel="0" collapsed="false">
      <c r="A130" s="5" t="s">
        <v>199</v>
      </c>
      <c r="B130" s="5" t="s">
        <v>197</v>
      </c>
      <c r="C130" s="6" t="n">
        <v>8</v>
      </c>
      <c r="D130" s="6" t="n">
        <v>4</v>
      </c>
      <c r="E130" s="6" t="n">
        <v>6</v>
      </c>
      <c r="F130" s="6"/>
    </row>
    <row r="131" customFormat="false" ht="15" hidden="false" customHeight="false" outlineLevel="0" collapsed="false">
      <c r="A131" s="5" t="s">
        <v>200</v>
      </c>
      <c r="B131" s="5" t="s">
        <v>201</v>
      </c>
      <c r="C131" s="6" t="n">
        <v>30</v>
      </c>
      <c r="D131" s="6" t="n">
        <v>15</v>
      </c>
      <c r="E131" s="6" t="n">
        <v>30</v>
      </c>
      <c r="F131" s="6"/>
    </row>
    <row r="132" customFormat="false" ht="15" hidden="false" customHeight="false" outlineLevel="0" collapsed="false">
      <c r="A132" s="5" t="s">
        <v>202</v>
      </c>
      <c r="B132" s="5" t="s">
        <v>203</v>
      </c>
      <c r="C132" s="6" t="n">
        <v>12</v>
      </c>
      <c r="D132" s="6" t="n">
        <v>0</v>
      </c>
      <c r="E132" s="6" t="n">
        <v>4</v>
      </c>
      <c r="F132" s="6"/>
    </row>
    <row r="133" customFormat="false" ht="15" hidden="false" customHeight="false" outlineLevel="0" collapsed="false">
      <c r="A133" s="5" t="s">
        <v>204</v>
      </c>
      <c r="B133" s="5" t="s">
        <v>203</v>
      </c>
      <c r="C133" s="6" t="n">
        <v>8</v>
      </c>
      <c r="D133" s="6" t="n">
        <v>8</v>
      </c>
      <c r="E133" s="6" t="n">
        <v>8</v>
      </c>
      <c r="F133" s="6"/>
    </row>
    <row r="134" customFormat="false" ht="15" hidden="false" customHeight="false" outlineLevel="0" collapsed="false">
      <c r="A134" s="5" t="s">
        <v>205</v>
      </c>
      <c r="B134" s="5" t="s">
        <v>206</v>
      </c>
      <c r="C134" s="6" t="n">
        <v>12</v>
      </c>
      <c r="D134" s="6" t="n">
        <v>12</v>
      </c>
      <c r="E134" s="6"/>
      <c r="F134" s="6" t="n">
        <v>29</v>
      </c>
    </row>
    <row r="135" customFormat="false" ht="15" hidden="false" customHeight="false" outlineLevel="0" collapsed="false">
      <c r="A135" s="5" t="s">
        <v>207</v>
      </c>
      <c r="B135" s="5" t="s">
        <v>206</v>
      </c>
      <c r="C135" s="6" t="n">
        <v>6</v>
      </c>
      <c r="D135" s="6" t="n">
        <v>9</v>
      </c>
      <c r="E135" s="6" t="n">
        <v>6</v>
      </c>
      <c r="F135" s="6"/>
    </row>
    <row r="136" customFormat="false" ht="15" hidden="false" customHeight="false" outlineLevel="0" collapsed="false">
      <c r="A136" s="5" t="s">
        <v>208</v>
      </c>
      <c r="B136" s="5" t="s">
        <v>209</v>
      </c>
      <c r="C136" s="6" t="n">
        <v>4</v>
      </c>
      <c r="D136" s="6" t="n">
        <v>0</v>
      </c>
      <c r="E136" s="6" t="n">
        <v>4</v>
      </c>
      <c r="F136" s="6"/>
    </row>
    <row r="137" customFormat="false" ht="15" hidden="false" customHeight="false" outlineLevel="0" collapsed="false">
      <c r="A137" s="5" t="s">
        <v>210</v>
      </c>
      <c r="B137" s="5" t="s">
        <v>211</v>
      </c>
      <c r="C137" s="6" t="n">
        <v>4</v>
      </c>
      <c r="D137" s="6" t="n">
        <v>4</v>
      </c>
      <c r="E137" s="6"/>
      <c r="F137" s="6" t="n">
        <v>2</v>
      </c>
    </row>
    <row r="138" customFormat="false" ht="15" hidden="false" customHeight="false" outlineLevel="0" collapsed="false">
      <c r="A138" s="5" t="s">
        <v>212</v>
      </c>
      <c r="B138" s="5" t="s">
        <v>213</v>
      </c>
      <c r="C138" s="6" t="n">
        <v>12</v>
      </c>
      <c r="D138" s="6" t="n">
        <v>0</v>
      </c>
      <c r="E138" s="6" t="n">
        <v>3</v>
      </c>
      <c r="F138" s="6"/>
    </row>
    <row r="139" customFormat="false" ht="15" hidden="false" customHeight="false" outlineLevel="0" collapsed="false">
      <c r="A139" s="5" t="s">
        <v>214</v>
      </c>
      <c r="B139" s="5" t="s">
        <v>215</v>
      </c>
      <c r="C139" s="6" t="n">
        <v>10</v>
      </c>
      <c r="D139" s="6" t="n">
        <v>10</v>
      </c>
      <c r="E139" s="6"/>
      <c r="F139" s="6" t="n">
        <v>10</v>
      </c>
    </row>
    <row r="140" customFormat="false" ht="15" hidden="false" customHeight="false" outlineLevel="0" collapsed="false">
      <c r="A140" s="5" t="s">
        <v>216</v>
      </c>
      <c r="B140" s="5" t="s">
        <v>215</v>
      </c>
      <c r="C140" s="6" t="n">
        <v>4</v>
      </c>
      <c r="D140" s="6" t="n">
        <v>8</v>
      </c>
      <c r="E140" s="6" t="n">
        <v>0</v>
      </c>
      <c r="F140" s="6"/>
    </row>
    <row r="141" customFormat="false" ht="15" hidden="false" customHeight="false" outlineLevel="0" collapsed="false">
      <c r="A141" s="5" t="s">
        <v>217</v>
      </c>
      <c r="B141" s="5" t="s">
        <v>56</v>
      </c>
      <c r="C141" s="6" t="n">
        <v>4</v>
      </c>
      <c r="D141" s="6" t="n">
        <v>0</v>
      </c>
      <c r="E141" s="6" t="n">
        <v>4</v>
      </c>
      <c r="F141" s="6"/>
    </row>
    <row r="142" customFormat="false" ht="15" hidden="false" customHeight="false" outlineLevel="0" collapsed="false">
      <c r="A142" s="5" t="s">
        <v>218</v>
      </c>
      <c r="B142" s="5" t="s">
        <v>56</v>
      </c>
      <c r="C142" s="6" t="n">
        <v>5</v>
      </c>
      <c r="D142" s="6" t="n">
        <v>6</v>
      </c>
      <c r="E142" s="6" t="n">
        <v>4</v>
      </c>
      <c r="F142" s="6"/>
    </row>
    <row r="143" customFormat="false" ht="15" hidden="false" customHeight="false" outlineLevel="0" collapsed="false">
      <c r="A143" s="5" t="s">
        <v>219</v>
      </c>
      <c r="B143" s="5" t="s">
        <v>56</v>
      </c>
      <c r="C143" s="6" t="n">
        <v>6</v>
      </c>
      <c r="D143" s="6" t="n">
        <v>6</v>
      </c>
      <c r="E143" s="6" t="n">
        <v>4</v>
      </c>
      <c r="F143" s="6"/>
    </row>
    <row r="144" customFormat="false" ht="15" hidden="false" customHeight="false" outlineLevel="0" collapsed="false">
      <c r="A144" s="5" t="s">
        <v>220</v>
      </c>
      <c r="B144" s="5" t="s">
        <v>56</v>
      </c>
      <c r="C144" s="6" t="n">
        <v>12</v>
      </c>
      <c r="D144" s="6" t="n">
        <v>10</v>
      </c>
      <c r="E144" s="6" t="n">
        <v>6</v>
      </c>
      <c r="F144" s="6"/>
    </row>
    <row r="145" customFormat="false" ht="15" hidden="false" customHeight="false" outlineLevel="0" collapsed="false">
      <c r="A145" s="5" t="s">
        <v>221</v>
      </c>
      <c r="B145" s="5" t="s">
        <v>56</v>
      </c>
      <c r="C145" s="6" t="n">
        <v>12</v>
      </c>
      <c r="D145" s="6" t="n">
        <v>2</v>
      </c>
      <c r="E145" s="6" t="n">
        <v>4</v>
      </c>
      <c r="F145" s="6"/>
    </row>
    <row r="146" customFormat="false" ht="15" hidden="false" customHeight="false" outlineLevel="0" collapsed="false">
      <c r="A146" s="5" t="s">
        <v>222</v>
      </c>
      <c r="B146" s="5" t="s">
        <v>56</v>
      </c>
      <c r="C146" s="6" t="n">
        <v>6</v>
      </c>
      <c r="D146" s="6" t="n">
        <v>0</v>
      </c>
      <c r="E146" s="6" t="n">
        <v>6</v>
      </c>
      <c r="F146" s="6"/>
    </row>
    <row r="147" customFormat="false" ht="15" hidden="false" customHeight="false" outlineLevel="0" collapsed="false">
      <c r="A147" s="5" t="s">
        <v>223</v>
      </c>
      <c r="B147" s="5" t="s">
        <v>56</v>
      </c>
      <c r="C147" s="6" t="n">
        <v>6</v>
      </c>
      <c r="D147" s="6" t="n">
        <v>9</v>
      </c>
      <c r="E147" s="6" t="n">
        <v>6</v>
      </c>
      <c r="F147" s="6"/>
    </row>
    <row r="148" customFormat="false" ht="15" hidden="false" customHeight="false" outlineLevel="0" collapsed="false">
      <c r="A148" s="5" t="s">
        <v>224</v>
      </c>
      <c r="B148" s="5" t="s">
        <v>225</v>
      </c>
      <c r="C148" s="6" t="n">
        <v>16</v>
      </c>
      <c r="D148" s="6" t="n">
        <v>4</v>
      </c>
      <c r="E148" s="6" t="n">
        <v>4</v>
      </c>
      <c r="F148" s="6"/>
    </row>
    <row r="149" customFormat="false" ht="15" hidden="false" customHeight="false" outlineLevel="0" collapsed="false">
      <c r="A149" s="5" t="s">
        <v>226</v>
      </c>
      <c r="B149" s="5" t="s">
        <v>227</v>
      </c>
      <c r="C149" s="6" t="n">
        <v>8</v>
      </c>
      <c r="D149" s="6" t="n">
        <v>12</v>
      </c>
      <c r="E149" s="6" t="n">
        <v>1</v>
      </c>
      <c r="F149" s="6"/>
    </row>
    <row r="150" customFormat="false" ht="15" hidden="false" customHeight="false" outlineLevel="0" collapsed="false">
      <c r="A150" s="5" t="s">
        <v>228</v>
      </c>
      <c r="B150" s="5" t="s">
        <v>227</v>
      </c>
      <c r="C150" s="6" t="n">
        <v>32.5</v>
      </c>
      <c r="D150" s="6" t="n">
        <v>0</v>
      </c>
      <c r="E150" s="6" t="n">
        <v>35</v>
      </c>
      <c r="F150" s="6"/>
    </row>
    <row r="151" customFormat="false" ht="15" hidden="false" customHeight="false" outlineLevel="0" collapsed="false">
      <c r="A151" s="5" t="s">
        <v>229</v>
      </c>
      <c r="B151" s="5" t="s">
        <v>230</v>
      </c>
      <c r="C151" s="6" t="n">
        <v>18</v>
      </c>
      <c r="D151" s="6" t="n">
        <v>0</v>
      </c>
      <c r="E151" s="6" t="n">
        <v>23</v>
      </c>
      <c r="F151" s="6"/>
    </row>
    <row r="152" customFormat="false" ht="15" hidden="false" customHeight="false" outlineLevel="0" collapsed="false">
      <c r="A152" s="5" t="s">
        <v>231</v>
      </c>
      <c r="B152" s="5" t="s">
        <v>232</v>
      </c>
      <c r="C152" s="6" t="n">
        <v>9</v>
      </c>
      <c r="D152" s="6" t="n">
        <v>36</v>
      </c>
      <c r="E152" s="6" t="n">
        <v>1</v>
      </c>
      <c r="F152" s="6"/>
    </row>
    <row r="153" customFormat="false" ht="15" hidden="false" customHeight="false" outlineLevel="0" collapsed="false">
      <c r="A153" s="5" t="s">
        <v>233</v>
      </c>
      <c r="B153" s="5" t="s">
        <v>232</v>
      </c>
      <c r="C153" s="6" t="n">
        <v>15</v>
      </c>
      <c r="D153" s="6" t="n">
        <v>6</v>
      </c>
      <c r="E153" s="6" t="n">
        <v>2</v>
      </c>
      <c r="F153" s="6"/>
    </row>
    <row r="154" customFormat="false" ht="15" hidden="false" customHeight="false" outlineLevel="0" collapsed="false">
      <c r="A154" s="5" t="s">
        <v>234</v>
      </c>
      <c r="B154" s="5" t="s">
        <v>232</v>
      </c>
      <c r="C154" s="6" t="n">
        <v>2</v>
      </c>
      <c r="D154" s="6" t="n">
        <v>19</v>
      </c>
      <c r="E154" s="6" t="n">
        <v>1</v>
      </c>
      <c r="F154" s="6"/>
    </row>
    <row r="155" customFormat="false" ht="15" hidden="false" customHeight="false" outlineLevel="0" collapsed="false">
      <c r="A155" s="5" t="s">
        <v>235</v>
      </c>
      <c r="B155" s="5" t="s">
        <v>236</v>
      </c>
      <c r="C155" s="6" t="n">
        <v>8</v>
      </c>
      <c r="D155" s="6" t="n">
        <v>8</v>
      </c>
      <c r="E155" s="6" t="n">
        <v>6</v>
      </c>
      <c r="F155" s="6"/>
    </row>
    <row r="156" customFormat="false" ht="15" hidden="false" customHeight="false" outlineLevel="0" collapsed="false">
      <c r="A156" s="5" t="s">
        <v>237</v>
      </c>
      <c r="B156" s="5" t="s">
        <v>58</v>
      </c>
      <c r="C156" s="6" t="n">
        <v>12</v>
      </c>
      <c r="D156" s="6" t="n">
        <v>12</v>
      </c>
      <c r="E156" s="6" t="n">
        <v>4</v>
      </c>
      <c r="F156" s="6"/>
    </row>
    <row r="157" customFormat="false" ht="15" hidden="false" customHeight="false" outlineLevel="0" collapsed="false">
      <c r="A157" s="5" t="s">
        <v>238</v>
      </c>
      <c r="B157" s="5" t="s">
        <v>58</v>
      </c>
      <c r="C157" s="6" t="n">
        <v>6</v>
      </c>
      <c r="D157" s="6" t="n">
        <v>3</v>
      </c>
      <c r="E157" s="6"/>
      <c r="F157" s="6" t="n">
        <v>6</v>
      </c>
    </row>
    <row r="158" customFormat="false" ht="15" hidden="false" customHeight="false" outlineLevel="0" collapsed="false">
      <c r="A158" s="5" t="s">
        <v>239</v>
      </c>
      <c r="B158" s="5" t="s">
        <v>58</v>
      </c>
      <c r="C158" s="6" t="n">
        <v>6</v>
      </c>
      <c r="D158" s="6" t="n">
        <v>4</v>
      </c>
      <c r="E158" s="6"/>
      <c r="F158" s="6" t="n">
        <v>4</v>
      </c>
    </row>
    <row r="159" customFormat="false" ht="15" hidden="false" customHeight="false" outlineLevel="0" collapsed="false">
      <c r="A159" s="5" t="s">
        <v>240</v>
      </c>
      <c r="B159" s="5" t="s">
        <v>58</v>
      </c>
      <c r="C159" s="6" t="n">
        <v>6</v>
      </c>
      <c r="D159" s="6" t="n">
        <v>6</v>
      </c>
      <c r="E159" s="6" t="n">
        <v>6</v>
      </c>
      <c r="F159" s="6"/>
    </row>
    <row r="160" customFormat="false" ht="15" hidden="false" customHeight="false" outlineLevel="0" collapsed="false">
      <c r="A160" s="5" t="s">
        <v>241</v>
      </c>
      <c r="B160" s="5" t="s">
        <v>58</v>
      </c>
      <c r="C160" s="6" t="n">
        <v>3</v>
      </c>
      <c r="D160" s="6" t="n">
        <v>3</v>
      </c>
      <c r="E160" s="6" t="n">
        <v>0</v>
      </c>
      <c r="F160" s="6"/>
    </row>
    <row r="161" customFormat="false" ht="15" hidden="false" customHeight="false" outlineLevel="0" collapsed="false">
      <c r="A161" s="5" t="s">
        <v>242</v>
      </c>
      <c r="B161" s="5" t="s">
        <v>243</v>
      </c>
      <c r="C161" s="6" t="n">
        <v>15</v>
      </c>
      <c r="D161" s="6" t="n">
        <v>3</v>
      </c>
      <c r="E161" s="6"/>
      <c r="F161" s="6" t="n">
        <v>0</v>
      </c>
    </row>
    <row r="162" customFormat="false" ht="15" hidden="false" customHeight="false" outlineLevel="0" collapsed="false">
      <c r="A162" s="5" t="s">
        <v>244</v>
      </c>
      <c r="B162" s="5" t="s">
        <v>245</v>
      </c>
      <c r="C162" s="6" t="n">
        <v>12</v>
      </c>
      <c r="D162" s="6" t="n">
        <v>0</v>
      </c>
      <c r="E162" s="6" t="n">
        <v>12</v>
      </c>
      <c r="F162" s="6"/>
    </row>
    <row r="163" customFormat="false" ht="15" hidden="false" customHeight="false" outlineLevel="0" collapsed="false">
      <c r="A163" s="5" t="s">
        <v>246</v>
      </c>
      <c r="B163" s="5" t="s">
        <v>245</v>
      </c>
      <c r="C163" s="6" t="n">
        <v>9</v>
      </c>
      <c r="D163" s="6" t="n">
        <v>0</v>
      </c>
      <c r="E163" s="6" t="n">
        <v>6</v>
      </c>
      <c r="F163" s="6"/>
    </row>
    <row r="164" customFormat="false" ht="15" hidden="false" customHeight="false" outlineLevel="0" collapsed="false">
      <c r="A164" s="5" t="s">
        <v>247</v>
      </c>
      <c r="B164" s="5" t="s">
        <v>245</v>
      </c>
      <c r="C164" s="6" t="n">
        <v>8</v>
      </c>
      <c r="D164" s="6" t="n">
        <v>4</v>
      </c>
      <c r="E164" s="6" t="n">
        <v>2</v>
      </c>
      <c r="F164" s="6"/>
    </row>
    <row r="165" customFormat="false" ht="15" hidden="false" customHeight="false" outlineLevel="0" collapsed="false">
      <c r="A165" s="5" t="s">
        <v>248</v>
      </c>
      <c r="B165" s="5" t="s">
        <v>249</v>
      </c>
      <c r="C165" s="6" t="n">
        <v>4</v>
      </c>
      <c r="D165" s="6" t="n">
        <v>8</v>
      </c>
      <c r="E165" s="6" t="n">
        <v>6</v>
      </c>
      <c r="F165" s="6"/>
    </row>
    <row r="166" customFormat="false" ht="15" hidden="false" customHeight="false" outlineLevel="0" collapsed="false">
      <c r="A166" s="5" t="s">
        <v>250</v>
      </c>
      <c r="B166" s="5" t="s">
        <v>249</v>
      </c>
      <c r="C166" s="6" t="n">
        <v>23</v>
      </c>
      <c r="D166" s="6" t="n">
        <v>2</v>
      </c>
      <c r="E166" s="6" t="n">
        <v>16</v>
      </c>
      <c r="F166" s="6"/>
    </row>
    <row r="167" customFormat="false" ht="15" hidden="false" customHeight="false" outlineLevel="0" collapsed="false">
      <c r="A167" s="5" t="s">
        <v>251</v>
      </c>
      <c r="B167" s="5" t="s">
        <v>252</v>
      </c>
      <c r="C167" s="6" t="n">
        <v>18</v>
      </c>
      <c r="D167" s="6" t="n">
        <v>4</v>
      </c>
      <c r="E167" s="6" t="n">
        <v>12</v>
      </c>
      <c r="F167" s="6"/>
    </row>
    <row r="168" customFormat="false" ht="15" hidden="false" customHeight="false" outlineLevel="0" collapsed="false">
      <c r="A168" s="5" t="s">
        <v>253</v>
      </c>
      <c r="B168" s="5" t="s">
        <v>254</v>
      </c>
      <c r="C168" s="6" t="n">
        <v>9</v>
      </c>
      <c r="D168" s="6" t="n">
        <v>2</v>
      </c>
      <c r="E168" s="6" t="n">
        <v>6</v>
      </c>
      <c r="F168" s="6"/>
    </row>
    <row r="169" customFormat="false" ht="15" hidden="false" customHeight="false" outlineLevel="0" collapsed="false">
      <c r="A169" s="5" t="s">
        <v>255</v>
      </c>
      <c r="B169" s="5" t="s">
        <v>256</v>
      </c>
      <c r="C169" s="6" t="n">
        <v>12</v>
      </c>
      <c r="D169" s="6" t="n">
        <v>0</v>
      </c>
      <c r="E169" s="6" t="n">
        <v>4</v>
      </c>
      <c r="F169" s="6"/>
    </row>
    <row r="170" customFormat="false" ht="15" hidden="false" customHeight="false" outlineLevel="0" collapsed="false">
      <c r="A170" s="5" t="s">
        <v>257</v>
      </c>
      <c r="B170" s="5" t="s">
        <v>258</v>
      </c>
      <c r="C170" s="6" t="n">
        <v>14</v>
      </c>
      <c r="D170" s="6"/>
      <c r="E170" s="6" t="n">
        <v>6</v>
      </c>
      <c r="F170" s="6" t="n">
        <v>0</v>
      </c>
    </row>
    <row r="171" customFormat="false" ht="15" hidden="false" customHeight="false" outlineLevel="0" collapsed="false">
      <c r="A171" s="5" t="s">
        <v>259</v>
      </c>
      <c r="B171" s="5" t="s">
        <v>258</v>
      </c>
      <c r="C171" s="6" t="n">
        <v>12</v>
      </c>
      <c r="D171" s="6" t="n">
        <v>0</v>
      </c>
      <c r="E171" s="6"/>
      <c r="F171" s="6" t="n">
        <v>16</v>
      </c>
    </row>
    <row r="172" customFormat="false" ht="15" hidden="false" customHeight="false" outlineLevel="0" collapsed="false">
      <c r="A172" s="5" t="s">
        <v>260</v>
      </c>
      <c r="B172" s="5" t="s">
        <v>258</v>
      </c>
      <c r="C172" s="6" t="n">
        <v>6.5</v>
      </c>
      <c r="D172" s="6" t="n">
        <v>9</v>
      </c>
      <c r="E172" s="6" t="n">
        <v>0</v>
      </c>
      <c r="F172" s="6"/>
    </row>
    <row r="173" customFormat="false" ht="15" hidden="false" customHeight="false" outlineLevel="0" collapsed="false">
      <c r="A173" s="5" t="s">
        <v>261</v>
      </c>
      <c r="B173" s="5" t="s">
        <v>258</v>
      </c>
      <c r="C173" s="6" t="n">
        <v>10</v>
      </c>
      <c r="D173" s="6" t="n">
        <v>1</v>
      </c>
      <c r="E173" s="6" t="n">
        <v>4</v>
      </c>
      <c r="F173" s="6"/>
    </row>
    <row r="174" customFormat="false" ht="15" hidden="false" customHeight="false" outlineLevel="0" collapsed="false">
      <c r="A174" s="5" t="s">
        <v>262</v>
      </c>
      <c r="B174" s="5" t="s">
        <v>258</v>
      </c>
      <c r="C174" s="6" t="n">
        <v>6</v>
      </c>
      <c r="D174" s="6" t="n">
        <v>12</v>
      </c>
      <c r="E174" s="6" t="n">
        <v>6</v>
      </c>
      <c r="F174" s="6"/>
    </row>
    <row r="175" customFormat="false" ht="15" hidden="false" customHeight="false" outlineLevel="0" collapsed="false">
      <c r="A175" s="5" t="s">
        <v>263</v>
      </c>
      <c r="B175" s="5" t="s">
        <v>264</v>
      </c>
      <c r="C175" s="6" t="n">
        <v>6</v>
      </c>
      <c r="D175" s="6" t="n">
        <v>0</v>
      </c>
      <c r="E175" s="6" t="n">
        <v>16</v>
      </c>
      <c r="F175" s="6"/>
    </row>
    <row r="176" customFormat="false" ht="15" hidden="false" customHeight="false" outlineLevel="0" collapsed="false">
      <c r="A176" s="5" t="s">
        <v>265</v>
      </c>
      <c r="B176" s="5" t="s">
        <v>266</v>
      </c>
      <c r="C176" s="6" t="n">
        <v>3</v>
      </c>
      <c r="D176" s="6" t="n">
        <v>9</v>
      </c>
      <c r="E176" s="6" t="n">
        <v>0</v>
      </c>
      <c r="F176" s="6"/>
    </row>
    <row r="177" customFormat="false" ht="15" hidden="false" customHeight="false" outlineLevel="0" collapsed="false">
      <c r="A177" s="5" t="s">
        <v>267</v>
      </c>
      <c r="B177" s="5" t="s">
        <v>268</v>
      </c>
      <c r="C177" s="6" t="n">
        <v>12</v>
      </c>
      <c r="D177" s="6" t="n">
        <v>26</v>
      </c>
      <c r="E177" s="6" t="n">
        <v>8</v>
      </c>
      <c r="F177" s="6"/>
    </row>
    <row r="178" customFormat="false" ht="15" hidden="false" customHeight="false" outlineLevel="0" collapsed="false">
      <c r="A178" s="5" t="s">
        <v>269</v>
      </c>
      <c r="B178" s="5" t="s">
        <v>268</v>
      </c>
      <c r="C178" s="6" t="n">
        <v>9</v>
      </c>
      <c r="D178" s="6" t="n">
        <v>12</v>
      </c>
      <c r="E178" s="6" t="n">
        <v>2</v>
      </c>
      <c r="F178" s="6"/>
    </row>
    <row r="179" customFormat="false" ht="15" hidden="false" customHeight="false" outlineLevel="0" collapsed="false">
      <c r="A179" s="5" t="s">
        <v>270</v>
      </c>
      <c r="B179" s="5" t="s">
        <v>268</v>
      </c>
      <c r="C179" s="6" t="n">
        <v>9</v>
      </c>
      <c r="D179" s="6" t="n">
        <v>6</v>
      </c>
      <c r="E179" s="6" t="n">
        <v>2</v>
      </c>
      <c r="F179" s="6"/>
    </row>
    <row r="180" customFormat="false" ht="15" hidden="false" customHeight="false" outlineLevel="0" collapsed="false">
      <c r="A180" s="5" t="s">
        <v>271</v>
      </c>
      <c r="B180" s="5" t="s">
        <v>272</v>
      </c>
      <c r="C180" s="6" t="n">
        <v>2</v>
      </c>
      <c r="D180" s="6" t="n">
        <v>0</v>
      </c>
      <c r="E180" s="6"/>
      <c r="F180" s="6" t="n">
        <v>12</v>
      </c>
    </row>
    <row r="181" customFormat="false" ht="15" hidden="false" customHeight="false" outlineLevel="0" collapsed="false">
      <c r="A181" s="5" t="s">
        <v>273</v>
      </c>
      <c r="B181" s="5" t="s">
        <v>274</v>
      </c>
      <c r="C181" s="6" t="n">
        <v>6</v>
      </c>
      <c r="D181" s="6" t="n">
        <v>12</v>
      </c>
      <c r="E181" s="6" t="n">
        <v>0</v>
      </c>
      <c r="F181" s="6"/>
    </row>
    <row r="182" customFormat="false" ht="15" hidden="false" customHeight="false" outlineLevel="0" collapsed="false">
      <c r="A182" s="5" t="s">
        <v>275</v>
      </c>
      <c r="B182" s="5" t="s">
        <v>276</v>
      </c>
      <c r="C182" s="6" t="n">
        <v>12</v>
      </c>
      <c r="D182" s="6" t="n">
        <v>5</v>
      </c>
      <c r="E182" s="6" t="n">
        <v>7</v>
      </c>
      <c r="F182" s="6"/>
    </row>
    <row r="183" customFormat="false" ht="15" hidden="false" customHeight="false" outlineLevel="0" collapsed="false">
      <c r="A183" s="5" t="s">
        <v>277</v>
      </c>
      <c r="B183" s="5" t="s">
        <v>278</v>
      </c>
      <c r="C183" s="6" t="n">
        <v>6</v>
      </c>
      <c r="D183" s="6" t="n">
        <v>0</v>
      </c>
      <c r="E183" s="6" t="n">
        <v>6</v>
      </c>
      <c r="F183" s="6"/>
    </row>
    <row r="184" customFormat="false" ht="15" hidden="false" customHeight="false" outlineLevel="0" collapsed="false">
      <c r="A184" s="5" t="s">
        <v>279</v>
      </c>
      <c r="B184" s="5" t="s">
        <v>280</v>
      </c>
      <c r="C184" s="6" t="n">
        <v>5.5</v>
      </c>
      <c r="D184" s="6" t="n">
        <v>0</v>
      </c>
      <c r="E184" s="6" t="n">
        <v>3</v>
      </c>
      <c r="F184" s="6"/>
    </row>
    <row r="185" customFormat="false" ht="15" hidden="false" customHeight="false" outlineLevel="0" collapsed="false">
      <c r="A185" s="5" t="s">
        <v>281</v>
      </c>
      <c r="B185" s="5" t="s">
        <v>282</v>
      </c>
      <c r="C185" s="6" t="n">
        <v>7</v>
      </c>
      <c r="D185" s="6" t="n">
        <v>0</v>
      </c>
      <c r="E185" s="6" t="n">
        <v>2</v>
      </c>
      <c r="F185" s="6"/>
    </row>
    <row r="186" customFormat="false" ht="15" hidden="false" customHeight="false" outlineLevel="0" collapsed="false">
      <c r="A186" s="5" t="s">
        <v>283</v>
      </c>
      <c r="B186" s="5" t="s">
        <v>66</v>
      </c>
      <c r="C186" s="6" t="n">
        <v>8</v>
      </c>
      <c r="D186" s="6" t="n">
        <v>16</v>
      </c>
      <c r="E186" s="6" t="n">
        <v>2</v>
      </c>
      <c r="F186" s="6"/>
    </row>
    <row r="187" customFormat="false" ht="15" hidden="false" customHeight="false" outlineLevel="0" collapsed="false">
      <c r="A187" s="5" t="s">
        <v>284</v>
      </c>
      <c r="B187" s="5" t="s">
        <v>66</v>
      </c>
      <c r="C187" s="6" t="n">
        <v>14</v>
      </c>
      <c r="D187" s="6" t="n">
        <v>0</v>
      </c>
      <c r="E187" s="6" t="n">
        <v>8</v>
      </c>
      <c r="F187" s="6"/>
    </row>
    <row r="188" customFormat="false" ht="15" hidden="false" customHeight="false" outlineLevel="0" collapsed="false">
      <c r="A188" s="5" t="s">
        <v>285</v>
      </c>
      <c r="B188" s="5" t="s">
        <v>66</v>
      </c>
      <c r="C188" s="6" t="n">
        <v>6</v>
      </c>
      <c r="D188" s="6" t="n">
        <v>0</v>
      </c>
      <c r="E188" s="6" t="n">
        <v>6</v>
      </c>
      <c r="F188" s="6"/>
    </row>
    <row r="189" customFormat="false" ht="15" hidden="false" customHeight="false" outlineLevel="0" collapsed="false">
      <c r="A189" s="5" t="s">
        <v>286</v>
      </c>
      <c r="B189" s="5" t="s">
        <v>66</v>
      </c>
      <c r="C189" s="6" t="n">
        <v>16</v>
      </c>
      <c r="D189" s="6" t="n">
        <v>0</v>
      </c>
      <c r="E189" s="6" t="n">
        <v>8</v>
      </c>
      <c r="F189" s="6"/>
    </row>
    <row r="190" customFormat="false" ht="15" hidden="false" customHeight="false" outlineLevel="0" collapsed="false">
      <c r="A190" s="5" t="s">
        <v>287</v>
      </c>
      <c r="B190" s="5" t="s">
        <v>288</v>
      </c>
      <c r="C190" s="6" t="n">
        <v>26</v>
      </c>
      <c r="D190" s="6" t="n">
        <v>11</v>
      </c>
      <c r="E190" s="6" t="n">
        <v>26</v>
      </c>
      <c r="F190" s="6"/>
    </row>
    <row r="191" customFormat="false" ht="15" hidden="false" customHeight="false" outlineLevel="0" collapsed="false">
      <c r="A191" s="5" t="s">
        <v>289</v>
      </c>
      <c r="B191" s="5" t="s">
        <v>290</v>
      </c>
      <c r="C191" s="6" t="n">
        <v>2</v>
      </c>
      <c r="D191" s="6" t="n">
        <v>40</v>
      </c>
      <c r="E191" s="6" t="n">
        <v>2</v>
      </c>
      <c r="F191" s="6"/>
    </row>
    <row r="192" customFormat="false" ht="15" hidden="false" customHeight="false" outlineLevel="0" collapsed="false">
      <c r="A192" s="5" t="s">
        <v>291</v>
      </c>
      <c r="B192" s="5" t="s">
        <v>292</v>
      </c>
      <c r="C192" s="6" t="n">
        <v>39</v>
      </c>
      <c r="D192" s="6" t="n">
        <v>0.5</v>
      </c>
      <c r="E192" s="6" t="n">
        <v>1</v>
      </c>
      <c r="F192" s="6"/>
    </row>
    <row r="193" customFormat="false" ht="15" hidden="false" customHeight="false" outlineLevel="0" collapsed="false">
      <c r="A193" s="5" t="s">
        <v>293</v>
      </c>
      <c r="B193" s="5" t="s">
        <v>292</v>
      </c>
      <c r="C193" s="6" t="n">
        <v>6</v>
      </c>
      <c r="D193" s="6" t="n">
        <v>6</v>
      </c>
      <c r="E193" s="6" t="n">
        <v>4</v>
      </c>
      <c r="F193" s="6"/>
    </row>
    <row r="194" customFormat="false" ht="15" hidden="false" customHeight="false" outlineLevel="0" collapsed="false">
      <c r="A194" s="5" t="s">
        <v>294</v>
      </c>
      <c r="B194" s="5" t="s">
        <v>295</v>
      </c>
      <c r="C194" s="6" t="n">
        <v>14</v>
      </c>
      <c r="D194" s="6" t="n">
        <v>38</v>
      </c>
      <c r="E194" s="6" t="n">
        <v>2</v>
      </c>
      <c r="F194" s="6"/>
    </row>
    <row r="195" customFormat="false" ht="15" hidden="false" customHeight="false" outlineLevel="0" collapsed="false">
      <c r="A195" s="5" t="s">
        <v>296</v>
      </c>
      <c r="B195" s="5" t="s">
        <v>295</v>
      </c>
      <c r="C195" s="6" t="n">
        <v>20</v>
      </c>
      <c r="D195" s="6" t="n">
        <v>0</v>
      </c>
      <c r="E195" s="6" t="n">
        <v>4</v>
      </c>
      <c r="F195" s="6"/>
    </row>
    <row r="196" customFormat="false" ht="15" hidden="false" customHeight="false" outlineLevel="0" collapsed="false">
      <c r="A196" s="5" t="s">
        <v>297</v>
      </c>
      <c r="B196" s="5" t="s">
        <v>298</v>
      </c>
      <c r="C196" s="6" t="n">
        <v>6</v>
      </c>
      <c r="D196" s="6" t="n">
        <v>9</v>
      </c>
      <c r="E196" s="6" t="n">
        <v>4</v>
      </c>
      <c r="F196" s="6"/>
    </row>
    <row r="197" customFormat="false" ht="15" hidden="false" customHeight="false" outlineLevel="0" collapsed="false">
      <c r="A197" s="5" t="s">
        <v>299</v>
      </c>
      <c r="B197" s="5" t="s">
        <v>300</v>
      </c>
      <c r="C197" s="6" t="n">
        <v>6</v>
      </c>
      <c r="D197" s="6" t="n">
        <v>6</v>
      </c>
      <c r="E197" s="6" t="n">
        <v>6</v>
      </c>
      <c r="F197" s="6"/>
    </row>
    <row r="198" customFormat="false" ht="15" hidden="false" customHeight="false" outlineLevel="0" collapsed="false">
      <c r="A198" s="5" t="s">
        <v>301</v>
      </c>
      <c r="B198" s="5" t="s">
        <v>300</v>
      </c>
      <c r="C198" s="6" t="n">
        <v>12</v>
      </c>
      <c r="D198" s="6" t="n">
        <v>2</v>
      </c>
      <c r="E198" s="6" t="n">
        <v>4</v>
      </c>
      <c r="F198" s="6"/>
    </row>
    <row r="199" customFormat="false" ht="15" hidden="false" customHeight="false" outlineLevel="0" collapsed="false">
      <c r="A199" s="5" t="s">
        <v>302</v>
      </c>
      <c r="B199" s="5" t="s">
        <v>74</v>
      </c>
      <c r="C199" s="6" t="n">
        <v>4</v>
      </c>
      <c r="D199" s="6" t="n">
        <v>8</v>
      </c>
      <c r="E199" s="6" t="n">
        <v>6</v>
      </c>
      <c r="F199" s="6"/>
    </row>
    <row r="200" customFormat="false" ht="15" hidden="false" customHeight="false" outlineLevel="0" collapsed="false">
      <c r="A200" s="5" t="s">
        <v>303</v>
      </c>
      <c r="B200" s="5" t="s">
        <v>74</v>
      </c>
      <c r="C200" s="6" t="n">
        <v>8.5</v>
      </c>
      <c r="D200" s="6" t="n">
        <v>6</v>
      </c>
      <c r="E200" s="6" t="n">
        <v>2</v>
      </c>
      <c r="F200" s="6"/>
    </row>
    <row r="201" customFormat="false" ht="15" hidden="false" customHeight="false" outlineLevel="0" collapsed="false">
      <c r="A201" s="5" t="s">
        <v>304</v>
      </c>
      <c r="B201" s="5" t="s">
        <v>74</v>
      </c>
      <c r="C201" s="6" t="n">
        <v>6</v>
      </c>
      <c r="D201" s="6" t="n">
        <v>6</v>
      </c>
      <c r="E201" s="6" t="n">
        <v>4</v>
      </c>
      <c r="F201" s="6"/>
    </row>
    <row r="202" customFormat="false" ht="15" hidden="false" customHeight="false" outlineLevel="0" collapsed="false">
      <c r="A202" s="5" t="s">
        <v>305</v>
      </c>
      <c r="B202" s="5" t="s">
        <v>306</v>
      </c>
      <c r="C202" s="6" t="n">
        <v>5</v>
      </c>
      <c r="D202" s="6" t="n">
        <v>3</v>
      </c>
      <c r="E202" s="6" t="n">
        <v>4</v>
      </c>
      <c r="F202" s="6"/>
    </row>
    <row r="203" customFormat="false" ht="15" hidden="false" customHeight="false" outlineLevel="0" collapsed="false">
      <c r="A203" s="5" t="s">
        <v>307</v>
      </c>
      <c r="B203" s="5" t="s">
        <v>306</v>
      </c>
      <c r="C203" s="6" t="n">
        <v>2</v>
      </c>
      <c r="D203" s="6" t="n">
        <v>6.5</v>
      </c>
      <c r="E203" s="6"/>
      <c r="F203" s="6" t="n">
        <v>0</v>
      </c>
    </row>
    <row r="204" customFormat="false" ht="15" hidden="false" customHeight="false" outlineLevel="0" collapsed="false">
      <c r="A204" s="5" t="s">
        <v>308</v>
      </c>
      <c r="B204" s="5" t="s">
        <v>76</v>
      </c>
      <c r="C204" s="6" t="n">
        <v>12</v>
      </c>
      <c r="D204" s="6" t="n">
        <v>0</v>
      </c>
      <c r="E204" s="6" t="n">
        <v>6</v>
      </c>
      <c r="F204" s="6"/>
    </row>
    <row r="205" customFormat="false" ht="15" hidden="false" customHeight="false" outlineLevel="0" collapsed="false">
      <c r="A205" s="5" t="s">
        <v>309</v>
      </c>
      <c r="B205" s="5" t="s">
        <v>76</v>
      </c>
      <c r="C205" s="6" t="n">
        <v>6</v>
      </c>
      <c r="D205" s="6" t="n">
        <v>4</v>
      </c>
      <c r="E205" s="6" t="n">
        <v>2</v>
      </c>
      <c r="F205" s="6"/>
    </row>
    <row r="206" customFormat="false" ht="15" hidden="false" customHeight="false" outlineLevel="0" collapsed="false">
      <c r="A206" s="5" t="s">
        <v>310</v>
      </c>
      <c r="B206" s="5" t="s">
        <v>76</v>
      </c>
      <c r="C206" s="6" t="n">
        <v>12</v>
      </c>
      <c r="D206" s="6" t="n">
        <v>0</v>
      </c>
      <c r="E206" s="6" t="n">
        <v>4</v>
      </c>
      <c r="F206" s="6"/>
    </row>
    <row r="207" customFormat="false" ht="15" hidden="false" customHeight="false" outlineLevel="0" collapsed="false">
      <c r="A207" s="5" t="s">
        <v>311</v>
      </c>
      <c r="B207" s="5" t="s">
        <v>76</v>
      </c>
      <c r="C207" s="6" t="n">
        <v>16</v>
      </c>
      <c r="D207" s="6" t="n">
        <v>0</v>
      </c>
      <c r="E207" s="6" t="n">
        <v>16</v>
      </c>
      <c r="F207" s="6"/>
    </row>
    <row r="208" customFormat="false" ht="15" hidden="false" customHeight="false" outlineLevel="0" collapsed="false">
      <c r="A208" s="5" t="s">
        <v>312</v>
      </c>
      <c r="B208" s="5" t="s">
        <v>76</v>
      </c>
      <c r="C208" s="6" t="n">
        <v>8</v>
      </c>
      <c r="D208" s="6" t="n">
        <v>4</v>
      </c>
      <c r="E208" s="6" t="n">
        <v>8</v>
      </c>
      <c r="F208" s="6"/>
    </row>
    <row r="209" customFormat="false" ht="15" hidden="false" customHeight="false" outlineLevel="0" collapsed="false">
      <c r="A209" s="5" t="s">
        <v>313</v>
      </c>
      <c r="B209" s="5" t="s">
        <v>76</v>
      </c>
      <c r="C209" s="6" t="n">
        <v>26</v>
      </c>
      <c r="D209" s="6" t="n">
        <v>6</v>
      </c>
      <c r="E209" s="6" t="n">
        <v>26</v>
      </c>
      <c r="F209" s="6"/>
    </row>
    <row r="210" customFormat="false" ht="15" hidden="false" customHeight="false" outlineLevel="0" collapsed="false">
      <c r="A210" s="5" t="s">
        <v>314</v>
      </c>
      <c r="B210" s="5" t="s">
        <v>76</v>
      </c>
      <c r="C210" s="6" t="n">
        <v>24</v>
      </c>
      <c r="D210" s="6"/>
      <c r="E210" s="6" t="n">
        <v>1</v>
      </c>
      <c r="F210" s="6" t="n">
        <v>4</v>
      </c>
    </row>
    <row r="211" customFormat="false" ht="15" hidden="false" customHeight="false" outlineLevel="0" collapsed="false">
      <c r="A211" s="5" t="s">
        <v>315</v>
      </c>
      <c r="B211" s="5" t="s">
        <v>78</v>
      </c>
      <c r="C211" s="6" t="n">
        <v>12</v>
      </c>
      <c r="D211" s="6" t="n">
        <v>0</v>
      </c>
      <c r="E211" s="6" t="n">
        <v>6</v>
      </c>
      <c r="F211" s="6"/>
    </row>
    <row r="212" customFormat="false" ht="15" hidden="false" customHeight="false" outlineLevel="0" collapsed="false">
      <c r="A212" s="5" t="s">
        <v>316</v>
      </c>
      <c r="B212" s="5" t="s">
        <v>78</v>
      </c>
      <c r="C212" s="6" t="n">
        <v>11</v>
      </c>
      <c r="D212" s="6" t="n">
        <v>6</v>
      </c>
      <c r="E212" s="6" t="n">
        <v>6</v>
      </c>
      <c r="F212" s="6"/>
    </row>
    <row r="213" customFormat="false" ht="15" hidden="false" customHeight="false" outlineLevel="0" collapsed="false">
      <c r="A213" s="5" t="s">
        <v>317</v>
      </c>
      <c r="B213" s="5" t="s">
        <v>78</v>
      </c>
      <c r="C213" s="6" t="n">
        <v>14</v>
      </c>
      <c r="D213" s="6" t="n">
        <v>0</v>
      </c>
      <c r="E213" s="6" t="n">
        <v>12</v>
      </c>
      <c r="F213" s="6"/>
    </row>
    <row r="214" customFormat="false" ht="15" hidden="false" customHeight="false" outlineLevel="0" collapsed="false">
      <c r="A214" s="5" t="s">
        <v>318</v>
      </c>
      <c r="B214" s="5" t="s">
        <v>78</v>
      </c>
      <c r="C214" s="6" t="n">
        <v>18</v>
      </c>
      <c r="D214" s="6" t="n">
        <v>1</v>
      </c>
      <c r="E214" s="6" t="n">
        <v>12</v>
      </c>
      <c r="F214" s="6"/>
    </row>
    <row r="215" customFormat="false" ht="15" hidden="false" customHeight="false" outlineLevel="0" collapsed="false">
      <c r="A215" s="5" t="s">
        <v>319</v>
      </c>
      <c r="B215" s="5" t="s">
        <v>78</v>
      </c>
      <c r="C215" s="6" t="n">
        <v>12</v>
      </c>
      <c r="D215" s="6" t="n">
        <v>0</v>
      </c>
      <c r="E215" s="6" t="n">
        <v>12</v>
      </c>
      <c r="F215" s="6"/>
    </row>
    <row r="216" customFormat="false" ht="15" hidden="false" customHeight="false" outlineLevel="0" collapsed="false">
      <c r="A216" s="5" t="s">
        <v>320</v>
      </c>
      <c r="B216" s="5" t="s">
        <v>78</v>
      </c>
      <c r="C216" s="6" t="n">
        <v>20</v>
      </c>
      <c r="D216" s="6" t="n">
        <v>0</v>
      </c>
      <c r="E216" s="6" t="n">
        <v>12</v>
      </c>
      <c r="F216" s="6"/>
    </row>
    <row r="217" customFormat="false" ht="15" hidden="false" customHeight="false" outlineLevel="0" collapsed="false">
      <c r="A217" s="5" t="s">
        <v>321</v>
      </c>
      <c r="B217" s="5" t="s">
        <v>78</v>
      </c>
      <c r="C217" s="6" t="n">
        <v>24</v>
      </c>
      <c r="D217" s="6" t="n">
        <v>0</v>
      </c>
      <c r="E217" s="6" t="n">
        <v>18</v>
      </c>
      <c r="F217" s="6"/>
    </row>
    <row r="218" customFormat="false" ht="15" hidden="false" customHeight="false" outlineLevel="0" collapsed="false">
      <c r="A218" s="5" t="s">
        <v>322</v>
      </c>
      <c r="B218" s="5" t="s">
        <v>78</v>
      </c>
      <c r="C218" s="6" t="n">
        <v>16</v>
      </c>
      <c r="D218" s="6" t="n">
        <v>0</v>
      </c>
      <c r="E218" s="6" t="n">
        <v>16</v>
      </c>
      <c r="F218" s="6"/>
    </row>
    <row r="219" customFormat="false" ht="15" hidden="false" customHeight="false" outlineLevel="0" collapsed="false">
      <c r="A219" s="5" t="s">
        <v>323</v>
      </c>
      <c r="B219" s="5" t="s">
        <v>78</v>
      </c>
      <c r="C219" s="6" t="n">
        <v>20</v>
      </c>
      <c r="D219" s="6" t="n">
        <v>4</v>
      </c>
      <c r="E219" s="6" t="n">
        <v>12</v>
      </c>
      <c r="F219" s="6"/>
    </row>
    <row r="220" customFormat="false" ht="15" hidden="false" customHeight="false" outlineLevel="0" collapsed="false">
      <c r="A220" s="5" t="s">
        <v>324</v>
      </c>
      <c r="B220" s="5" t="s">
        <v>78</v>
      </c>
      <c r="C220" s="6" t="n">
        <v>18</v>
      </c>
      <c r="D220" s="6" t="n">
        <v>0</v>
      </c>
      <c r="E220" s="6" t="n">
        <v>18</v>
      </c>
      <c r="F220" s="6"/>
    </row>
    <row r="221" customFormat="false" ht="15" hidden="false" customHeight="false" outlineLevel="0" collapsed="false">
      <c r="A221" s="5" t="s">
        <v>325</v>
      </c>
      <c r="B221" s="5" t="s">
        <v>78</v>
      </c>
      <c r="C221" s="6" t="n">
        <v>18</v>
      </c>
      <c r="D221" s="6" t="n">
        <v>0</v>
      </c>
      <c r="E221" s="6" t="n">
        <v>18</v>
      </c>
      <c r="F221" s="6"/>
    </row>
    <row r="222" customFormat="false" ht="15" hidden="false" customHeight="false" outlineLevel="0" collapsed="false">
      <c r="A222" s="5" t="s">
        <v>326</v>
      </c>
      <c r="B222" s="5" t="s">
        <v>327</v>
      </c>
      <c r="C222" s="6" t="n">
        <v>6</v>
      </c>
      <c r="D222" s="6" t="n">
        <v>0</v>
      </c>
      <c r="E222" s="6" t="n">
        <v>6</v>
      </c>
      <c r="F222" s="6"/>
    </row>
    <row r="223" customFormat="false" ht="15" hidden="false" customHeight="false" outlineLevel="0" collapsed="false">
      <c r="A223" s="5" t="s">
        <v>328</v>
      </c>
      <c r="B223" s="5" t="s">
        <v>327</v>
      </c>
      <c r="C223" s="6" t="n">
        <v>8</v>
      </c>
      <c r="D223" s="6" t="n">
        <v>7</v>
      </c>
      <c r="E223" s="6" t="n">
        <v>2</v>
      </c>
      <c r="F223" s="6"/>
    </row>
    <row r="224" customFormat="false" ht="15" hidden="false" customHeight="false" outlineLevel="0" collapsed="false">
      <c r="A224" s="5" t="s">
        <v>329</v>
      </c>
      <c r="B224" s="5" t="s">
        <v>327</v>
      </c>
      <c r="C224" s="6" t="n">
        <v>2</v>
      </c>
      <c r="D224" s="6" t="n">
        <v>0</v>
      </c>
      <c r="E224" s="6" t="n">
        <v>6</v>
      </c>
      <c r="F224" s="6"/>
    </row>
    <row r="225" customFormat="false" ht="15" hidden="false" customHeight="false" outlineLevel="0" collapsed="false">
      <c r="A225" s="5" t="s">
        <v>330</v>
      </c>
      <c r="B225" s="5" t="s">
        <v>83</v>
      </c>
      <c r="C225" s="6" t="n">
        <v>12</v>
      </c>
      <c r="D225" s="6" t="n">
        <v>6</v>
      </c>
      <c r="E225" s="6" t="n">
        <v>12</v>
      </c>
      <c r="F225" s="6"/>
    </row>
    <row r="226" customFormat="false" ht="15" hidden="false" customHeight="false" outlineLevel="0" collapsed="false">
      <c r="A226" s="5" t="s">
        <v>331</v>
      </c>
      <c r="B226" s="5" t="s">
        <v>83</v>
      </c>
      <c r="C226" s="6" t="n">
        <v>26</v>
      </c>
      <c r="D226" s="6" t="n">
        <v>0</v>
      </c>
      <c r="E226" s="6" t="n">
        <v>18</v>
      </c>
      <c r="F226" s="6"/>
    </row>
    <row r="227" customFormat="false" ht="15" hidden="false" customHeight="false" outlineLevel="0" collapsed="false">
      <c r="A227" s="5" t="s">
        <v>332</v>
      </c>
      <c r="B227" s="5" t="s">
        <v>333</v>
      </c>
      <c r="C227" s="6" t="n">
        <v>14</v>
      </c>
      <c r="D227" s="6" t="n">
        <v>6</v>
      </c>
      <c r="E227" s="6" t="n">
        <v>4</v>
      </c>
      <c r="F227" s="6"/>
    </row>
    <row r="228" customFormat="false" ht="15" hidden="false" customHeight="false" outlineLevel="0" collapsed="false">
      <c r="A228" s="5" t="s">
        <v>334</v>
      </c>
      <c r="B228" s="5" t="s">
        <v>333</v>
      </c>
      <c r="C228" s="6" t="n">
        <v>13</v>
      </c>
      <c r="D228" s="6" t="n">
        <v>2</v>
      </c>
      <c r="E228" s="6" t="n">
        <v>0</v>
      </c>
      <c r="F228" s="6"/>
    </row>
    <row r="229" customFormat="false" ht="15" hidden="false" customHeight="false" outlineLevel="0" collapsed="false">
      <c r="A229" s="5" t="s">
        <v>335</v>
      </c>
      <c r="B229" s="5" t="s">
        <v>333</v>
      </c>
      <c r="C229" s="6" t="n">
        <v>12</v>
      </c>
      <c r="D229" s="6" t="n">
        <v>0</v>
      </c>
      <c r="E229" s="6" t="n">
        <v>12</v>
      </c>
      <c r="F229" s="6"/>
    </row>
    <row r="230" customFormat="false" ht="15" hidden="false" customHeight="false" outlineLevel="0" collapsed="false">
      <c r="A230" s="5" t="s">
        <v>336</v>
      </c>
      <c r="B230" s="5" t="s">
        <v>333</v>
      </c>
      <c r="C230" s="6" t="n">
        <v>2</v>
      </c>
      <c r="D230" s="6" t="n">
        <v>12</v>
      </c>
      <c r="E230" s="6"/>
      <c r="F230" s="6" t="n">
        <v>0</v>
      </c>
    </row>
    <row r="231" customFormat="false" ht="15" hidden="false" customHeight="false" outlineLevel="0" collapsed="false">
      <c r="A231" s="5" t="s">
        <v>337</v>
      </c>
      <c r="B231" s="5" t="s">
        <v>333</v>
      </c>
      <c r="C231" s="6" t="n">
        <v>12</v>
      </c>
      <c r="D231" s="6" t="n">
        <v>0</v>
      </c>
      <c r="E231" s="6" t="n">
        <v>12</v>
      </c>
      <c r="F231" s="6"/>
    </row>
    <row r="232" customFormat="false" ht="15" hidden="false" customHeight="false" outlineLevel="0" collapsed="false">
      <c r="A232" s="5" t="s">
        <v>338</v>
      </c>
      <c r="B232" s="5" t="s">
        <v>333</v>
      </c>
      <c r="C232" s="6" t="n">
        <v>8</v>
      </c>
      <c r="D232" s="6" t="n">
        <v>12</v>
      </c>
      <c r="E232" s="6" t="n">
        <v>7.5</v>
      </c>
      <c r="F232" s="6"/>
    </row>
    <row r="233" customFormat="false" ht="15" hidden="false" customHeight="false" outlineLevel="0" collapsed="false">
      <c r="A233" s="5" t="s">
        <v>339</v>
      </c>
      <c r="B233" s="5" t="s">
        <v>333</v>
      </c>
      <c r="C233" s="6" t="n">
        <v>8</v>
      </c>
      <c r="D233" s="6" t="n">
        <v>0</v>
      </c>
      <c r="E233" s="6" t="n">
        <v>12</v>
      </c>
      <c r="F233" s="6"/>
    </row>
    <row r="234" customFormat="false" ht="15" hidden="false" customHeight="false" outlineLevel="0" collapsed="false">
      <c r="A234" s="5" t="s">
        <v>340</v>
      </c>
      <c r="B234" s="5" t="s">
        <v>341</v>
      </c>
      <c r="C234" s="6" t="n">
        <v>13</v>
      </c>
      <c r="D234" s="6" t="n">
        <v>8</v>
      </c>
      <c r="E234" s="6" t="n">
        <v>10</v>
      </c>
      <c r="F234" s="6"/>
    </row>
    <row r="235" customFormat="false" ht="15" hidden="false" customHeight="false" outlineLevel="0" collapsed="false">
      <c r="A235" s="5" t="s">
        <v>342</v>
      </c>
      <c r="B235" s="5" t="s">
        <v>85</v>
      </c>
      <c r="C235" s="6" t="n">
        <v>8</v>
      </c>
      <c r="D235" s="6" t="n">
        <v>4</v>
      </c>
      <c r="E235" s="6" t="n">
        <v>1</v>
      </c>
      <c r="F235" s="6"/>
    </row>
    <row r="236" customFormat="false" ht="15" hidden="false" customHeight="false" outlineLevel="0" collapsed="false">
      <c r="A236" s="5" t="s">
        <v>343</v>
      </c>
      <c r="B236" s="5" t="s">
        <v>344</v>
      </c>
      <c r="C236" s="6" t="n">
        <v>12</v>
      </c>
      <c r="D236" s="6" t="n">
        <v>3</v>
      </c>
      <c r="E236" s="6" t="n">
        <v>6</v>
      </c>
      <c r="F236" s="6"/>
    </row>
    <row r="237" customFormat="false" ht="15" hidden="false" customHeight="false" outlineLevel="0" collapsed="false">
      <c r="A237" s="5" t="s">
        <v>345</v>
      </c>
      <c r="B237" s="5" t="s">
        <v>344</v>
      </c>
      <c r="C237" s="6" t="n">
        <v>16</v>
      </c>
      <c r="D237" s="6" t="n">
        <v>0</v>
      </c>
      <c r="E237" s="6" t="n">
        <v>8</v>
      </c>
      <c r="F237" s="6"/>
    </row>
    <row r="238" customFormat="false" ht="15" hidden="false" customHeight="false" outlineLevel="0" collapsed="false">
      <c r="A238" s="5" t="s">
        <v>346</v>
      </c>
      <c r="B238" s="5" t="s">
        <v>87</v>
      </c>
      <c r="C238" s="6" t="n">
        <v>19</v>
      </c>
      <c r="D238" s="6" t="n">
        <v>0</v>
      </c>
      <c r="E238" s="6" t="n">
        <v>10</v>
      </c>
      <c r="F238" s="6"/>
    </row>
    <row r="239" customFormat="false" ht="15" hidden="false" customHeight="false" outlineLevel="0" collapsed="false">
      <c r="A239" s="5" t="s">
        <v>347</v>
      </c>
      <c r="B239" s="5" t="s">
        <v>87</v>
      </c>
      <c r="C239" s="6" t="n">
        <v>17</v>
      </c>
      <c r="D239" s="6" t="n">
        <v>15</v>
      </c>
      <c r="E239" s="6" t="n">
        <v>16</v>
      </c>
      <c r="F239" s="6"/>
    </row>
    <row r="240" customFormat="false" ht="15" hidden="false" customHeight="false" outlineLevel="0" collapsed="false">
      <c r="A240" s="5" t="s">
        <v>348</v>
      </c>
      <c r="B240" s="5" t="s">
        <v>87</v>
      </c>
      <c r="C240" s="6" t="n">
        <v>16</v>
      </c>
      <c r="D240" s="6" t="n">
        <v>0</v>
      </c>
      <c r="E240" s="6" t="n">
        <v>12</v>
      </c>
      <c r="F240" s="6"/>
    </row>
    <row r="241" customFormat="false" ht="15" hidden="false" customHeight="false" outlineLevel="0" collapsed="false">
      <c r="A241" s="5" t="s">
        <v>349</v>
      </c>
      <c r="B241" s="5" t="s">
        <v>87</v>
      </c>
      <c r="C241" s="6" t="n">
        <v>3</v>
      </c>
      <c r="D241" s="6" t="n">
        <v>3</v>
      </c>
      <c r="E241" s="6" t="n">
        <v>0</v>
      </c>
      <c r="F241" s="6"/>
    </row>
    <row r="242" customFormat="false" ht="15" hidden="false" customHeight="false" outlineLevel="0" collapsed="false">
      <c r="A242" s="5" t="s">
        <v>350</v>
      </c>
      <c r="B242" s="5" t="s">
        <v>87</v>
      </c>
      <c r="C242" s="6" t="n">
        <v>2</v>
      </c>
      <c r="D242" s="6" t="n">
        <v>11</v>
      </c>
      <c r="E242" s="6" t="n">
        <v>2</v>
      </c>
      <c r="F242" s="6"/>
    </row>
    <row r="243" customFormat="false" ht="15" hidden="false" customHeight="false" outlineLevel="0" collapsed="false">
      <c r="A243" s="5" t="s">
        <v>351</v>
      </c>
      <c r="B243" s="5" t="s">
        <v>87</v>
      </c>
      <c r="C243" s="6" t="n">
        <v>16</v>
      </c>
      <c r="D243" s="6" t="n">
        <v>0</v>
      </c>
      <c r="E243" s="6" t="n">
        <v>4</v>
      </c>
      <c r="F243" s="6"/>
    </row>
    <row r="244" customFormat="false" ht="15" hidden="false" customHeight="false" outlineLevel="0" collapsed="false">
      <c r="A244" s="5" t="s">
        <v>352</v>
      </c>
      <c r="B244" s="5" t="s">
        <v>87</v>
      </c>
      <c r="C244" s="6" t="n">
        <v>20</v>
      </c>
      <c r="D244" s="6" t="n">
        <v>4</v>
      </c>
      <c r="E244" s="6" t="n">
        <v>20</v>
      </c>
      <c r="F244" s="6"/>
    </row>
    <row r="245" customFormat="false" ht="15" hidden="false" customHeight="false" outlineLevel="0" collapsed="false">
      <c r="A245" s="5" t="s">
        <v>353</v>
      </c>
      <c r="B245" s="5" t="s">
        <v>87</v>
      </c>
      <c r="C245" s="6" t="n">
        <v>16</v>
      </c>
      <c r="D245" s="6" t="n">
        <v>0</v>
      </c>
      <c r="E245" s="6" t="n">
        <v>16</v>
      </c>
      <c r="F245" s="6"/>
    </row>
    <row r="246" customFormat="false" ht="15" hidden="false" customHeight="false" outlineLevel="0" collapsed="false">
      <c r="A246" s="5" t="s">
        <v>354</v>
      </c>
      <c r="B246" s="5" t="s">
        <v>87</v>
      </c>
      <c r="C246" s="6" t="n">
        <v>12</v>
      </c>
      <c r="D246" s="6" t="n">
        <v>2</v>
      </c>
      <c r="E246" s="6"/>
      <c r="F246" s="6" t="n">
        <v>18</v>
      </c>
    </row>
    <row r="247" customFormat="false" ht="15" hidden="false" customHeight="false" outlineLevel="0" collapsed="false">
      <c r="A247" s="5" t="s">
        <v>355</v>
      </c>
      <c r="B247" s="5" t="s">
        <v>87</v>
      </c>
      <c r="C247" s="6" t="n">
        <v>13</v>
      </c>
      <c r="D247" s="6" t="n">
        <v>52</v>
      </c>
      <c r="E247" s="6" t="n">
        <v>13</v>
      </c>
      <c r="F247" s="6"/>
    </row>
    <row r="248" customFormat="false" ht="15" hidden="false" customHeight="false" outlineLevel="0" collapsed="false">
      <c r="A248" s="5" t="s">
        <v>356</v>
      </c>
      <c r="B248" s="5" t="s">
        <v>87</v>
      </c>
      <c r="C248" s="6" t="n">
        <v>12</v>
      </c>
      <c r="D248" s="6" t="n">
        <v>6</v>
      </c>
      <c r="E248" s="6" t="n">
        <v>4</v>
      </c>
      <c r="F248" s="6"/>
    </row>
    <row r="249" customFormat="false" ht="15" hidden="false" customHeight="false" outlineLevel="0" collapsed="false">
      <c r="A249" s="5" t="s">
        <v>357</v>
      </c>
      <c r="B249" s="5" t="s">
        <v>87</v>
      </c>
      <c r="C249" s="6" t="n">
        <v>26</v>
      </c>
      <c r="D249" s="6" t="n">
        <v>0</v>
      </c>
      <c r="E249" s="6" t="n">
        <v>0</v>
      </c>
      <c r="F249" s="6"/>
    </row>
    <row r="250" customFormat="false" ht="15" hidden="false" customHeight="false" outlineLevel="0" collapsed="false">
      <c r="A250" s="5" t="s">
        <v>358</v>
      </c>
      <c r="B250" s="5" t="s">
        <v>87</v>
      </c>
      <c r="C250" s="6" t="n">
        <v>26</v>
      </c>
      <c r="D250" s="6" t="n">
        <v>0</v>
      </c>
      <c r="E250" s="6" t="n">
        <v>26</v>
      </c>
      <c r="F250" s="6"/>
    </row>
    <row r="251" customFormat="false" ht="15" hidden="false" customHeight="false" outlineLevel="0" collapsed="false">
      <c r="A251" s="5" t="s">
        <v>359</v>
      </c>
      <c r="B251" s="5" t="s">
        <v>87</v>
      </c>
      <c r="C251" s="6" t="n">
        <v>20</v>
      </c>
      <c r="D251" s="6" t="n">
        <v>0</v>
      </c>
      <c r="E251" s="6" t="n">
        <v>12</v>
      </c>
      <c r="F251" s="6"/>
    </row>
    <row r="252" customFormat="false" ht="15" hidden="false" customHeight="false" outlineLevel="0" collapsed="false">
      <c r="A252" s="5" t="s">
        <v>360</v>
      </c>
      <c r="B252" s="5" t="s">
        <v>87</v>
      </c>
      <c r="C252" s="6" t="n">
        <v>20</v>
      </c>
      <c r="D252" s="6" t="n">
        <v>0</v>
      </c>
      <c r="E252" s="6" t="n">
        <v>12</v>
      </c>
      <c r="F252" s="6"/>
    </row>
    <row r="253" customFormat="false" ht="15" hidden="false" customHeight="false" outlineLevel="0" collapsed="false">
      <c r="A253" s="5" t="s">
        <v>361</v>
      </c>
      <c r="B253" s="5" t="s">
        <v>87</v>
      </c>
      <c r="C253" s="6" t="n">
        <v>12</v>
      </c>
      <c r="D253" s="6" t="n">
        <v>0</v>
      </c>
      <c r="E253" s="6" t="n">
        <v>4</v>
      </c>
      <c r="F253" s="6"/>
    </row>
    <row r="254" customFormat="false" ht="15" hidden="false" customHeight="false" outlineLevel="0" collapsed="false">
      <c r="A254" s="5" t="s">
        <v>362</v>
      </c>
      <c r="B254" s="5" t="s">
        <v>87</v>
      </c>
      <c r="C254" s="6" t="n">
        <v>12</v>
      </c>
      <c r="D254" s="6" t="n">
        <v>8</v>
      </c>
      <c r="E254" s="6" t="n">
        <v>12</v>
      </c>
      <c r="F254" s="6"/>
    </row>
    <row r="255" customFormat="false" ht="15" hidden="false" customHeight="false" outlineLevel="0" collapsed="false">
      <c r="A255" s="5" t="s">
        <v>363</v>
      </c>
      <c r="B255" s="5" t="s">
        <v>87</v>
      </c>
      <c r="C255" s="6" t="n">
        <v>11</v>
      </c>
      <c r="D255" s="6" t="n">
        <v>2</v>
      </c>
      <c r="E255" s="6" t="n">
        <v>10.5</v>
      </c>
      <c r="F255" s="6"/>
    </row>
    <row r="256" customFormat="false" ht="15" hidden="false" customHeight="false" outlineLevel="0" collapsed="false">
      <c r="A256" s="5" t="s">
        <v>364</v>
      </c>
      <c r="B256" s="5" t="s">
        <v>94</v>
      </c>
      <c r="C256" s="6" t="n">
        <v>0</v>
      </c>
      <c r="D256" s="6" t="n">
        <v>12</v>
      </c>
      <c r="E256" s="6" t="n">
        <v>0</v>
      </c>
      <c r="F256" s="6"/>
    </row>
    <row r="257" customFormat="false" ht="15" hidden="false" customHeight="false" outlineLevel="0" collapsed="false">
      <c r="A257" s="5" t="s">
        <v>365</v>
      </c>
      <c r="B257" s="5" t="s">
        <v>94</v>
      </c>
      <c r="C257" s="6" t="n">
        <v>12</v>
      </c>
      <c r="D257" s="6" t="n">
        <v>1</v>
      </c>
      <c r="E257" s="6" t="n">
        <v>6</v>
      </c>
      <c r="F257" s="6"/>
    </row>
    <row r="258" customFormat="false" ht="15" hidden="false" customHeight="false" outlineLevel="0" collapsed="false">
      <c r="A258" s="5" t="s">
        <v>366</v>
      </c>
      <c r="B258" s="5" t="s">
        <v>94</v>
      </c>
      <c r="C258" s="6" t="n">
        <v>6</v>
      </c>
      <c r="D258" s="6" t="n">
        <v>6</v>
      </c>
      <c r="E258" s="6" t="n">
        <v>2</v>
      </c>
      <c r="F258" s="6"/>
    </row>
    <row r="259" customFormat="false" ht="15" hidden="false" customHeight="false" outlineLevel="0" collapsed="false">
      <c r="A259" s="5" t="s">
        <v>367</v>
      </c>
      <c r="B259" s="5" t="s">
        <v>94</v>
      </c>
      <c r="C259" s="6" t="n">
        <v>8</v>
      </c>
      <c r="D259" s="6" t="n">
        <v>4</v>
      </c>
      <c r="E259" s="6" t="n">
        <v>8</v>
      </c>
      <c r="F259" s="6"/>
    </row>
    <row r="260" customFormat="false" ht="15" hidden="false" customHeight="false" outlineLevel="0" collapsed="false">
      <c r="A260" s="5" t="s">
        <v>368</v>
      </c>
      <c r="B260" s="5" t="s">
        <v>94</v>
      </c>
      <c r="C260" s="6" t="n">
        <v>16</v>
      </c>
      <c r="D260" s="6" t="n">
        <v>0</v>
      </c>
      <c r="E260" s="6" t="n">
        <v>9</v>
      </c>
      <c r="F260" s="6"/>
    </row>
    <row r="261" customFormat="false" ht="15" hidden="false" customHeight="false" outlineLevel="0" collapsed="false">
      <c r="A261" s="5" t="s">
        <v>369</v>
      </c>
      <c r="B261" s="5" t="s">
        <v>94</v>
      </c>
      <c r="C261" s="6" t="n">
        <v>11</v>
      </c>
      <c r="D261" s="6" t="n">
        <v>6</v>
      </c>
      <c r="E261" s="6" t="n">
        <v>16</v>
      </c>
      <c r="F261" s="6"/>
    </row>
    <row r="262" customFormat="false" ht="15" hidden="false" customHeight="false" outlineLevel="0" collapsed="false">
      <c r="A262" s="5" t="s">
        <v>370</v>
      </c>
      <c r="B262" s="5" t="s">
        <v>371</v>
      </c>
      <c r="C262" s="6" t="n">
        <v>2</v>
      </c>
      <c r="D262" s="6" t="n">
        <v>28</v>
      </c>
      <c r="E262" s="6" t="n">
        <v>2</v>
      </c>
      <c r="F262" s="6"/>
    </row>
    <row r="263" customFormat="false" ht="15" hidden="false" customHeight="false" outlineLevel="0" collapsed="false">
      <c r="A263" s="5" t="s">
        <v>372</v>
      </c>
      <c r="B263" s="5" t="s">
        <v>371</v>
      </c>
      <c r="C263" s="6" t="n">
        <v>16</v>
      </c>
      <c r="D263" s="6" t="n">
        <v>4</v>
      </c>
      <c r="E263" s="6" t="n">
        <v>12</v>
      </c>
      <c r="F263" s="6"/>
    </row>
    <row r="264" customFormat="false" ht="15" hidden="false" customHeight="false" outlineLevel="0" collapsed="false">
      <c r="A264" s="5" t="s">
        <v>373</v>
      </c>
      <c r="B264" s="5" t="s">
        <v>374</v>
      </c>
      <c r="C264" s="6" t="n">
        <v>2</v>
      </c>
      <c r="D264" s="6" t="n">
        <v>6</v>
      </c>
      <c r="E264" s="6" t="n">
        <v>2</v>
      </c>
      <c r="F264" s="6"/>
    </row>
    <row r="265" customFormat="false" ht="15" hidden="false" customHeight="false" outlineLevel="0" collapsed="false">
      <c r="A265" s="5" t="s">
        <v>375</v>
      </c>
      <c r="B265" s="5" t="s">
        <v>376</v>
      </c>
      <c r="C265" s="6" t="n">
        <v>16</v>
      </c>
      <c r="D265" s="6" t="n">
        <v>2</v>
      </c>
      <c r="E265" s="6" t="n">
        <v>16</v>
      </c>
      <c r="F265" s="6"/>
    </row>
    <row r="266" customFormat="false" ht="15" hidden="false" customHeight="false" outlineLevel="0" collapsed="false">
      <c r="A266" s="5" t="s">
        <v>377</v>
      </c>
      <c r="B266" s="5" t="s">
        <v>378</v>
      </c>
      <c r="C266" s="6" t="n">
        <v>14</v>
      </c>
      <c r="D266" s="6" t="n">
        <v>12</v>
      </c>
      <c r="E266" s="6" t="n">
        <v>4</v>
      </c>
      <c r="F266" s="6"/>
    </row>
    <row r="267" customFormat="false" ht="15" hidden="false" customHeight="false" outlineLevel="0" collapsed="false">
      <c r="A267" s="5" t="s">
        <v>379</v>
      </c>
      <c r="B267" s="5" t="s">
        <v>380</v>
      </c>
      <c r="C267" s="6" t="n">
        <v>6</v>
      </c>
      <c r="D267" s="6" t="n">
        <v>6</v>
      </c>
      <c r="E267" s="6" t="n">
        <v>0</v>
      </c>
      <c r="F267" s="6"/>
    </row>
    <row r="268" customFormat="false" ht="15" hidden="false" customHeight="false" outlineLevel="0" collapsed="false">
      <c r="A268" s="5" t="s">
        <v>381</v>
      </c>
      <c r="B268" s="5" t="s">
        <v>380</v>
      </c>
      <c r="C268" s="6" t="n">
        <v>6</v>
      </c>
      <c r="D268" s="6" t="n">
        <v>6</v>
      </c>
      <c r="E268" s="6" t="n">
        <v>2</v>
      </c>
      <c r="F268" s="6"/>
    </row>
    <row r="269" customFormat="false" ht="15" hidden="false" customHeight="false" outlineLevel="0" collapsed="false">
      <c r="A269" s="5" t="s">
        <v>382</v>
      </c>
      <c r="B269" s="5" t="s">
        <v>96</v>
      </c>
      <c r="C269" s="6" t="n">
        <v>6</v>
      </c>
      <c r="D269" s="6" t="n">
        <v>6</v>
      </c>
      <c r="E269" s="6"/>
      <c r="F269" s="6"/>
    </row>
    <row r="270" customFormat="false" ht="15" hidden="false" customHeight="false" outlineLevel="0" collapsed="false">
      <c r="A270" s="5" t="s">
        <v>383</v>
      </c>
      <c r="B270" s="5" t="s">
        <v>96</v>
      </c>
      <c r="C270" s="6" t="n">
        <v>6</v>
      </c>
      <c r="D270" s="6" t="n">
        <v>0</v>
      </c>
      <c r="E270" s="6"/>
      <c r="F270" s="6"/>
    </row>
    <row r="271" customFormat="false" ht="15" hidden="false" customHeight="false" outlineLevel="0" collapsed="false">
      <c r="A271" s="5" t="s">
        <v>384</v>
      </c>
      <c r="B271" s="5" t="s">
        <v>96</v>
      </c>
      <c r="C271" s="6" t="n">
        <v>8</v>
      </c>
      <c r="D271" s="6" t="n">
        <v>12</v>
      </c>
      <c r="E271" s="6"/>
      <c r="F271" s="6"/>
    </row>
    <row r="272" customFormat="false" ht="15" hidden="false" customHeight="false" outlineLevel="0" collapsed="false">
      <c r="A272" s="5" t="s">
        <v>385</v>
      </c>
      <c r="B272" s="5" t="s">
        <v>96</v>
      </c>
      <c r="C272" s="6" t="n">
        <v>12</v>
      </c>
      <c r="D272" s="6" t="n">
        <v>0</v>
      </c>
      <c r="E272" s="6"/>
      <c r="F272" s="6"/>
    </row>
    <row r="273" customFormat="false" ht="15" hidden="false" customHeight="false" outlineLevel="0" collapsed="false">
      <c r="A273" s="5" t="s">
        <v>386</v>
      </c>
      <c r="B273" s="5" t="s">
        <v>96</v>
      </c>
      <c r="C273" s="6" t="n">
        <v>4</v>
      </c>
      <c r="D273" s="6" t="n">
        <v>0</v>
      </c>
      <c r="E273" s="6"/>
      <c r="F273" s="6"/>
    </row>
    <row r="274" customFormat="false" ht="15" hidden="false" customHeight="false" outlineLevel="0" collapsed="false">
      <c r="A274" s="5" t="s">
        <v>387</v>
      </c>
      <c r="B274" s="5" t="s">
        <v>96</v>
      </c>
      <c r="C274" s="6" t="n">
        <v>8</v>
      </c>
      <c r="D274" s="6" t="n">
        <v>8</v>
      </c>
      <c r="E274" s="6"/>
      <c r="F274" s="6"/>
    </row>
    <row r="275" customFormat="false" ht="15" hidden="false" customHeight="false" outlineLevel="0" collapsed="false">
      <c r="A275" s="5" t="s">
        <v>388</v>
      </c>
      <c r="B275" s="5" t="s">
        <v>96</v>
      </c>
      <c r="C275" s="6" t="n">
        <v>8</v>
      </c>
      <c r="D275" s="6" t="n">
        <v>52</v>
      </c>
      <c r="E275" s="6"/>
      <c r="F275" s="6"/>
    </row>
    <row r="276" customFormat="false" ht="15" hidden="false" customHeight="false" outlineLevel="0" collapsed="false">
      <c r="A276" s="5" t="s">
        <v>389</v>
      </c>
      <c r="B276" s="5" t="s">
        <v>96</v>
      </c>
      <c r="C276" s="6" t="n">
        <v>14</v>
      </c>
      <c r="D276" s="6" t="n">
        <v>6</v>
      </c>
      <c r="E276" s="6"/>
      <c r="F276" s="6"/>
    </row>
    <row r="277" customFormat="false" ht="15" hidden="false" customHeight="false" outlineLevel="0" collapsed="false">
      <c r="A277" s="5" t="s">
        <v>390</v>
      </c>
      <c r="B277" s="5" t="s">
        <v>21</v>
      </c>
      <c r="C277" s="6" t="n">
        <v>6</v>
      </c>
      <c r="D277" s="6" t="n">
        <v>6</v>
      </c>
      <c r="E277" s="6"/>
      <c r="F277" s="6"/>
    </row>
    <row r="278" customFormat="false" ht="15" hidden="false" customHeight="false" outlineLevel="0" collapsed="false">
      <c r="A278" s="5" t="s">
        <v>391</v>
      </c>
      <c r="B278" s="5" t="s">
        <v>21</v>
      </c>
      <c r="C278" s="6" t="n">
        <v>6</v>
      </c>
      <c r="D278" s="6" t="n">
        <v>0</v>
      </c>
      <c r="E278" s="6"/>
      <c r="F278" s="6"/>
    </row>
    <row r="279" customFormat="false" ht="15" hidden="false" customHeight="false" outlineLevel="0" collapsed="false">
      <c r="A279" s="5" t="s">
        <v>392</v>
      </c>
      <c r="B279" s="5" t="s">
        <v>21</v>
      </c>
      <c r="C279" s="6" t="n">
        <v>4</v>
      </c>
      <c r="D279" s="6" t="n">
        <v>4</v>
      </c>
      <c r="E279" s="6"/>
      <c r="F279" s="6"/>
    </row>
    <row r="280" customFormat="false" ht="15" hidden="false" customHeight="false" outlineLevel="0" collapsed="false">
      <c r="A280" s="5" t="s">
        <v>393</v>
      </c>
      <c r="B280" s="5" t="s">
        <v>21</v>
      </c>
      <c r="C280" s="6" t="n">
        <v>12</v>
      </c>
      <c r="D280" s="6" t="n">
        <v>0</v>
      </c>
      <c r="E280" s="6"/>
      <c r="F280" s="6"/>
    </row>
    <row r="281" customFormat="false" ht="15" hidden="false" customHeight="false" outlineLevel="0" collapsed="false">
      <c r="A281" s="5" t="s">
        <v>394</v>
      </c>
      <c r="B281" s="5" t="s">
        <v>21</v>
      </c>
      <c r="C281" s="6" t="n">
        <v>12</v>
      </c>
      <c r="D281" s="6" t="n">
        <v>0</v>
      </c>
      <c r="E281" s="6"/>
      <c r="F281" s="6"/>
    </row>
    <row r="282" customFormat="false" ht="15" hidden="false" customHeight="false" outlineLevel="0" collapsed="false">
      <c r="A282" s="5" t="s">
        <v>395</v>
      </c>
      <c r="B282" s="5" t="s">
        <v>21</v>
      </c>
      <c r="C282" s="6" t="n">
        <v>3</v>
      </c>
      <c r="D282" s="6" t="n">
        <v>12</v>
      </c>
      <c r="E282" s="6"/>
      <c r="F282" s="6"/>
    </row>
    <row r="283" customFormat="false" ht="15" hidden="false" customHeight="false" outlineLevel="0" collapsed="false">
      <c r="A283" s="5" t="s">
        <v>396</v>
      </c>
      <c r="B283" s="5" t="s">
        <v>21</v>
      </c>
      <c r="C283" s="6" t="n">
        <v>10</v>
      </c>
      <c r="D283" s="6" t="n">
        <v>10</v>
      </c>
      <c r="E283" s="6"/>
      <c r="F283" s="6"/>
    </row>
    <row r="284" customFormat="false" ht="15" hidden="false" customHeight="false" outlineLevel="0" collapsed="false">
      <c r="A284" s="5" t="s">
        <v>397</v>
      </c>
      <c r="B284" s="5" t="s">
        <v>21</v>
      </c>
      <c r="C284" s="6" t="n">
        <v>4</v>
      </c>
      <c r="D284" s="6" t="n">
        <v>0</v>
      </c>
      <c r="E284" s="6"/>
      <c r="F284" s="6"/>
    </row>
    <row r="285" customFormat="false" ht="15" hidden="false" customHeight="false" outlineLevel="0" collapsed="false">
      <c r="A285" s="5" t="s">
        <v>398</v>
      </c>
      <c r="B285" s="5" t="s">
        <v>21</v>
      </c>
      <c r="C285" s="6" t="n">
        <v>12</v>
      </c>
      <c r="D285" s="6" t="n">
        <v>0</v>
      </c>
      <c r="E285" s="6"/>
      <c r="F285" s="6"/>
    </row>
    <row r="286" customFormat="false" ht="15" hidden="false" customHeight="false" outlineLevel="0" collapsed="false">
      <c r="A286" s="5" t="s">
        <v>399</v>
      </c>
      <c r="B286" s="5" t="s">
        <v>21</v>
      </c>
      <c r="C286" s="6" t="n">
        <v>12</v>
      </c>
      <c r="D286" s="6" t="n">
        <v>4</v>
      </c>
      <c r="E286" s="6"/>
      <c r="F286" s="6"/>
    </row>
    <row r="287" customFormat="false" ht="15" hidden="false" customHeight="false" outlineLevel="0" collapsed="false">
      <c r="A287" s="5" t="s">
        <v>400</v>
      </c>
      <c r="B287" s="5" t="s">
        <v>21</v>
      </c>
      <c r="C287" s="6" t="n">
        <v>8</v>
      </c>
      <c r="D287" s="6" t="n">
        <v>0</v>
      </c>
      <c r="E287" s="6"/>
      <c r="F287" s="6"/>
    </row>
    <row r="288" customFormat="false" ht="15" hidden="false" customHeight="false" outlineLevel="0" collapsed="false">
      <c r="A288" s="5" t="s">
        <v>401</v>
      </c>
      <c r="B288" s="5" t="s">
        <v>21</v>
      </c>
      <c r="C288" s="6" t="n">
        <v>6</v>
      </c>
      <c r="D288" s="6" t="n">
        <v>9</v>
      </c>
      <c r="E288" s="6"/>
      <c r="F288" s="6"/>
    </row>
    <row r="289" customFormat="false" ht="15" hidden="false" customHeight="false" outlineLevel="0" collapsed="false">
      <c r="A289" s="5" t="s">
        <v>402</v>
      </c>
      <c r="B289" s="5" t="s">
        <v>21</v>
      </c>
      <c r="C289" s="6" t="n">
        <v>1</v>
      </c>
      <c r="D289" s="6" t="n">
        <v>0</v>
      </c>
      <c r="E289" s="6"/>
      <c r="F289" s="6"/>
    </row>
    <row r="290" customFormat="false" ht="15" hidden="false" customHeight="false" outlineLevel="0" collapsed="false">
      <c r="A290" s="5" t="s">
        <v>403</v>
      </c>
      <c r="B290" s="5" t="s">
        <v>21</v>
      </c>
      <c r="C290" s="6" t="n">
        <v>12</v>
      </c>
      <c r="D290" s="6" t="n">
        <v>0</v>
      </c>
      <c r="E290" s="6"/>
      <c r="F290" s="6"/>
    </row>
    <row r="291" customFormat="false" ht="15" hidden="false" customHeight="false" outlineLevel="0" collapsed="false">
      <c r="A291" s="5" t="s">
        <v>404</v>
      </c>
      <c r="B291" s="5" t="s">
        <v>21</v>
      </c>
      <c r="C291" s="6" t="n">
        <v>11</v>
      </c>
      <c r="D291" s="6" t="n">
        <v>1</v>
      </c>
      <c r="E291" s="6"/>
      <c r="F291" s="6"/>
    </row>
    <row r="292" customFormat="false" ht="15" hidden="false" customHeight="false" outlineLevel="0" collapsed="false">
      <c r="A292" s="5" t="s">
        <v>405</v>
      </c>
      <c r="B292" s="5" t="s">
        <v>21</v>
      </c>
      <c r="C292" s="6" t="n">
        <v>12</v>
      </c>
      <c r="D292" s="6" t="n">
        <v>0</v>
      </c>
      <c r="E292" s="6"/>
      <c r="F292" s="6"/>
    </row>
    <row r="293" customFormat="false" ht="15" hidden="false" customHeight="false" outlineLevel="0" collapsed="false">
      <c r="A293" s="5" t="s">
        <v>406</v>
      </c>
      <c r="B293" s="5" t="s">
        <v>21</v>
      </c>
      <c r="C293" s="6" t="n">
        <v>2</v>
      </c>
      <c r="D293" s="6" t="n">
        <v>12</v>
      </c>
      <c r="E293" s="6"/>
      <c r="F293" s="6"/>
    </row>
    <row r="294" customFormat="false" ht="15" hidden="false" customHeight="false" outlineLevel="0" collapsed="false">
      <c r="A294" s="5" t="s">
        <v>407</v>
      </c>
      <c r="B294" s="5" t="s">
        <v>21</v>
      </c>
      <c r="C294" s="6" t="n">
        <v>36</v>
      </c>
      <c r="D294" s="6" t="n">
        <v>36</v>
      </c>
      <c r="E294" s="6"/>
      <c r="F294" s="6"/>
    </row>
    <row r="295" customFormat="false" ht="15" hidden="false" customHeight="false" outlineLevel="0" collapsed="false">
      <c r="A295" s="5" t="s">
        <v>408</v>
      </c>
      <c r="B295" s="5" t="s">
        <v>21</v>
      </c>
      <c r="C295" s="6" t="n">
        <v>12</v>
      </c>
      <c r="D295" s="6" t="n">
        <v>24</v>
      </c>
      <c r="E295" s="6"/>
      <c r="F295" s="6"/>
    </row>
    <row r="296" customFormat="false" ht="15" hidden="false" customHeight="false" outlineLevel="0" collapsed="false">
      <c r="A296" s="5" t="s">
        <v>409</v>
      </c>
      <c r="B296" s="5" t="s">
        <v>21</v>
      </c>
      <c r="C296" s="6" t="n">
        <v>8</v>
      </c>
      <c r="D296" s="6" t="n">
        <v>8</v>
      </c>
      <c r="E296" s="6"/>
      <c r="F296" s="6"/>
    </row>
    <row r="297" customFormat="false" ht="15" hidden="false" customHeight="false" outlineLevel="0" collapsed="false">
      <c r="A297" s="5" t="s">
        <v>410</v>
      </c>
      <c r="B297" s="5" t="s">
        <v>21</v>
      </c>
      <c r="C297" s="6" t="n">
        <v>1</v>
      </c>
      <c r="D297" s="6" t="n">
        <v>1</v>
      </c>
      <c r="E297" s="6"/>
      <c r="F297" s="6"/>
    </row>
    <row r="298" customFormat="false" ht="15" hidden="false" customHeight="false" outlineLevel="0" collapsed="false">
      <c r="A298" s="5" t="s">
        <v>411</v>
      </c>
      <c r="B298" s="5" t="s">
        <v>21</v>
      </c>
      <c r="C298" s="6" t="n">
        <v>12</v>
      </c>
      <c r="D298" s="6" t="n">
        <v>0</v>
      </c>
      <c r="E298" s="6"/>
      <c r="F298" s="6"/>
    </row>
    <row r="299" customFormat="false" ht="15" hidden="false" customHeight="false" outlineLevel="0" collapsed="false">
      <c r="A299" s="5" t="s">
        <v>412</v>
      </c>
      <c r="B299" s="5" t="s">
        <v>21</v>
      </c>
      <c r="C299" s="6" t="n">
        <v>6</v>
      </c>
      <c r="D299" s="6" t="n">
        <v>6</v>
      </c>
      <c r="E299" s="6"/>
      <c r="F299" s="6"/>
    </row>
    <row r="300" customFormat="false" ht="15" hidden="false" customHeight="false" outlineLevel="0" collapsed="false">
      <c r="A300" s="5" t="s">
        <v>413</v>
      </c>
      <c r="B300" s="5" t="s">
        <v>21</v>
      </c>
      <c r="C300" s="6" t="n">
        <v>4</v>
      </c>
      <c r="D300" s="6" t="n">
        <v>8</v>
      </c>
      <c r="E300" s="6"/>
      <c r="F300" s="6"/>
    </row>
    <row r="301" customFormat="false" ht="15" hidden="false" customHeight="false" outlineLevel="0" collapsed="false">
      <c r="A301" s="5" t="s">
        <v>414</v>
      </c>
      <c r="B301" s="5" t="s">
        <v>21</v>
      </c>
      <c r="C301" s="6" t="n">
        <v>12</v>
      </c>
      <c r="D301" s="6" t="n">
        <v>12</v>
      </c>
      <c r="E301" s="6"/>
      <c r="F301" s="6"/>
    </row>
    <row r="302" customFormat="false" ht="15" hidden="false" customHeight="false" outlineLevel="0" collapsed="false">
      <c r="A302" s="5" t="s">
        <v>415</v>
      </c>
      <c r="B302" s="5" t="s">
        <v>21</v>
      </c>
      <c r="C302" s="6" t="n">
        <v>48</v>
      </c>
      <c r="D302" s="6" t="n">
        <v>4</v>
      </c>
      <c r="E302" s="6"/>
      <c r="F302" s="6"/>
    </row>
    <row r="303" customFormat="false" ht="15" hidden="false" customHeight="false" outlineLevel="0" collapsed="false">
      <c r="A303" s="5" t="s">
        <v>416</v>
      </c>
      <c r="B303" s="5" t="s">
        <v>21</v>
      </c>
      <c r="C303" s="6" t="n">
        <v>2</v>
      </c>
      <c r="D303" s="6" t="n">
        <v>10</v>
      </c>
      <c r="E303" s="6"/>
      <c r="F303" s="6"/>
    </row>
    <row r="304" customFormat="false" ht="15" hidden="false" customHeight="false" outlineLevel="0" collapsed="false">
      <c r="A304" s="5" t="s">
        <v>417</v>
      </c>
      <c r="B304" s="5" t="s">
        <v>21</v>
      </c>
      <c r="C304" s="6" t="n">
        <v>12</v>
      </c>
      <c r="D304" s="6" t="n">
        <v>0</v>
      </c>
      <c r="E304" s="6"/>
      <c r="F304" s="6"/>
    </row>
    <row r="305" customFormat="false" ht="15" hidden="false" customHeight="false" outlineLevel="0" collapsed="false">
      <c r="A305" s="5" t="s">
        <v>418</v>
      </c>
      <c r="B305" s="5" t="s">
        <v>21</v>
      </c>
      <c r="C305" s="6" t="n">
        <v>13</v>
      </c>
      <c r="D305" s="6" t="n">
        <v>0</v>
      </c>
      <c r="E305" s="6"/>
      <c r="F305" s="6"/>
    </row>
    <row r="306" customFormat="false" ht="15" hidden="false" customHeight="false" outlineLevel="0" collapsed="false">
      <c r="A306" s="5" t="s">
        <v>419</v>
      </c>
      <c r="B306" s="5" t="s">
        <v>21</v>
      </c>
      <c r="C306" s="6" t="n">
        <v>12</v>
      </c>
      <c r="D306" s="6" t="n">
        <v>0</v>
      </c>
      <c r="E306" s="6"/>
      <c r="F306" s="6"/>
    </row>
    <row r="307" customFormat="false" ht="15" hidden="false" customHeight="false" outlineLevel="0" collapsed="false">
      <c r="A307" s="5" t="s">
        <v>420</v>
      </c>
      <c r="B307" s="5" t="s">
        <v>21</v>
      </c>
      <c r="C307" s="6" t="n">
        <v>3</v>
      </c>
      <c r="D307" s="6" t="n">
        <v>9</v>
      </c>
      <c r="E307" s="6"/>
      <c r="F307" s="6"/>
    </row>
    <row r="308" customFormat="false" ht="15" hidden="false" customHeight="false" outlineLevel="0" collapsed="false">
      <c r="A308" s="5" t="s">
        <v>421</v>
      </c>
      <c r="B308" s="5" t="s">
        <v>21</v>
      </c>
      <c r="C308" s="6" t="n">
        <v>12</v>
      </c>
      <c r="D308" s="6" t="n">
        <v>0</v>
      </c>
      <c r="E308" s="6"/>
      <c r="F308" s="6"/>
    </row>
    <row r="309" customFormat="false" ht="15" hidden="false" customHeight="false" outlineLevel="0" collapsed="false">
      <c r="A309" s="5" t="s">
        <v>422</v>
      </c>
      <c r="B309" s="5" t="s">
        <v>21</v>
      </c>
      <c r="C309" s="6" t="n">
        <v>6</v>
      </c>
      <c r="D309" s="6" t="n">
        <v>0</v>
      </c>
      <c r="E309" s="6"/>
      <c r="F309" s="6"/>
    </row>
    <row r="310" customFormat="false" ht="15" hidden="false" customHeight="false" outlineLevel="0" collapsed="false">
      <c r="A310" s="5" t="s">
        <v>423</v>
      </c>
      <c r="B310" s="5" t="s">
        <v>21</v>
      </c>
      <c r="C310" s="6" t="n">
        <v>4.5</v>
      </c>
      <c r="D310" s="6" t="n">
        <v>14</v>
      </c>
      <c r="E310" s="6"/>
      <c r="F310" s="6"/>
    </row>
    <row r="311" customFormat="false" ht="15" hidden="false" customHeight="false" outlineLevel="0" collapsed="false">
      <c r="A311" s="5" t="s">
        <v>424</v>
      </c>
      <c r="B311" s="5" t="s">
        <v>21</v>
      </c>
      <c r="C311" s="6" t="n">
        <v>6</v>
      </c>
      <c r="D311" s="6" t="n">
        <v>4</v>
      </c>
      <c r="E311" s="6"/>
      <c r="F311" s="6"/>
    </row>
    <row r="312" customFormat="false" ht="15" hidden="false" customHeight="false" outlineLevel="0" collapsed="false">
      <c r="A312" s="5" t="s">
        <v>425</v>
      </c>
      <c r="B312" s="5" t="s">
        <v>21</v>
      </c>
      <c r="C312" s="6" t="n">
        <v>4</v>
      </c>
      <c r="D312" s="6" t="n">
        <v>2</v>
      </c>
      <c r="E312" s="6"/>
      <c r="F312" s="6"/>
    </row>
    <row r="313" customFormat="false" ht="15" hidden="false" customHeight="false" outlineLevel="0" collapsed="false">
      <c r="A313" s="5" t="s">
        <v>426</v>
      </c>
      <c r="B313" s="5" t="s">
        <v>21</v>
      </c>
      <c r="C313" s="6" t="n">
        <v>13</v>
      </c>
      <c r="D313" s="6" t="n">
        <v>13</v>
      </c>
      <c r="E313" s="6"/>
      <c r="F313" s="6"/>
    </row>
    <row r="314" customFormat="false" ht="15" hidden="false" customHeight="false" outlineLevel="0" collapsed="false">
      <c r="A314" s="5" t="s">
        <v>427</v>
      </c>
      <c r="B314" s="5" t="s">
        <v>21</v>
      </c>
      <c r="C314" s="6" t="n">
        <v>4</v>
      </c>
      <c r="D314" s="6" t="n">
        <v>8</v>
      </c>
      <c r="E314" s="6"/>
      <c r="F314" s="6"/>
    </row>
    <row r="315" customFormat="false" ht="15" hidden="false" customHeight="false" outlineLevel="0" collapsed="false">
      <c r="A315" s="5" t="s">
        <v>428</v>
      </c>
      <c r="B315" s="5" t="s">
        <v>21</v>
      </c>
      <c r="C315" s="6" t="n">
        <v>6</v>
      </c>
      <c r="D315" s="6" t="n">
        <v>6</v>
      </c>
      <c r="E315" s="6"/>
      <c r="F315" s="6"/>
    </row>
    <row r="316" customFormat="false" ht="15" hidden="false" customHeight="false" outlineLevel="0" collapsed="false">
      <c r="A316" s="5" t="s">
        <v>429</v>
      </c>
      <c r="B316" s="5" t="s">
        <v>21</v>
      </c>
      <c r="C316" s="6" t="n">
        <v>12</v>
      </c>
      <c r="D316" s="6" t="n">
        <v>0</v>
      </c>
      <c r="E316" s="6"/>
      <c r="F316" s="6"/>
    </row>
    <row r="317" customFormat="false" ht="15" hidden="false" customHeight="false" outlineLevel="0" collapsed="false">
      <c r="A317" s="5" t="s">
        <v>430</v>
      </c>
      <c r="B317" s="5" t="s">
        <v>21</v>
      </c>
      <c r="C317" s="6" t="n">
        <v>20</v>
      </c>
      <c r="D317" s="6" t="n">
        <v>0</v>
      </c>
      <c r="E317" s="6"/>
      <c r="F317" s="6"/>
    </row>
    <row r="318" customFormat="false" ht="15" hidden="false" customHeight="false" outlineLevel="0" collapsed="false">
      <c r="A318" s="5" t="s">
        <v>431</v>
      </c>
      <c r="B318" s="5" t="s">
        <v>21</v>
      </c>
      <c r="C318" s="6" t="n">
        <v>7</v>
      </c>
      <c r="D318" s="6" t="n">
        <v>12</v>
      </c>
      <c r="E318" s="6"/>
      <c r="F318" s="6"/>
    </row>
    <row r="319" customFormat="false" ht="15" hidden="false" customHeight="false" outlineLevel="0" collapsed="false">
      <c r="A319" s="5" t="s">
        <v>432</v>
      </c>
      <c r="B319" s="5" t="s">
        <v>21</v>
      </c>
      <c r="C319" s="6" t="n">
        <v>9</v>
      </c>
      <c r="D319" s="6" t="n">
        <v>2</v>
      </c>
      <c r="E319" s="6"/>
      <c r="F319" s="6"/>
    </row>
    <row r="320" customFormat="false" ht="15" hidden="false" customHeight="false" outlineLevel="0" collapsed="false">
      <c r="A320" s="5" t="s">
        <v>433</v>
      </c>
      <c r="B320" s="5" t="s">
        <v>21</v>
      </c>
      <c r="C320" s="6" t="n">
        <v>24</v>
      </c>
      <c r="D320" s="6" t="n">
        <v>0</v>
      </c>
      <c r="E320" s="6"/>
      <c r="F320" s="6"/>
    </row>
    <row r="321" customFormat="false" ht="15" hidden="false" customHeight="false" outlineLevel="0" collapsed="false">
      <c r="A321" s="5" t="s">
        <v>434</v>
      </c>
      <c r="B321" s="5" t="s">
        <v>21</v>
      </c>
      <c r="C321" s="6" t="n">
        <v>3</v>
      </c>
      <c r="D321" s="6" t="n">
        <v>9</v>
      </c>
      <c r="E321" s="6"/>
      <c r="F321" s="6"/>
    </row>
    <row r="322" customFormat="false" ht="15" hidden="false" customHeight="false" outlineLevel="0" collapsed="false">
      <c r="A322" s="5" t="s">
        <v>435</v>
      </c>
      <c r="B322" s="5" t="s">
        <v>436</v>
      </c>
      <c r="C322" s="6" t="n">
        <v>4</v>
      </c>
      <c r="D322" s="6" t="n">
        <v>12</v>
      </c>
      <c r="E322" s="6"/>
      <c r="F322" s="6"/>
    </row>
    <row r="323" customFormat="false" ht="15" hidden="false" customHeight="false" outlineLevel="0" collapsed="false">
      <c r="A323" s="5" t="s">
        <v>437</v>
      </c>
      <c r="B323" s="5" t="s">
        <v>436</v>
      </c>
      <c r="C323" s="6" t="n">
        <v>12</v>
      </c>
      <c r="D323" s="6" t="n">
        <v>0</v>
      </c>
      <c r="E323" s="6"/>
      <c r="F323" s="6"/>
    </row>
    <row r="324" customFormat="false" ht="15" hidden="false" customHeight="false" outlineLevel="0" collapsed="false">
      <c r="A324" s="5" t="s">
        <v>438</v>
      </c>
      <c r="B324" s="5" t="s">
        <v>436</v>
      </c>
      <c r="C324" s="6" t="n">
        <v>12</v>
      </c>
      <c r="D324" s="6" t="n">
        <v>6</v>
      </c>
      <c r="E324" s="6"/>
      <c r="F324" s="6"/>
    </row>
    <row r="325" customFormat="false" ht="15" hidden="false" customHeight="false" outlineLevel="0" collapsed="false">
      <c r="A325" s="5" t="s">
        <v>439</v>
      </c>
      <c r="B325" s="5" t="s">
        <v>103</v>
      </c>
      <c r="C325" s="6" t="n">
        <v>12</v>
      </c>
      <c r="D325" s="6" t="n">
        <v>1</v>
      </c>
      <c r="E325" s="6"/>
      <c r="F325" s="6"/>
    </row>
    <row r="326" customFormat="false" ht="15" hidden="false" customHeight="false" outlineLevel="0" collapsed="false">
      <c r="A326" s="5" t="s">
        <v>440</v>
      </c>
      <c r="B326" s="5" t="s">
        <v>103</v>
      </c>
      <c r="C326" s="6" t="n">
        <v>16</v>
      </c>
      <c r="D326" s="6" t="n">
        <v>0</v>
      </c>
      <c r="E326" s="6"/>
      <c r="F326" s="6"/>
    </row>
    <row r="327" customFormat="false" ht="15" hidden="false" customHeight="false" outlineLevel="0" collapsed="false">
      <c r="A327" s="5" t="s">
        <v>441</v>
      </c>
      <c r="B327" s="5" t="s">
        <v>103</v>
      </c>
      <c r="C327" s="6" t="n">
        <v>12</v>
      </c>
      <c r="D327" s="6" t="n">
        <v>12</v>
      </c>
      <c r="E327" s="6"/>
      <c r="F327" s="6"/>
    </row>
    <row r="328" customFormat="false" ht="15" hidden="false" customHeight="false" outlineLevel="0" collapsed="false">
      <c r="A328" s="5" t="s">
        <v>442</v>
      </c>
      <c r="B328" s="5" t="s">
        <v>103</v>
      </c>
      <c r="C328" s="6" t="n">
        <v>8</v>
      </c>
      <c r="D328" s="6" t="n">
        <v>10</v>
      </c>
      <c r="E328" s="6"/>
      <c r="F328" s="6"/>
    </row>
    <row r="329" customFormat="false" ht="15" hidden="false" customHeight="false" outlineLevel="0" collapsed="false">
      <c r="A329" s="5" t="s">
        <v>443</v>
      </c>
      <c r="B329" s="5" t="s">
        <v>23</v>
      </c>
      <c r="C329" s="6" t="n">
        <v>12</v>
      </c>
      <c r="D329" s="6" t="n">
        <v>12</v>
      </c>
      <c r="E329" s="6"/>
      <c r="F329" s="6"/>
    </row>
    <row r="330" customFormat="false" ht="15" hidden="false" customHeight="false" outlineLevel="0" collapsed="false">
      <c r="A330" s="5" t="s">
        <v>444</v>
      </c>
      <c r="B330" s="5" t="s">
        <v>23</v>
      </c>
      <c r="C330" s="6" t="n">
        <v>12</v>
      </c>
      <c r="D330" s="6"/>
      <c r="E330" s="6" t="n">
        <v>12</v>
      </c>
      <c r="F330" s="6"/>
    </row>
    <row r="331" customFormat="false" ht="15" hidden="false" customHeight="false" outlineLevel="0" collapsed="false">
      <c r="A331" s="5" t="s">
        <v>445</v>
      </c>
      <c r="B331" s="5" t="s">
        <v>23</v>
      </c>
      <c r="C331" s="6" t="n">
        <v>12</v>
      </c>
      <c r="D331" s="6" t="n">
        <v>10</v>
      </c>
      <c r="E331" s="6"/>
      <c r="F331" s="6"/>
    </row>
    <row r="332" customFormat="false" ht="15" hidden="false" customHeight="false" outlineLevel="0" collapsed="false">
      <c r="A332" s="5" t="s">
        <v>446</v>
      </c>
      <c r="B332" s="5" t="s">
        <v>23</v>
      </c>
      <c r="C332" s="6" t="n">
        <v>0</v>
      </c>
      <c r="D332" s="6"/>
      <c r="E332" s="6" t="n">
        <v>0</v>
      </c>
      <c r="F332" s="6"/>
    </row>
    <row r="333" customFormat="false" ht="15" hidden="false" customHeight="false" outlineLevel="0" collapsed="false">
      <c r="A333" s="5" t="s">
        <v>447</v>
      </c>
      <c r="B333" s="5" t="s">
        <v>23</v>
      </c>
      <c r="C333" s="6" t="n">
        <v>6</v>
      </c>
      <c r="D333" s="6" t="n">
        <v>0</v>
      </c>
      <c r="E333" s="6"/>
      <c r="F333" s="6"/>
    </row>
    <row r="334" customFormat="false" ht="15" hidden="false" customHeight="false" outlineLevel="0" collapsed="false">
      <c r="A334" s="5" t="s">
        <v>448</v>
      </c>
      <c r="B334" s="5" t="s">
        <v>23</v>
      </c>
      <c r="C334" s="6" t="n">
        <v>24</v>
      </c>
      <c r="D334" s="6" t="n">
        <v>12</v>
      </c>
      <c r="E334" s="6"/>
      <c r="F334" s="6"/>
    </row>
    <row r="335" customFormat="false" ht="15" hidden="false" customHeight="false" outlineLevel="0" collapsed="false">
      <c r="A335" s="5" t="s">
        <v>449</v>
      </c>
      <c r="B335" s="5" t="s">
        <v>450</v>
      </c>
      <c r="C335" s="6" t="n">
        <v>8</v>
      </c>
      <c r="D335" s="6" t="n">
        <v>0</v>
      </c>
      <c r="E335" s="6"/>
      <c r="F335" s="6"/>
    </row>
    <row r="336" customFormat="false" ht="15" hidden="false" customHeight="false" outlineLevel="0" collapsed="false">
      <c r="A336" s="5" t="s">
        <v>451</v>
      </c>
      <c r="B336" s="5" t="s">
        <v>450</v>
      </c>
      <c r="C336" s="6" t="n">
        <v>3</v>
      </c>
      <c r="D336" s="6" t="n">
        <v>12</v>
      </c>
      <c r="E336" s="6"/>
      <c r="F336" s="6"/>
    </row>
    <row r="337" customFormat="false" ht="15" hidden="false" customHeight="false" outlineLevel="0" collapsed="false">
      <c r="A337" s="5" t="s">
        <v>452</v>
      </c>
      <c r="B337" s="5" t="s">
        <v>108</v>
      </c>
      <c r="C337" s="6" t="n">
        <v>6</v>
      </c>
      <c r="D337" s="6" t="n">
        <v>14</v>
      </c>
      <c r="E337" s="6"/>
      <c r="F337" s="6"/>
    </row>
    <row r="338" customFormat="false" ht="15" hidden="false" customHeight="false" outlineLevel="0" collapsed="false">
      <c r="A338" s="5" t="s">
        <v>453</v>
      </c>
      <c r="B338" s="5" t="s">
        <v>108</v>
      </c>
      <c r="C338" s="6" t="n">
        <v>24</v>
      </c>
      <c r="D338" s="6" t="n">
        <v>0</v>
      </c>
      <c r="E338" s="6"/>
      <c r="F338" s="6"/>
    </row>
    <row r="339" customFormat="false" ht="15" hidden="false" customHeight="false" outlineLevel="0" collapsed="false">
      <c r="A339" s="5" t="s">
        <v>454</v>
      </c>
      <c r="B339" s="5" t="s">
        <v>455</v>
      </c>
      <c r="C339" s="6" t="n">
        <v>8</v>
      </c>
      <c r="D339" s="6" t="n">
        <v>4</v>
      </c>
      <c r="E339" s="6"/>
      <c r="F339" s="6"/>
    </row>
    <row r="340" customFormat="false" ht="15" hidden="false" customHeight="false" outlineLevel="0" collapsed="false">
      <c r="A340" s="5" t="s">
        <v>456</v>
      </c>
      <c r="B340" s="5" t="s">
        <v>113</v>
      </c>
      <c r="C340" s="6" t="n">
        <v>6</v>
      </c>
      <c r="D340" s="6" t="n">
        <v>0</v>
      </c>
      <c r="E340" s="6"/>
      <c r="F340" s="6"/>
    </row>
    <row r="341" customFormat="false" ht="15" hidden="false" customHeight="false" outlineLevel="0" collapsed="false">
      <c r="A341" s="5" t="s">
        <v>457</v>
      </c>
      <c r="B341" s="5" t="s">
        <v>113</v>
      </c>
      <c r="C341" s="6" t="n">
        <v>8</v>
      </c>
      <c r="D341" s="6" t="n">
        <v>0</v>
      </c>
      <c r="E341" s="6"/>
      <c r="F341" s="6"/>
    </row>
    <row r="342" customFormat="false" ht="15" hidden="false" customHeight="false" outlineLevel="0" collapsed="false">
      <c r="A342" s="5" t="s">
        <v>458</v>
      </c>
      <c r="B342" s="5" t="s">
        <v>113</v>
      </c>
      <c r="C342" s="6" t="n">
        <v>4</v>
      </c>
      <c r="D342" s="6" t="n">
        <v>4</v>
      </c>
      <c r="E342" s="6"/>
      <c r="F342" s="6"/>
    </row>
    <row r="343" customFormat="false" ht="15" hidden="false" customHeight="false" outlineLevel="0" collapsed="false">
      <c r="A343" s="5" t="s">
        <v>459</v>
      </c>
      <c r="B343" s="5" t="s">
        <v>113</v>
      </c>
      <c r="C343" s="6" t="n">
        <v>0</v>
      </c>
      <c r="D343" s="6" t="n">
        <v>12</v>
      </c>
      <c r="E343" s="6"/>
      <c r="F343" s="6"/>
    </row>
    <row r="344" customFormat="false" ht="15" hidden="false" customHeight="false" outlineLevel="0" collapsed="false">
      <c r="A344" s="5" t="s">
        <v>460</v>
      </c>
      <c r="B344" s="5" t="s">
        <v>113</v>
      </c>
      <c r="C344" s="6" t="n">
        <v>12</v>
      </c>
      <c r="D344" s="6" t="n">
        <v>0</v>
      </c>
      <c r="E344" s="6"/>
      <c r="F344" s="6"/>
    </row>
    <row r="345" customFormat="false" ht="15" hidden="false" customHeight="false" outlineLevel="0" collapsed="false">
      <c r="A345" s="5" t="s">
        <v>461</v>
      </c>
      <c r="B345" s="5" t="s">
        <v>462</v>
      </c>
      <c r="C345" s="6" t="n">
        <v>4</v>
      </c>
      <c r="D345" s="6" t="n">
        <v>0</v>
      </c>
      <c r="E345" s="6"/>
      <c r="F345" s="6"/>
    </row>
    <row r="346" customFormat="false" ht="15" hidden="false" customHeight="false" outlineLevel="0" collapsed="false">
      <c r="A346" s="5" t="s">
        <v>463</v>
      </c>
      <c r="B346" s="5" t="s">
        <v>464</v>
      </c>
      <c r="C346" s="6" t="n">
        <v>2</v>
      </c>
      <c r="D346" s="6" t="n">
        <v>10</v>
      </c>
      <c r="E346" s="6"/>
      <c r="F346" s="6"/>
    </row>
    <row r="347" customFormat="false" ht="15" hidden="false" customHeight="false" outlineLevel="0" collapsed="false">
      <c r="A347" s="5" t="s">
        <v>465</v>
      </c>
      <c r="B347" s="5" t="s">
        <v>464</v>
      </c>
      <c r="C347" s="6" t="n">
        <v>12</v>
      </c>
      <c r="D347" s="6" t="n">
        <v>12</v>
      </c>
      <c r="E347" s="6"/>
      <c r="F347" s="6"/>
    </row>
    <row r="348" customFormat="false" ht="15" hidden="false" customHeight="false" outlineLevel="0" collapsed="false">
      <c r="A348" s="5" t="s">
        <v>466</v>
      </c>
      <c r="B348" s="5" t="s">
        <v>115</v>
      </c>
      <c r="C348" s="6" t="n">
        <v>26</v>
      </c>
      <c r="D348" s="6" t="n">
        <v>4</v>
      </c>
      <c r="E348" s="6"/>
      <c r="F348" s="6"/>
    </row>
    <row r="349" customFormat="false" ht="15" hidden="false" customHeight="false" outlineLevel="0" collapsed="false">
      <c r="A349" s="5" t="s">
        <v>467</v>
      </c>
      <c r="B349" s="5" t="s">
        <v>115</v>
      </c>
      <c r="C349" s="6" t="n">
        <v>25</v>
      </c>
      <c r="D349" s="6" t="n">
        <v>25</v>
      </c>
      <c r="E349" s="6"/>
      <c r="F349" s="6"/>
    </row>
    <row r="350" customFormat="false" ht="15" hidden="false" customHeight="false" outlineLevel="0" collapsed="false">
      <c r="A350" s="5" t="s">
        <v>468</v>
      </c>
      <c r="B350" s="5" t="s">
        <v>115</v>
      </c>
      <c r="C350" s="6" t="n">
        <v>6.5</v>
      </c>
      <c r="D350" s="6" t="n">
        <v>0</v>
      </c>
      <c r="E350" s="6"/>
      <c r="F350" s="6"/>
    </row>
    <row r="351" customFormat="false" ht="15" hidden="false" customHeight="false" outlineLevel="0" collapsed="false">
      <c r="A351" s="5" t="s">
        <v>469</v>
      </c>
      <c r="B351" s="5" t="s">
        <v>115</v>
      </c>
      <c r="C351" s="6" t="n">
        <v>36</v>
      </c>
      <c r="D351" s="6" t="n">
        <v>12</v>
      </c>
      <c r="E351" s="6"/>
      <c r="F351" s="6"/>
    </row>
    <row r="352" customFormat="false" ht="15" hidden="false" customHeight="false" outlineLevel="0" collapsed="false">
      <c r="A352" s="5" t="s">
        <v>470</v>
      </c>
      <c r="B352" s="5" t="s">
        <v>25</v>
      </c>
      <c r="C352" s="6" t="n">
        <v>4</v>
      </c>
      <c r="D352" s="6" t="n">
        <v>8</v>
      </c>
      <c r="E352" s="6"/>
      <c r="F352" s="6"/>
    </row>
    <row r="353" customFormat="false" ht="15" hidden="false" customHeight="false" outlineLevel="0" collapsed="false">
      <c r="A353" s="5" t="s">
        <v>471</v>
      </c>
      <c r="B353" s="5" t="s">
        <v>25</v>
      </c>
      <c r="C353" s="6" t="n">
        <v>9</v>
      </c>
      <c r="D353" s="6" t="n">
        <v>3</v>
      </c>
      <c r="E353" s="6"/>
      <c r="F353" s="6"/>
    </row>
    <row r="354" customFormat="false" ht="15" hidden="false" customHeight="false" outlineLevel="0" collapsed="false">
      <c r="A354" s="5" t="s">
        <v>472</v>
      </c>
      <c r="B354" s="5" t="s">
        <v>25</v>
      </c>
      <c r="C354" s="6" t="n">
        <v>13</v>
      </c>
      <c r="D354" s="6" t="n">
        <v>13</v>
      </c>
      <c r="E354" s="6"/>
      <c r="F354" s="6"/>
    </row>
    <row r="355" customFormat="false" ht="15" hidden="false" customHeight="false" outlineLevel="0" collapsed="false">
      <c r="A355" s="5" t="s">
        <v>473</v>
      </c>
      <c r="B355" s="5" t="s">
        <v>25</v>
      </c>
      <c r="C355" s="6" t="n">
        <v>12</v>
      </c>
      <c r="D355" s="6" t="n">
        <v>0</v>
      </c>
      <c r="E355" s="6"/>
      <c r="F355" s="6"/>
    </row>
    <row r="356" customFormat="false" ht="15" hidden="false" customHeight="false" outlineLevel="0" collapsed="false">
      <c r="A356" s="5" t="s">
        <v>474</v>
      </c>
      <c r="B356" s="5" t="s">
        <v>25</v>
      </c>
      <c r="C356" s="6" t="n">
        <v>26</v>
      </c>
      <c r="D356" s="6" t="n">
        <v>26</v>
      </c>
      <c r="E356" s="6"/>
      <c r="F356" s="6"/>
    </row>
    <row r="357" customFormat="false" ht="15" hidden="false" customHeight="false" outlineLevel="0" collapsed="false">
      <c r="A357" s="5" t="s">
        <v>475</v>
      </c>
      <c r="B357" s="5" t="s">
        <v>25</v>
      </c>
      <c r="C357" s="6" t="n">
        <v>6</v>
      </c>
      <c r="D357" s="6" t="n">
        <v>6</v>
      </c>
      <c r="E357" s="6"/>
      <c r="F357" s="6"/>
    </row>
    <row r="358" customFormat="false" ht="15" hidden="false" customHeight="false" outlineLevel="0" collapsed="false">
      <c r="A358" s="5" t="s">
        <v>476</v>
      </c>
      <c r="B358" s="5" t="s">
        <v>25</v>
      </c>
      <c r="C358" s="6" t="n">
        <v>8</v>
      </c>
      <c r="D358" s="6" t="n">
        <v>0</v>
      </c>
      <c r="E358" s="6"/>
      <c r="F358" s="6"/>
    </row>
    <row r="359" customFormat="false" ht="15" hidden="false" customHeight="false" outlineLevel="0" collapsed="false">
      <c r="A359" s="5" t="s">
        <v>477</v>
      </c>
      <c r="B359" s="5" t="s">
        <v>25</v>
      </c>
      <c r="C359" s="6" t="n">
        <v>12</v>
      </c>
      <c r="D359" s="6" t="n">
        <v>0</v>
      </c>
      <c r="E359" s="6"/>
      <c r="F359" s="6"/>
    </row>
    <row r="360" customFormat="false" ht="15" hidden="false" customHeight="false" outlineLevel="0" collapsed="false">
      <c r="A360" s="5" t="s">
        <v>478</v>
      </c>
      <c r="B360" s="5" t="s">
        <v>25</v>
      </c>
      <c r="C360" s="6" t="n">
        <v>16</v>
      </c>
      <c r="D360" s="6" t="n">
        <v>0</v>
      </c>
      <c r="E360" s="6"/>
      <c r="F360" s="6"/>
    </row>
    <row r="361" customFormat="false" ht="15" hidden="false" customHeight="false" outlineLevel="0" collapsed="false">
      <c r="A361" s="5" t="s">
        <v>479</v>
      </c>
      <c r="B361" s="5" t="s">
        <v>25</v>
      </c>
      <c r="C361" s="6" t="n">
        <v>6</v>
      </c>
      <c r="D361" s="6" t="n">
        <v>6</v>
      </c>
      <c r="E361" s="6"/>
      <c r="F361" s="6"/>
    </row>
    <row r="362" customFormat="false" ht="15" hidden="false" customHeight="false" outlineLevel="0" collapsed="false">
      <c r="A362" s="5" t="s">
        <v>480</v>
      </c>
      <c r="B362" s="5" t="s">
        <v>25</v>
      </c>
      <c r="C362" s="6" t="n">
        <v>12</v>
      </c>
      <c r="D362" s="6" t="n">
        <v>0</v>
      </c>
      <c r="E362" s="6"/>
      <c r="F362" s="6"/>
    </row>
    <row r="363" customFormat="false" ht="15" hidden="false" customHeight="false" outlineLevel="0" collapsed="false">
      <c r="A363" s="5" t="s">
        <v>481</v>
      </c>
      <c r="B363" s="5" t="s">
        <v>25</v>
      </c>
      <c r="C363" s="6" t="n">
        <v>10</v>
      </c>
      <c r="D363" s="6" t="n">
        <v>0</v>
      </c>
      <c r="E363" s="6"/>
      <c r="F363" s="6"/>
    </row>
    <row r="364" customFormat="false" ht="15" hidden="false" customHeight="false" outlineLevel="0" collapsed="false">
      <c r="A364" s="5" t="s">
        <v>482</v>
      </c>
      <c r="B364" s="5" t="s">
        <v>25</v>
      </c>
      <c r="C364" s="6" t="n">
        <v>6</v>
      </c>
      <c r="D364" s="6" t="n">
        <v>12</v>
      </c>
      <c r="E364" s="6"/>
      <c r="F364" s="6"/>
    </row>
    <row r="365" customFormat="false" ht="15" hidden="false" customHeight="false" outlineLevel="0" collapsed="false">
      <c r="A365" s="5" t="s">
        <v>483</v>
      </c>
      <c r="B365" s="5" t="s">
        <v>25</v>
      </c>
      <c r="C365" s="6" t="n">
        <v>12</v>
      </c>
      <c r="D365" s="6" t="n">
        <v>0</v>
      </c>
      <c r="E365" s="6"/>
      <c r="F365" s="6"/>
    </row>
    <row r="366" customFormat="false" ht="15" hidden="false" customHeight="false" outlineLevel="0" collapsed="false">
      <c r="A366" s="5" t="s">
        <v>484</v>
      </c>
      <c r="B366" s="5" t="s">
        <v>25</v>
      </c>
      <c r="C366" s="6" t="n">
        <v>12</v>
      </c>
      <c r="D366" s="6" t="n">
        <v>0</v>
      </c>
      <c r="E366" s="6"/>
      <c r="F366" s="6"/>
    </row>
    <row r="367" customFormat="false" ht="15" hidden="false" customHeight="false" outlineLevel="0" collapsed="false">
      <c r="A367" s="5" t="s">
        <v>485</v>
      </c>
      <c r="B367" s="5" t="s">
        <v>25</v>
      </c>
      <c r="C367" s="6" t="n">
        <v>2</v>
      </c>
      <c r="D367" s="6" t="n">
        <v>10</v>
      </c>
      <c r="E367" s="6"/>
      <c r="F367" s="6"/>
    </row>
    <row r="368" customFormat="false" ht="15" hidden="false" customHeight="false" outlineLevel="0" collapsed="false">
      <c r="A368" s="5" t="s">
        <v>486</v>
      </c>
      <c r="B368" s="5" t="s">
        <v>25</v>
      </c>
      <c r="C368" s="6" t="n">
        <v>12</v>
      </c>
      <c r="D368" s="6" t="n">
        <v>12</v>
      </c>
      <c r="E368" s="6"/>
      <c r="F368" s="6"/>
    </row>
    <row r="369" customFormat="false" ht="15" hidden="false" customHeight="false" outlineLevel="0" collapsed="false">
      <c r="A369" s="5" t="s">
        <v>487</v>
      </c>
      <c r="B369" s="5" t="s">
        <v>25</v>
      </c>
      <c r="C369" s="6" t="n">
        <v>23</v>
      </c>
      <c r="D369" s="6" t="n">
        <v>12</v>
      </c>
      <c r="E369" s="6"/>
      <c r="F369" s="6"/>
    </row>
    <row r="370" customFormat="false" ht="15" hidden="false" customHeight="false" outlineLevel="0" collapsed="false">
      <c r="A370" s="5" t="s">
        <v>488</v>
      </c>
      <c r="B370" s="5" t="s">
        <v>25</v>
      </c>
      <c r="C370" s="6" t="n">
        <v>13.5</v>
      </c>
      <c r="D370" s="6" t="n">
        <v>15.5</v>
      </c>
      <c r="E370" s="6"/>
      <c r="F370" s="6"/>
    </row>
    <row r="371" customFormat="false" ht="15" hidden="false" customHeight="false" outlineLevel="0" collapsed="false">
      <c r="A371" s="5" t="s">
        <v>489</v>
      </c>
      <c r="B371" s="5" t="s">
        <v>25</v>
      </c>
      <c r="C371" s="6" t="n">
        <v>8</v>
      </c>
      <c r="D371" s="6" t="n">
        <v>12</v>
      </c>
      <c r="E371" s="6"/>
      <c r="F371" s="6"/>
    </row>
    <row r="372" customFormat="false" ht="15" hidden="false" customHeight="false" outlineLevel="0" collapsed="false">
      <c r="A372" s="5" t="s">
        <v>490</v>
      </c>
      <c r="B372" s="5" t="s">
        <v>491</v>
      </c>
      <c r="C372" s="6" t="n">
        <v>0</v>
      </c>
      <c r="D372" s="6" t="n">
        <v>0</v>
      </c>
      <c r="E372" s="6"/>
      <c r="F372" s="6"/>
    </row>
    <row r="373" customFormat="false" ht="15" hidden="false" customHeight="false" outlineLevel="0" collapsed="false">
      <c r="A373" s="5" t="s">
        <v>492</v>
      </c>
      <c r="B373" s="5" t="s">
        <v>491</v>
      </c>
      <c r="C373" s="6" t="n">
        <v>5</v>
      </c>
      <c r="D373" s="6" t="n">
        <v>21</v>
      </c>
      <c r="E373" s="6"/>
      <c r="F373" s="6"/>
    </row>
    <row r="374" customFormat="false" ht="15" hidden="false" customHeight="false" outlineLevel="0" collapsed="false">
      <c r="A374" s="5" t="s">
        <v>493</v>
      </c>
      <c r="B374" s="5" t="s">
        <v>491</v>
      </c>
      <c r="C374" s="6" t="n">
        <v>6</v>
      </c>
      <c r="D374" s="6" t="n">
        <v>6</v>
      </c>
      <c r="E374" s="6"/>
      <c r="F374" s="6"/>
    </row>
    <row r="375" customFormat="false" ht="15" hidden="false" customHeight="false" outlineLevel="0" collapsed="false">
      <c r="A375" s="5" t="s">
        <v>494</v>
      </c>
      <c r="B375" s="5" t="s">
        <v>28</v>
      </c>
      <c r="C375" s="6" t="n">
        <v>0</v>
      </c>
      <c r="D375" s="6"/>
      <c r="E375" s="6" t="n">
        <v>0</v>
      </c>
      <c r="F375" s="6"/>
    </row>
    <row r="376" customFormat="false" ht="15" hidden="false" customHeight="false" outlineLevel="0" collapsed="false">
      <c r="A376" s="5" t="s">
        <v>495</v>
      </c>
      <c r="B376" s="5" t="s">
        <v>28</v>
      </c>
      <c r="C376" s="6" t="n">
        <v>7</v>
      </c>
      <c r="D376" s="6" t="n">
        <v>10</v>
      </c>
      <c r="E376" s="6"/>
      <c r="F376" s="6"/>
    </row>
    <row r="377" customFormat="false" ht="15" hidden="false" customHeight="false" outlineLevel="0" collapsed="false">
      <c r="A377" s="5" t="s">
        <v>496</v>
      </c>
      <c r="B377" s="5" t="s">
        <v>28</v>
      </c>
      <c r="C377" s="6" t="n">
        <v>6</v>
      </c>
      <c r="D377" s="6" t="n">
        <v>52</v>
      </c>
      <c r="E377" s="6"/>
      <c r="F377" s="6"/>
    </row>
    <row r="378" customFormat="false" ht="15" hidden="false" customHeight="false" outlineLevel="0" collapsed="false">
      <c r="A378" s="5" t="s">
        <v>497</v>
      </c>
      <c r="B378" s="5" t="s">
        <v>28</v>
      </c>
      <c r="C378" s="6" t="n">
        <v>12</v>
      </c>
      <c r="D378" s="6" t="n">
        <v>4</v>
      </c>
      <c r="E378" s="6"/>
      <c r="F378" s="6"/>
    </row>
    <row r="379" customFormat="false" ht="15" hidden="false" customHeight="false" outlineLevel="0" collapsed="false">
      <c r="A379" s="5" t="s">
        <v>498</v>
      </c>
      <c r="B379" s="5" t="s">
        <v>28</v>
      </c>
      <c r="C379" s="6" t="n">
        <v>2</v>
      </c>
      <c r="D379" s="6" t="n">
        <v>2</v>
      </c>
      <c r="E379" s="6"/>
      <c r="F379" s="6"/>
    </row>
    <row r="380" customFormat="false" ht="15" hidden="false" customHeight="false" outlineLevel="0" collapsed="false">
      <c r="A380" s="5" t="s">
        <v>499</v>
      </c>
      <c r="B380" s="5" t="s">
        <v>28</v>
      </c>
      <c r="C380" s="6" t="n">
        <v>5</v>
      </c>
      <c r="D380" s="6" t="n">
        <v>2</v>
      </c>
      <c r="E380" s="6"/>
      <c r="F380" s="6"/>
    </row>
    <row r="381" customFormat="false" ht="15" hidden="false" customHeight="false" outlineLevel="0" collapsed="false">
      <c r="A381" s="5" t="s">
        <v>500</v>
      </c>
      <c r="B381" s="5" t="s">
        <v>28</v>
      </c>
      <c r="C381" s="6" t="n">
        <v>12</v>
      </c>
      <c r="D381" s="6" t="n">
        <v>0</v>
      </c>
      <c r="E381" s="6"/>
      <c r="F381" s="6"/>
    </row>
    <row r="382" customFormat="false" ht="15" hidden="false" customHeight="false" outlineLevel="0" collapsed="false">
      <c r="A382" s="5" t="s">
        <v>501</v>
      </c>
      <c r="B382" s="5" t="s">
        <v>28</v>
      </c>
      <c r="C382" s="6" t="n">
        <v>4</v>
      </c>
      <c r="D382" s="6" t="n">
        <v>8</v>
      </c>
      <c r="E382" s="6"/>
      <c r="F382" s="6"/>
    </row>
    <row r="383" customFormat="false" ht="15" hidden="false" customHeight="false" outlineLevel="0" collapsed="false">
      <c r="A383" s="5" t="s">
        <v>502</v>
      </c>
      <c r="B383" s="5" t="s">
        <v>28</v>
      </c>
      <c r="C383" s="6" t="n">
        <v>1</v>
      </c>
      <c r="D383" s="6" t="n">
        <v>0</v>
      </c>
      <c r="E383" s="6"/>
      <c r="F383" s="6"/>
    </row>
    <row r="384" customFormat="false" ht="15" hidden="false" customHeight="false" outlineLevel="0" collapsed="false">
      <c r="A384" s="5" t="s">
        <v>503</v>
      </c>
      <c r="B384" s="5" t="s">
        <v>28</v>
      </c>
      <c r="C384" s="6" t="n">
        <v>20</v>
      </c>
      <c r="D384" s="6" t="n">
        <v>0</v>
      </c>
      <c r="E384" s="6"/>
      <c r="F384" s="6"/>
    </row>
    <row r="385" customFormat="false" ht="15" hidden="false" customHeight="false" outlineLevel="0" collapsed="false">
      <c r="A385" s="5" t="s">
        <v>504</v>
      </c>
      <c r="B385" s="5" t="s">
        <v>28</v>
      </c>
      <c r="C385" s="6" t="n">
        <v>1</v>
      </c>
      <c r="D385" s="6" t="n">
        <v>11</v>
      </c>
      <c r="E385" s="6"/>
      <c r="F385" s="6"/>
    </row>
    <row r="386" customFormat="false" ht="15" hidden="false" customHeight="false" outlineLevel="0" collapsed="false">
      <c r="A386" s="5" t="s">
        <v>505</v>
      </c>
      <c r="B386" s="5" t="s">
        <v>28</v>
      </c>
      <c r="C386" s="6" t="n">
        <v>6</v>
      </c>
      <c r="D386" s="6" t="n">
        <v>6</v>
      </c>
      <c r="E386" s="6"/>
      <c r="F386" s="6"/>
    </row>
    <row r="387" customFormat="false" ht="15" hidden="false" customHeight="false" outlineLevel="0" collapsed="false">
      <c r="A387" s="5" t="s">
        <v>506</v>
      </c>
      <c r="B387" s="5" t="s">
        <v>28</v>
      </c>
      <c r="C387" s="6" t="n">
        <v>5</v>
      </c>
      <c r="D387" s="6" t="n">
        <v>0</v>
      </c>
      <c r="E387" s="6"/>
      <c r="F387" s="6"/>
    </row>
    <row r="388" customFormat="false" ht="15" hidden="false" customHeight="false" outlineLevel="0" collapsed="false">
      <c r="A388" s="5" t="s">
        <v>507</v>
      </c>
      <c r="B388" s="5" t="s">
        <v>28</v>
      </c>
      <c r="C388" s="6" t="n">
        <v>4</v>
      </c>
      <c r="D388" s="6" t="n">
        <v>0</v>
      </c>
      <c r="E388" s="6"/>
      <c r="F388" s="6"/>
    </row>
    <row r="389" customFormat="false" ht="15" hidden="false" customHeight="false" outlineLevel="0" collapsed="false">
      <c r="A389" s="5" t="s">
        <v>508</v>
      </c>
      <c r="B389" s="5" t="s">
        <v>28</v>
      </c>
      <c r="C389" s="6" t="n">
        <v>2</v>
      </c>
      <c r="D389" s="6" t="n">
        <v>0</v>
      </c>
      <c r="E389" s="6"/>
      <c r="F389" s="6"/>
    </row>
    <row r="390" customFormat="false" ht="15" hidden="false" customHeight="false" outlineLevel="0" collapsed="false">
      <c r="A390" s="5" t="s">
        <v>509</v>
      </c>
      <c r="B390" s="5" t="s">
        <v>28</v>
      </c>
      <c r="C390" s="6" t="n">
        <v>12</v>
      </c>
      <c r="D390" s="6" t="n">
        <v>12</v>
      </c>
      <c r="E390" s="6"/>
      <c r="F390" s="6"/>
    </row>
    <row r="391" customFormat="false" ht="15" hidden="false" customHeight="false" outlineLevel="0" collapsed="false">
      <c r="A391" s="5" t="s">
        <v>510</v>
      </c>
      <c r="B391" s="5" t="s">
        <v>28</v>
      </c>
      <c r="C391" s="6" t="n">
        <v>39</v>
      </c>
      <c r="D391" s="6" t="n">
        <v>13</v>
      </c>
      <c r="E391" s="6"/>
      <c r="F391" s="6"/>
    </row>
    <row r="392" customFormat="false" ht="15" hidden="false" customHeight="false" outlineLevel="0" collapsed="false">
      <c r="A392" s="5" t="s">
        <v>511</v>
      </c>
      <c r="B392" s="5" t="s">
        <v>28</v>
      </c>
      <c r="C392" s="6" t="n">
        <v>9</v>
      </c>
      <c r="D392" s="6" t="n">
        <v>4</v>
      </c>
      <c r="E392" s="6"/>
      <c r="F392" s="6"/>
    </row>
    <row r="393" customFormat="false" ht="15" hidden="false" customHeight="false" outlineLevel="0" collapsed="false">
      <c r="A393" s="5" t="s">
        <v>512</v>
      </c>
      <c r="B393" s="5" t="s">
        <v>28</v>
      </c>
      <c r="C393" s="6" t="n">
        <v>6</v>
      </c>
      <c r="D393" s="6" t="n">
        <v>4</v>
      </c>
      <c r="E393" s="6"/>
      <c r="F393" s="6"/>
    </row>
    <row r="394" customFormat="false" ht="15" hidden="false" customHeight="false" outlineLevel="0" collapsed="false">
      <c r="A394" s="5" t="s">
        <v>513</v>
      </c>
      <c r="B394" s="5" t="s">
        <v>28</v>
      </c>
      <c r="C394" s="6" t="n">
        <v>3</v>
      </c>
      <c r="D394" s="6" t="n">
        <v>12</v>
      </c>
      <c r="E394" s="6"/>
      <c r="F394" s="6"/>
    </row>
    <row r="395" customFormat="false" ht="15" hidden="false" customHeight="false" outlineLevel="0" collapsed="false">
      <c r="A395" s="5" t="s">
        <v>514</v>
      </c>
      <c r="B395" s="5" t="s">
        <v>28</v>
      </c>
      <c r="C395" s="6" t="n">
        <v>12</v>
      </c>
      <c r="D395" s="6" t="n">
        <v>6</v>
      </c>
      <c r="E395" s="6"/>
      <c r="F395" s="6"/>
    </row>
    <row r="396" customFormat="false" ht="15" hidden="false" customHeight="false" outlineLevel="0" collapsed="false">
      <c r="A396" s="5" t="s">
        <v>515</v>
      </c>
      <c r="B396" s="5" t="s">
        <v>28</v>
      </c>
      <c r="C396" s="6" t="n">
        <v>6</v>
      </c>
      <c r="D396" s="6" t="n">
        <v>0</v>
      </c>
      <c r="E396" s="6"/>
      <c r="F396" s="6"/>
    </row>
    <row r="397" customFormat="false" ht="15" hidden="false" customHeight="false" outlineLevel="0" collapsed="false">
      <c r="A397" s="5" t="s">
        <v>516</v>
      </c>
      <c r="B397" s="5" t="s">
        <v>28</v>
      </c>
      <c r="C397" s="6" t="n">
        <v>26</v>
      </c>
      <c r="D397" s="6" t="n">
        <v>26</v>
      </c>
      <c r="E397" s="6"/>
      <c r="F397" s="6"/>
    </row>
    <row r="398" customFormat="false" ht="15" hidden="false" customHeight="false" outlineLevel="0" collapsed="false">
      <c r="A398" s="5" t="s">
        <v>517</v>
      </c>
      <c r="B398" s="5" t="s">
        <v>120</v>
      </c>
      <c r="C398" s="6" t="n">
        <v>8</v>
      </c>
      <c r="D398" s="6" t="n">
        <v>2</v>
      </c>
      <c r="E398" s="6"/>
      <c r="F398" s="6"/>
    </row>
    <row r="399" customFormat="false" ht="15" hidden="false" customHeight="false" outlineLevel="0" collapsed="false">
      <c r="A399" s="5" t="s">
        <v>518</v>
      </c>
      <c r="B399" s="5" t="s">
        <v>120</v>
      </c>
      <c r="C399" s="6" t="n">
        <v>10</v>
      </c>
      <c r="D399" s="6" t="n">
        <v>0</v>
      </c>
      <c r="E399" s="6"/>
      <c r="F399" s="6"/>
    </row>
    <row r="400" customFormat="false" ht="15" hidden="false" customHeight="false" outlineLevel="0" collapsed="false">
      <c r="A400" s="5" t="s">
        <v>519</v>
      </c>
      <c r="B400" s="5" t="s">
        <v>120</v>
      </c>
      <c r="C400" s="6" t="n">
        <v>12</v>
      </c>
      <c r="D400" s="6" t="n">
        <v>0</v>
      </c>
      <c r="E400" s="6"/>
      <c r="F400" s="6"/>
    </row>
    <row r="401" customFormat="false" ht="15" hidden="false" customHeight="false" outlineLevel="0" collapsed="false">
      <c r="A401" s="5" t="s">
        <v>520</v>
      </c>
      <c r="B401" s="5" t="s">
        <v>120</v>
      </c>
      <c r="C401" s="6" t="n">
        <v>10.5</v>
      </c>
      <c r="D401" s="6" t="n">
        <v>18</v>
      </c>
      <c r="E401" s="6"/>
      <c r="F401" s="6"/>
    </row>
    <row r="402" customFormat="false" ht="15" hidden="false" customHeight="false" outlineLevel="0" collapsed="false">
      <c r="A402" s="5" t="s">
        <v>521</v>
      </c>
      <c r="B402" s="5" t="s">
        <v>120</v>
      </c>
      <c r="C402" s="6" t="n">
        <v>12</v>
      </c>
      <c r="D402" s="6" t="n">
        <v>1</v>
      </c>
      <c r="E402" s="6"/>
      <c r="F402" s="6"/>
    </row>
    <row r="403" customFormat="false" ht="15" hidden="false" customHeight="false" outlineLevel="0" collapsed="false">
      <c r="A403" s="5" t="s">
        <v>522</v>
      </c>
      <c r="B403" s="5" t="s">
        <v>120</v>
      </c>
      <c r="C403" s="6" t="n">
        <v>4</v>
      </c>
      <c r="D403" s="6" t="n">
        <v>4</v>
      </c>
      <c r="E403" s="6"/>
      <c r="F403" s="6"/>
    </row>
    <row r="404" customFormat="false" ht="15" hidden="false" customHeight="false" outlineLevel="0" collapsed="false">
      <c r="A404" s="5" t="s">
        <v>523</v>
      </c>
      <c r="B404" s="5" t="s">
        <v>120</v>
      </c>
      <c r="C404" s="6" t="n">
        <v>16</v>
      </c>
      <c r="D404" s="6" t="n">
        <v>12</v>
      </c>
      <c r="E404" s="6"/>
      <c r="F404" s="6"/>
    </row>
    <row r="405" customFormat="false" ht="15" hidden="false" customHeight="false" outlineLevel="0" collapsed="false">
      <c r="A405" s="5" t="s">
        <v>524</v>
      </c>
      <c r="B405" s="5" t="s">
        <v>120</v>
      </c>
      <c r="C405" s="6" t="n">
        <v>5</v>
      </c>
      <c r="D405" s="6" t="n">
        <v>7</v>
      </c>
      <c r="E405" s="6"/>
      <c r="F405" s="6"/>
    </row>
    <row r="406" customFormat="false" ht="15" hidden="false" customHeight="false" outlineLevel="0" collapsed="false">
      <c r="A406" s="5" t="s">
        <v>525</v>
      </c>
      <c r="B406" s="5" t="s">
        <v>120</v>
      </c>
      <c r="C406" s="6" t="n">
        <v>8</v>
      </c>
      <c r="D406" s="6" t="n">
        <v>0</v>
      </c>
      <c r="E406" s="6"/>
      <c r="F406" s="6"/>
    </row>
    <row r="407" customFormat="false" ht="15" hidden="false" customHeight="false" outlineLevel="0" collapsed="false">
      <c r="A407" s="5" t="s">
        <v>526</v>
      </c>
      <c r="B407" s="5" t="s">
        <v>120</v>
      </c>
      <c r="C407" s="6" t="n">
        <v>14</v>
      </c>
      <c r="D407" s="6" t="n">
        <v>0</v>
      </c>
      <c r="E407" s="6"/>
      <c r="F407" s="6"/>
    </row>
    <row r="408" customFormat="false" ht="15" hidden="false" customHeight="false" outlineLevel="0" collapsed="false">
      <c r="A408" s="5" t="s">
        <v>527</v>
      </c>
      <c r="B408" s="5" t="s">
        <v>120</v>
      </c>
      <c r="C408" s="6" t="n">
        <v>16</v>
      </c>
      <c r="D408" s="6" t="n">
        <v>8</v>
      </c>
      <c r="E408" s="6"/>
      <c r="F408" s="6"/>
    </row>
    <row r="409" customFormat="false" ht="15" hidden="false" customHeight="false" outlineLevel="0" collapsed="false">
      <c r="A409" s="5" t="s">
        <v>528</v>
      </c>
      <c r="B409" s="5" t="s">
        <v>120</v>
      </c>
      <c r="C409" s="6" t="n">
        <v>12</v>
      </c>
      <c r="D409" s="6" t="n">
        <v>0</v>
      </c>
      <c r="E409" s="6"/>
      <c r="F409" s="6"/>
    </row>
    <row r="410" customFormat="false" ht="15" hidden="false" customHeight="false" outlineLevel="0" collapsed="false">
      <c r="A410" s="5" t="s">
        <v>529</v>
      </c>
      <c r="B410" s="5" t="s">
        <v>120</v>
      </c>
      <c r="C410" s="6" t="n">
        <v>12</v>
      </c>
      <c r="D410" s="6" t="n">
        <v>0</v>
      </c>
      <c r="E410" s="6"/>
      <c r="F410" s="6"/>
    </row>
    <row r="411" customFormat="false" ht="15" hidden="false" customHeight="false" outlineLevel="0" collapsed="false">
      <c r="A411" s="5" t="s">
        <v>530</v>
      </c>
      <c r="B411" s="5" t="s">
        <v>531</v>
      </c>
      <c r="C411" s="6" t="n">
        <v>13</v>
      </c>
      <c r="D411" s="6" t="n">
        <v>0</v>
      </c>
      <c r="E411" s="6"/>
      <c r="F411" s="6"/>
    </row>
    <row r="412" customFormat="false" ht="15" hidden="false" customHeight="false" outlineLevel="0" collapsed="false">
      <c r="A412" s="5" t="s">
        <v>532</v>
      </c>
      <c r="B412" s="5" t="s">
        <v>533</v>
      </c>
      <c r="C412" s="6" t="n">
        <v>12</v>
      </c>
      <c r="D412" s="6"/>
      <c r="E412" s="6" t="n">
        <v>6</v>
      </c>
      <c r="F412" s="6"/>
    </row>
    <row r="413" customFormat="false" ht="15" hidden="false" customHeight="false" outlineLevel="0" collapsed="false">
      <c r="A413" s="5" t="s">
        <v>534</v>
      </c>
      <c r="B413" s="5" t="s">
        <v>123</v>
      </c>
      <c r="C413" s="6" t="n">
        <v>12</v>
      </c>
      <c r="D413" s="6" t="n">
        <v>0</v>
      </c>
      <c r="E413" s="6"/>
      <c r="F413" s="6"/>
    </row>
    <row r="414" customFormat="false" ht="15" hidden="false" customHeight="false" outlineLevel="0" collapsed="false">
      <c r="A414" s="5" t="s">
        <v>535</v>
      </c>
      <c r="B414" s="5" t="s">
        <v>123</v>
      </c>
      <c r="C414" s="6" t="n">
        <v>2</v>
      </c>
      <c r="D414" s="6" t="n">
        <v>12</v>
      </c>
      <c r="E414" s="6"/>
      <c r="F414" s="6"/>
    </row>
    <row r="415" customFormat="false" ht="15" hidden="false" customHeight="false" outlineLevel="0" collapsed="false">
      <c r="A415" s="5" t="s">
        <v>536</v>
      </c>
      <c r="B415" s="5" t="s">
        <v>123</v>
      </c>
      <c r="C415" s="6" t="n">
        <v>6</v>
      </c>
      <c r="D415" s="6" t="n">
        <v>6</v>
      </c>
      <c r="E415" s="6"/>
      <c r="F415" s="6"/>
    </row>
    <row r="416" customFormat="false" ht="15" hidden="false" customHeight="false" outlineLevel="0" collapsed="false">
      <c r="A416" s="5" t="s">
        <v>537</v>
      </c>
      <c r="B416" s="5" t="s">
        <v>123</v>
      </c>
      <c r="C416" s="6" t="n">
        <v>12</v>
      </c>
      <c r="D416" s="6" t="n">
        <v>3</v>
      </c>
      <c r="E416" s="6"/>
      <c r="F416" s="6"/>
    </row>
    <row r="417" customFormat="false" ht="15" hidden="false" customHeight="false" outlineLevel="0" collapsed="false">
      <c r="A417" s="5" t="s">
        <v>538</v>
      </c>
      <c r="B417" s="5" t="s">
        <v>123</v>
      </c>
      <c r="C417" s="6" t="n">
        <v>52</v>
      </c>
      <c r="D417" s="6" t="n">
        <v>24</v>
      </c>
      <c r="E417" s="6"/>
      <c r="F417" s="6"/>
    </row>
    <row r="418" customFormat="false" ht="15" hidden="false" customHeight="false" outlineLevel="0" collapsed="false">
      <c r="A418" s="5" t="s">
        <v>539</v>
      </c>
      <c r="B418" s="5" t="s">
        <v>123</v>
      </c>
      <c r="C418" s="6" t="n">
        <v>9.5</v>
      </c>
      <c r="D418" s="6" t="n">
        <v>0</v>
      </c>
      <c r="E418" s="6"/>
      <c r="F418" s="6"/>
    </row>
    <row r="419" customFormat="false" ht="15" hidden="false" customHeight="false" outlineLevel="0" collapsed="false">
      <c r="A419" s="5" t="s">
        <v>540</v>
      </c>
      <c r="B419" s="5" t="s">
        <v>123</v>
      </c>
      <c r="C419" s="6" t="n">
        <v>2</v>
      </c>
      <c r="D419" s="6" t="n">
        <v>0</v>
      </c>
      <c r="E419" s="6"/>
      <c r="F419" s="6"/>
    </row>
    <row r="420" customFormat="false" ht="15" hidden="false" customHeight="false" outlineLevel="0" collapsed="false">
      <c r="A420" s="5" t="s">
        <v>541</v>
      </c>
      <c r="B420" s="5" t="s">
        <v>30</v>
      </c>
      <c r="C420" s="6" t="n">
        <v>16</v>
      </c>
      <c r="D420" s="6" t="n">
        <v>2</v>
      </c>
      <c r="E420" s="6"/>
      <c r="F420" s="6"/>
    </row>
    <row r="421" customFormat="false" ht="15" hidden="false" customHeight="false" outlineLevel="0" collapsed="false">
      <c r="A421" s="5" t="s">
        <v>542</v>
      </c>
      <c r="B421" s="5" t="s">
        <v>30</v>
      </c>
      <c r="C421" s="6" t="n">
        <v>12</v>
      </c>
      <c r="D421" s="6" t="n">
        <v>0</v>
      </c>
      <c r="E421" s="6"/>
      <c r="F421" s="6"/>
    </row>
    <row r="422" customFormat="false" ht="15" hidden="false" customHeight="false" outlineLevel="0" collapsed="false">
      <c r="A422" s="5" t="s">
        <v>543</v>
      </c>
      <c r="B422" s="5" t="s">
        <v>30</v>
      </c>
      <c r="C422" s="6" t="n">
        <v>6</v>
      </c>
      <c r="D422" s="6" t="n">
        <v>13</v>
      </c>
      <c r="E422" s="6"/>
      <c r="F422" s="6"/>
    </row>
    <row r="423" customFormat="false" ht="15" hidden="false" customHeight="false" outlineLevel="0" collapsed="false">
      <c r="A423" s="5" t="s">
        <v>544</v>
      </c>
      <c r="B423" s="5" t="s">
        <v>30</v>
      </c>
      <c r="C423" s="6" t="n">
        <v>10</v>
      </c>
      <c r="D423" s="6" t="n">
        <v>29</v>
      </c>
      <c r="E423" s="6"/>
      <c r="F423" s="6"/>
    </row>
    <row r="424" customFormat="false" ht="15" hidden="false" customHeight="false" outlineLevel="0" collapsed="false">
      <c r="A424" s="5" t="s">
        <v>545</v>
      </c>
      <c r="B424" s="5" t="s">
        <v>30</v>
      </c>
      <c r="C424" s="6" t="n">
        <v>4</v>
      </c>
      <c r="D424" s="6" t="n">
        <v>0</v>
      </c>
      <c r="E424" s="6"/>
      <c r="F424" s="6"/>
    </row>
    <row r="425" customFormat="false" ht="15" hidden="false" customHeight="false" outlineLevel="0" collapsed="false">
      <c r="A425" s="5" t="s">
        <v>546</v>
      </c>
      <c r="B425" s="5" t="s">
        <v>30</v>
      </c>
      <c r="C425" s="6" t="n">
        <v>5</v>
      </c>
      <c r="D425" s="6" t="n">
        <v>2</v>
      </c>
      <c r="E425" s="6"/>
      <c r="F425" s="6"/>
    </row>
    <row r="426" customFormat="false" ht="15" hidden="false" customHeight="false" outlineLevel="0" collapsed="false">
      <c r="A426" s="5" t="s">
        <v>547</v>
      </c>
      <c r="B426" s="5" t="s">
        <v>30</v>
      </c>
      <c r="C426" s="6" t="n">
        <v>18</v>
      </c>
      <c r="D426" s="6" t="n">
        <v>52</v>
      </c>
      <c r="E426" s="6"/>
      <c r="F426" s="6"/>
    </row>
    <row r="427" customFormat="false" ht="15" hidden="false" customHeight="false" outlineLevel="0" collapsed="false">
      <c r="A427" s="5" t="s">
        <v>548</v>
      </c>
      <c r="B427" s="5" t="s">
        <v>30</v>
      </c>
      <c r="C427" s="6" t="n">
        <v>14</v>
      </c>
      <c r="D427" s="6" t="n">
        <v>4</v>
      </c>
      <c r="E427" s="6"/>
      <c r="F427" s="6"/>
    </row>
    <row r="428" customFormat="false" ht="15" hidden="false" customHeight="false" outlineLevel="0" collapsed="false">
      <c r="A428" s="5" t="s">
        <v>549</v>
      </c>
      <c r="B428" s="5" t="s">
        <v>30</v>
      </c>
      <c r="C428" s="6" t="n">
        <v>6</v>
      </c>
      <c r="D428" s="6" t="n">
        <v>0</v>
      </c>
      <c r="E428" s="6"/>
      <c r="F428" s="6"/>
    </row>
    <row r="429" customFormat="false" ht="15" hidden="false" customHeight="false" outlineLevel="0" collapsed="false">
      <c r="A429" s="5" t="s">
        <v>550</v>
      </c>
      <c r="B429" s="5" t="s">
        <v>30</v>
      </c>
      <c r="C429" s="6" t="n">
        <v>26</v>
      </c>
      <c r="D429" s="6" t="n">
        <v>26</v>
      </c>
      <c r="E429" s="6"/>
      <c r="F429" s="6"/>
    </row>
    <row r="430" customFormat="false" ht="15" hidden="false" customHeight="false" outlineLevel="0" collapsed="false">
      <c r="A430" s="5" t="s">
        <v>551</v>
      </c>
      <c r="B430" s="5" t="s">
        <v>30</v>
      </c>
      <c r="C430" s="6" t="n">
        <v>5</v>
      </c>
      <c r="D430" s="6" t="n">
        <v>0</v>
      </c>
      <c r="E430" s="6"/>
      <c r="F430" s="6"/>
    </row>
    <row r="431" customFormat="false" ht="15" hidden="false" customHeight="false" outlineLevel="0" collapsed="false">
      <c r="A431" s="5" t="s">
        <v>552</v>
      </c>
      <c r="B431" s="5" t="s">
        <v>30</v>
      </c>
      <c r="C431" s="6" t="n">
        <v>16</v>
      </c>
      <c r="D431" s="6" t="n">
        <v>12</v>
      </c>
      <c r="E431" s="6"/>
      <c r="F431" s="6"/>
    </row>
    <row r="432" customFormat="false" ht="15" hidden="false" customHeight="false" outlineLevel="0" collapsed="false">
      <c r="A432" s="5" t="s">
        <v>553</v>
      </c>
      <c r="B432" s="5" t="s">
        <v>30</v>
      </c>
      <c r="C432" s="6" t="n">
        <v>6</v>
      </c>
      <c r="D432" s="6" t="n">
        <v>12</v>
      </c>
      <c r="E432" s="6"/>
      <c r="F432" s="6"/>
    </row>
    <row r="433" customFormat="false" ht="15" hidden="false" customHeight="false" outlineLevel="0" collapsed="false">
      <c r="A433" s="5" t="s">
        <v>554</v>
      </c>
      <c r="B433" s="5" t="s">
        <v>30</v>
      </c>
      <c r="C433" s="6" t="n">
        <v>9</v>
      </c>
      <c r="D433" s="6" t="n">
        <v>17</v>
      </c>
      <c r="E433" s="6"/>
      <c r="F433" s="6"/>
    </row>
    <row r="434" customFormat="false" ht="15" hidden="false" customHeight="false" outlineLevel="0" collapsed="false">
      <c r="A434" s="5" t="s">
        <v>555</v>
      </c>
      <c r="B434" s="5" t="s">
        <v>30</v>
      </c>
      <c r="C434" s="6" t="n">
        <v>16</v>
      </c>
      <c r="D434" s="6" t="n">
        <v>12</v>
      </c>
      <c r="E434" s="6"/>
      <c r="F434" s="6"/>
    </row>
    <row r="435" customFormat="false" ht="15" hidden="false" customHeight="false" outlineLevel="0" collapsed="false">
      <c r="A435" s="5" t="s">
        <v>556</v>
      </c>
      <c r="B435" s="5" t="s">
        <v>30</v>
      </c>
      <c r="C435" s="6" t="n">
        <v>12</v>
      </c>
      <c r="D435" s="6" t="n">
        <v>0</v>
      </c>
      <c r="E435" s="6"/>
      <c r="F435" s="6"/>
    </row>
    <row r="436" customFormat="false" ht="15" hidden="false" customHeight="false" outlineLevel="0" collapsed="false">
      <c r="A436" s="5" t="s">
        <v>557</v>
      </c>
      <c r="B436" s="5" t="s">
        <v>30</v>
      </c>
      <c r="C436" s="6" t="n">
        <v>8</v>
      </c>
      <c r="D436" s="6" t="n">
        <v>6</v>
      </c>
      <c r="E436" s="6"/>
      <c r="F436" s="6"/>
    </row>
    <row r="437" customFormat="false" ht="15" hidden="false" customHeight="false" outlineLevel="0" collapsed="false">
      <c r="A437" s="5" t="s">
        <v>558</v>
      </c>
      <c r="B437" s="5" t="s">
        <v>30</v>
      </c>
      <c r="C437" s="6" t="n">
        <v>24</v>
      </c>
      <c r="D437" s="6" t="n">
        <v>18</v>
      </c>
      <c r="E437" s="6"/>
      <c r="F437" s="6"/>
    </row>
    <row r="438" customFormat="false" ht="15" hidden="false" customHeight="false" outlineLevel="0" collapsed="false">
      <c r="A438" s="5" t="s">
        <v>559</v>
      </c>
      <c r="B438" s="5" t="s">
        <v>30</v>
      </c>
      <c r="C438" s="6" t="n">
        <v>8</v>
      </c>
      <c r="D438" s="6" t="n">
        <v>12</v>
      </c>
      <c r="E438" s="6"/>
      <c r="F438" s="6"/>
    </row>
    <row r="439" customFormat="false" ht="15" hidden="false" customHeight="false" outlineLevel="0" collapsed="false">
      <c r="A439" s="5" t="s">
        <v>560</v>
      </c>
      <c r="B439" s="5" t="s">
        <v>30</v>
      </c>
      <c r="C439" s="6" t="n">
        <v>16</v>
      </c>
      <c r="D439" s="6" t="n">
        <v>10</v>
      </c>
      <c r="E439" s="6"/>
      <c r="F439" s="6"/>
    </row>
    <row r="440" customFormat="false" ht="15" hidden="false" customHeight="false" outlineLevel="0" collapsed="false">
      <c r="A440" s="5" t="s">
        <v>561</v>
      </c>
      <c r="B440" s="5" t="s">
        <v>30</v>
      </c>
      <c r="C440" s="6" t="n">
        <v>8</v>
      </c>
      <c r="D440" s="6" t="n">
        <v>0</v>
      </c>
      <c r="E440" s="6"/>
      <c r="F440" s="6"/>
    </row>
    <row r="441" customFormat="false" ht="15" hidden="false" customHeight="false" outlineLevel="0" collapsed="false">
      <c r="A441" s="5" t="s">
        <v>562</v>
      </c>
      <c r="B441" s="5" t="s">
        <v>30</v>
      </c>
      <c r="C441" s="6" t="n">
        <v>52</v>
      </c>
      <c r="D441" s="6" t="n">
        <v>0</v>
      </c>
      <c r="E441" s="6"/>
      <c r="F441" s="6"/>
    </row>
    <row r="442" customFormat="false" ht="15" hidden="false" customHeight="false" outlineLevel="0" collapsed="false">
      <c r="A442" s="5" t="s">
        <v>563</v>
      </c>
      <c r="B442" s="5" t="s">
        <v>30</v>
      </c>
      <c r="C442" s="6" t="n">
        <v>6</v>
      </c>
      <c r="D442" s="6" t="n">
        <v>6</v>
      </c>
      <c r="E442" s="6"/>
      <c r="F442" s="6"/>
    </row>
    <row r="443" customFormat="false" ht="15" hidden="false" customHeight="false" outlineLevel="0" collapsed="false">
      <c r="A443" s="5" t="s">
        <v>564</v>
      </c>
      <c r="B443" s="5" t="s">
        <v>30</v>
      </c>
      <c r="C443" s="6" t="n">
        <v>6</v>
      </c>
      <c r="D443" s="6" t="n">
        <v>0</v>
      </c>
      <c r="E443" s="6"/>
      <c r="F443" s="6"/>
    </row>
    <row r="444" customFormat="false" ht="15" hidden="false" customHeight="false" outlineLevel="0" collapsed="false">
      <c r="A444" s="5" t="s">
        <v>565</v>
      </c>
      <c r="B444" s="5" t="s">
        <v>30</v>
      </c>
      <c r="C444" s="6" t="n">
        <v>6</v>
      </c>
      <c r="D444" s="6" t="n">
        <v>12</v>
      </c>
      <c r="E444" s="6"/>
      <c r="F444" s="6"/>
    </row>
    <row r="445" customFormat="false" ht="15" hidden="false" customHeight="false" outlineLevel="0" collapsed="false">
      <c r="A445" s="5" t="s">
        <v>566</v>
      </c>
      <c r="B445" s="5" t="s">
        <v>30</v>
      </c>
      <c r="C445" s="6" t="n">
        <v>6</v>
      </c>
      <c r="D445" s="6" t="n">
        <v>12</v>
      </c>
      <c r="E445" s="6"/>
      <c r="F445" s="6"/>
    </row>
    <row r="446" customFormat="false" ht="15" hidden="false" customHeight="false" outlineLevel="0" collapsed="false">
      <c r="A446" s="5" t="s">
        <v>567</v>
      </c>
      <c r="B446" s="5" t="s">
        <v>30</v>
      </c>
      <c r="C446" s="6" t="n">
        <v>26</v>
      </c>
      <c r="D446" s="6" t="n">
        <v>26</v>
      </c>
      <c r="E446" s="6"/>
      <c r="F446" s="6"/>
    </row>
    <row r="447" customFormat="false" ht="15" hidden="false" customHeight="false" outlineLevel="0" collapsed="false">
      <c r="A447" s="5" t="s">
        <v>568</v>
      </c>
      <c r="B447" s="5" t="s">
        <v>30</v>
      </c>
      <c r="C447" s="6" t="n">
        <v>18</v>
      </c>
      <c r="D447" s="6" t="n">
        <v>6</v>
      </c>
      <c r="E447" s="6"/>
      <c r="F447" s="6"/>
    </row>
    <row r="448" customFormat="false" ht="15" hidden="false" customHeight="false" outlineLevel="0" collapsed="false">
      <c r="A448" s="5" t="s">
        <v>569</v>
      </c>
      <c r="B448" s="5" t="s">
        <v>30</v>
      </c>
      <c r="C448" s="6" t="n">
        <v>4</v>
      </c>
      <c r="D448" s="6" t="n">
        <v>4</v>
      </c>
      <c r="E448" s="6"/>
      <c r="F448" s="6"/>
    </row>
    <row r="449" customFormat="false" ht="15" hidden="false" customHeight="false" outlineLevel="0" collapsed="false">
      <c r="A449" s="5" t="s">
        <v>570</v>
      </c>
      <c r="B449" s="5" t="s">
        <v>30</v>
      </c>
      <c r="C449" s="6" t="n">
        <v>16</v>
      </c>
      <c r="D449" s="6" t="n">
        <v>4</v>
      </c>
      <c r="E449" s="6"/>
      <c r="F449" s="6"/>
    </row>
    <row r="450" customFormat="false" ht="15" hidden="false" customHeight="false" outlineLevel="0" collapsed="false">
      <c r="A450" s="5" t="s">
        <v>571</v>
      </c>
      <c r="B450" s="5" t="s">
        <v>30</v>
      </c>
      <c r="C450" s="6" t="n">
        <v>4</v>
      </c>
      <c r="D450" s="6" t="n">
        <v>12</v>
      </c>
      <c r="E450" s="6"/>
      <c r="F450" s="6"/>
    </row>
    <row r="451" customFormat="false" ht="15" hidden="false" customHeight="false" outlineLevel="0" collapsed="false">
      <c r="A451" s="5" t="s">
        <v>572</v>
      </c>
      <c r="B451" s="5" t="s">
        <v>30</v>
      </c>
      <c r="C451" s="6" t="n">
        <v>7</v>
      </c>
      <c r="D451" s="6" t="n">
        <v>6</v>
      </c>
      <c r="E451" s="6"/>
      <c r="F451" s="6"/>
    </row>
    <row r="452" customFormat="false" ht="15" hidden="false" customHeight="false" outlineLevel="0" collapsed="false">
      <c r="A452" s="5" t="s">
        <v>573</v>
      </c>
      <c r="B452" s="5" t="s">
        <v>30</v>
      </c>
      <c r="C452" s="6" t="n">
        <v>3</v>
      </c>
      <c r="D452" s="6" t="n">
        <v>7</v>
      </c>
      <c r="E452" s="6"/>
      <c r="F452" s="6"/>
    </row>
    <row r="453" customFormat="false" ht="15" hidden="false" customHeight="false" outlineLevel="0" collapsed="false">
      <c r="A453" s="5" t="s">
        <v>574</v>
      </c>
      <c r="B453" s="5" t="s">
        <v>30</v>
      </c>
      <c r="C453" s="6" t="n">
        <v>3</v>
      </c>
      <c r="D453" s="6" t="n">
        <v>16</v>
      </c>
      <c r="E453" s="6"/>
      <c r="F453" s="6"/>
    </row>
    <row r="454" customFormat="false" ht="15" hidden="false" customHeight="false" outlineLevel="0" collapsed="false">
      <c r="A454" s="5" t="s">
        <v>575</v>
      </c>
      <c r="B454" s="5" t="s">
        <v>30</v>
      </c>
      <c r="C454" s="6" t="n">
        <v>6</v>
      </c>
      <c r="D454" s="6" t="n">
        <v>12</v>
      </c>
      <c r="E454" s="6"/>
      <c r="F454" s="6"/>
    </row>
    <row r="455" customFormat="false" ht="15" hidden="false" customHeight="false" outlineLevel="0" collapsed="false">
      <c r="A455" s="5" t="s">
        <v>576</v>
      </c>
      <c r="B455" s="5" t="s">
        <v>30</v>
      </c>
      <c r="C455" s="6" t="n">
        <v>12</v>
      </c>
      <c r="D455" s="6" t="n">
        <v>0</v>
      </c>
      <c r="E455" s="6"/>
      <c r="F455" s="6"/>
    </row>
    <row r="456" customFormat="false" ht="15" hidden="false" customHeight="false" outlineLevel="0" collapsed="false">
      <c r="A456" s="5" t="s">
        <v>577</v>
      </c>
      <c r="B456" s="5" t="s">
        <v>30</v>
      </c>
      <c r="C456" s="6" t="n">
        <v>16</v>
      </c>
      <c r="D456" s="6" t="n">
        <v>12</v>
      </c>
      <c r="E456" s="6"/>
      <c r="F456" s="6"/>
    </row>
    <row r="457" customFormat="false" ht="15" hidden="false" customHeight="false" outlineLevel="0" collapsed="false">
      <c r="A457" s="5" t="s">
        <v>578</v>
      </c>
      <c r="B457" s="5" t="s">
        <v>134</v>
      </c>
      <c r="C457" s="6" t="n">
        <v>26</v>
      </c>
      <c r="D457" s="6" t="n">
        <v>0</v>
      </c>
      <c r="E457" s="6"/>
      <c r="F457" s="6"/>
    </row>
    <row r="458" customFormat="false" ht="15" hidden="false" customHeight="false" outlineLevel="0" collapsed="false">
      <c r="A458" s="5" t="s">
        <v>579</v>
      </c>
      <c r="B458" s="5" t="s">
        <v>134</v>
      </c>
      <c r="C458" s="6" t="n">
        <v>26</v>
      </c>
      <c r="D458" s="6" t="n">
        <v>0</v>
      </c>
      <c r="E458" s="6"/>
      <c r="F458" s="6"/>
    </row>
    <row r="459" customFormat="false" ht="15" hidden="false" customHeight="false" outlineLevel="0" collapsed="false">
      <c r="A459" s="5" t="s">
        <v>580</v>
      </c>
      <c r="B459" s="5" t="s">
        <v>134</v>
      </c>
      <c r="C459" s="6" t="n">
        <v>3</v>
      </c>
      <c r="D459" s="6" t="n">
        <v>10</v>
      </c>
      <c r="E459" s="6"/>
      <c r="F459" s="6"/>
    </row>
    <row r="460" customFormat="false" ht="15" hidden="false" customHeight="false" outlineLevel="0" collapsed="false">
      <c r="A460" s="5" t="s">
        <v>581</v>
      </c>
      <c r="B460" s="5" t="s">
        <v>134</v>
      </c>
      <c r="C460" s="6" t="n">
        <v>14</v>
      </c>
      <c r="D460" s="6" t="n">
        <v>0</v>
      </c>
      <c r="E460" s="6"/>
      <c r="F460" s="6"/>
    </row>
    <row r="461" customFormat="false" ht="15" hidden="false" customHeight="false" outlineLevel="0" collapsed="false">
      <c r="A461" s="5" t="s">
        <v>582</v>
      </c>
      <c r="B461" s="5" t="s">
        <v>134</v>
      </c>
      <c r="C461" s="6" t="n">
        <v>14</v>
      </c>
      <c r="D461" s="6" t="n">
        <v>10</v>
      </c>
      <c r="E461" s="6"/>
      <c r="F461" s="6"/>
    </row>
    <row r="462" customFormat="false" ht="15" hidden="false" customHeight="false" outlineLevel="0" collapsed="false">
      <c r="A462" s="5" t="s">
        <v>583</v>
      </c>
      <c r="B462" s="5" t="s">
        <v>134</v>
      </c>
      <c r="C462" s="6" t="n">
        <v>6</v>
      </c>
      <c r="D462" s="6" t="n">
        <v>6</v>
      </c>
      <c r="E462" s="6"/>
      <c r="F462" s="6"/>
    </row>
    <row r="463" customFormat="false" ht="15" hidden="false" customHeight="false" outlineLevel="0" collapsed="false">
      <c r="A463" s="5" t="s">
        <v>584</v>
      </c>
      <c r="B463" s="5" t="s">
        <v>134</v>
      </c>
      <c r="C463" s="6" t="n">
        <v>12</v>
      </c>
      <c r="D463" s="6" t="n">
        <v>0</v>
      </c>
      <c r="E463" s="6"/>
      <c r="F463" s="6"/>
    </row>
    <row r="464" customFormat="false" ht="15" hidden="false" customHeight="false" outlineLevel="0" collapsed="false">
      <c r="A464" s="5" t="s">
        <v>585</v>
      </c>
      <c r="B464" s="5" t="s">
        <v>134</v>
      </c>
      <c r="C464" s="6" t="n">
        <v>10</v>
      </c>
      <c r="D464" s="6" t="n">
        <v>0</v>
      </c>
      <c r="E464" s="6"/>
      <c r="F464" s="6"/>
    </row>
    <row r="465" customFormat="false" ht="15" hidden="false" customHeight="false" outlineLevel="0" collapsed="false">
      <c r="A465" s="5" t="s">
        <v>586</v>
      </c>
      <c r="B465" s="5" t="s">
        <v>134</v>
      </c>
      <c r="C465" s="6" t="n">
        <v>12</v>
      </c>
      <c r="D465" s="6" t="n">
        <v>0</v>
      </c>
      <c r="E465" s="6"/>
      <c r="F465" s="6"/>
    </row>
    <row r="466" customFormat="false" ht="15" hidden="false" customHeight="false" outlineLevel="0" collapsed="false">
      <c r="A466" s="5" t="s">
        <v>587</v>
      </c>
      <c r="B466" s="5" t="s">
        <v>134</v>
      </c>
      <c r="C466" s="6" t="n">
        <v>8</v>
      </c>
      <c r="D466" s="6"/>
      <c r="E466" s="6" t="n">
        <v>4</v>
      </c>
      <c r="F466" s="6"/>
    </row>
    <row r="467" customFormat="false" ht="15" hidden="false" customHeight="false" outlineLevel="0" collapsed="false">
      <c r="A467" s="5" t="s">
        <v>588</v>
      </c>
      <c r="B467" s="5" t="s">
        <v>33</v>
      </c>
      <c r="C467" s="6" t="n">
        <v>3</v>
      </c>
      <c r="D467" s="6" t="n">
        <v>1</v>
      </c>
      <c r="E467" s="6"/>
      <c r="F467" s="6"/>
    </row>
    <row r="468" customFormat="false" ht="15" hidden="false" customHeight="false" outlineLevel="0" collapsed="false">
      <c r="A468" s="5" t="s">
        <v>589</v>
      </c>
      <c r="B468" s="5" t="s">
        <v>33</v>
      </c>
      <c r="C468" s="6" t="n">
        <v>9</v>
      </c>
      <c r="D468" s="6" t="n">
        <v>12</v>
      </c>
      <c r="E468" s="6"/>
      <c r="F468" s="6"/>
    </row>
    <row r="469" customFormat="false" ht="15" hidden="false" customHeight="false" outlineLevel="0" collapsed="false">
      <c r="A469" s="5" t="s">
        <v>590</v>
      </c>
      <c r="B469" s="5" t="s">
        <v>33</v>
      </c>
      <c r="C469" s="6" t="n">
        <v>8</v>
      </c>
      <c r="D469" s="6" t="n">
        <v>24</v>
      </c>
      <c r="E469" s="6"/>
      <c r="F469" s="6"/>
    </row>
    <row r="470" customFormat="false" ht="15" hidden="false" customHeight="false" outlineLevel="0" collapsed="false">
      <c r="A470" s="5" t="s">
        <v>591</v>
      </c>
      <c r="B470" s="5" t="s">
        <v>33</v>
      </c>
      <c r="C470" s="6" t="n">
        <v>10</v>
      </c>
      <c r="D470" s="6" t="n">
        <v>0</v>
      </c>
      <c r="E470" s="6"/>
      <c r="F470" s="6"/>
    </row>
    <row r="471" customFormat="false" ht="15" hidden="false" customHeight="false" outlineLevel="0" collapsed="false">
      <c r="A471" s="5" t="s">
        <v>592</v>
      </c>
      <c r="B471" s="5" t="s">
        <v>33</v>
      </c>
      <c r="C471" s="6" t="n">
        <v>6</v>
      </c>
      <c r="D471" s="6" t="n">
        <v>6</v>
      </c>
      <c r="E471" s="6"/>
      <c r="F471" s="6"/>
    </row>
    <row r="472" customFormat="false" ht="15" hidden="false" customHeight="false" outlineLevel="0" collapsed="false">
      <c r="A472" s="5" t="s">
        <v>593</v>
      </c>
      <c r="B472" s="5" t="s">
        <v>33</v>
      </c>
      <c r="C472" s="6" t="n">
        <v>12</v>
      </c>
      <c r="D472" s="6" t="n">
        <v>17</v>
      </c>
      <c r="E472" s="6"/>
      <c r="F472" s="6"/>
    </row>
    <row r="473" customFormat="false" ht="15" hidden="false" customHeight="false" outlineLevel="0" collapsed="false">
      <c r="A473" s="5" t="s">
        <v>594</v>
      </c>
      <c r="B473" s="5" t="s">
        <v>33</v>
      </c>
      <c r="C473" s="6" t="n">
        <v>6</v>
      </c>
      <c r="D473" s="6" t="n">
        <v>6</v>
      </c>
      <c r="E473" s="6"/>
      <c r="F473" s="6"/>
    </row>
    <row r="474" customFormat="false" ht="15" hidden="false" customHeight="false" outlineLevel="0" collapsed="false">
      <c r="A474" s="5" t="s">
        <v>595</v>
      </c>
      <c r="B474" s="5" t="s">
        <v>33</v>
      </c>
      <c r="C474" s="6" t="n">
        <v>14</v>
      </c>
      <c r="D474" s="6" t="n">
        <v>26</v>
      </c>
      <c r="E474" s="6"/>
      <c r="F474" s="6"/>
    </row>
    <row r="475" customFormat="false" ht="15" hidden="false" customHeight="false" outlineLevel="0" collapsed="false">
      <c r="A475" s="5" t="s">
        <v>596</v>
      </c>
      <c r="B475" s="5" t="s">
        <v>33</v>
      </c>
      <c r="C475" s="6" t="n">
        <v>6</v>
      </c>
      <c r="D475" s="6" t="n">
        <v>18</v>
      </c>
      <c r="E475" s="6"/>
      <c r="F475" s="6"/>
    </row>
    <row r="476" customFormat="false" ht="15" hidden="false" customHeight="false" outlineLevel="0" collapsed="false">
      <c r="A476" s="5" t="s">
        <v>597</v>
      </c>
      <c r="B476" s="5" t="s">
        <v>33</v>
      </c>
      <c r="C476" s="6" t="n">
        <v>26</v>
      </c>
      <c r="D476" s="6" t="n">
        <v>0</v>
      </c>
      <c r="E476" s="6"/>
      <c r="F476" s="6"/>
    </row>
    <row r="477" customFormat="false" ht="15" hidden="false" customHeight="false" outlineLevel="0" collapsed="false">
      <c r="A477" s="5" t="s">
        <v>598</v>
      </c>
      <c r="B477" s="5" t="s">
        <v>33</v>
      </c>
      <c r="C477" s="6" t="n">
        <v>6</v>
      </c>
      <c r="D477" s="6" t="n">
        <v>0</v>
      </c>
      <c r="E477" s="6"/>
      <c r="F477" s="6"/>
    </row>
    <row r="478" customFormat="false" ht="15" hidden="false" customHeight="false" outlineLevel="0" collapsed="false">
      <c r="A478" s="5" t="s">
        <v>599</v>
      </c>
      <c r="B478" s="5" t="s">
        <v>33</v>
      </c>
      <c r="C478" s="6" t="n">
        <v>20</v>
      </c>
      <c r="D478" s="6" t="n">
        <v>0</v>
      </c>
      <c r="E478" s="6"/>
      <c r="F478" s="6"/>
    </row>
    <row r="479" customFormat="false" ht="15" hidden="false" customHeight="false" outlineLevel="0" collapsed="false">
      <c r="A479" s="5" t="s">
        <v>600</v>
      </c>
      <c r="B479" s="5" t="s">
        <v>33</v>
      </c>
      <c r="C479" s="6" t="n">
        <v>8</v>
      </c>
      <c r="D479" s="6" t="n">
        <v>0</v>
      </c>
      <c r="E479" s="6"/>
      <c r="F479" s="6"/>
    </row>
    <row r="480" customFormat="false" ht="15" hidden="false" customHeight="false" outlineLevel="0" collapsed="false">
      <c r="A480" s="5" t="s">
        <v>601</v>
      </c>
      <c r="B480" s="5" t="s">
        <v>33</v>
      </c>
      <c r="C480" s="6" t="n">
        <v>12</v>
      </c>
      <c r="D480" s="6" t="n">
        <v>12</v>
      </c>
      <c r="E480" s="6"/>
      <c r="F480" s="6"/>
    </row>
    <row r="481" customFormat="false" ht="15" hidden="false" customHeight="false" outlineLevel="0" collapsed="false">
      <c r="A481" s="5" t="s">
        <v>602</v>
      </c>
      <c r="B481" s="5" t="s">
        <v>139</v>
      </c>
      <c r="C481" s="6" t="n">
        <v>19.5</v>
      </c>
      <c r="D481" s="6" t="n">
        <v>6</v>
      </c>
      <c r="E481" s="6"/>
      <c r="F481" s="6"/>
    </row>
    <row r="482" customFormat="false" ht="15" hidden="false" customHeight="false" outlineLevel="0" collapsed="false">
      <c r="A482" s="5" t="s">
        <v>603</v>
      </c>
      <c r="B482" s="5" t="s">
        <v>139</v>
      </c>
      <c r="C482" s="6" t="n">
        <v>12</v>
      </c>
      <c r="D482" s="6" t="n">
        <v>12</v>
      </c>
      <c r="E482" s="6"/>
      <c r="F482" s="6"/>
    </row>
    <row r="483" customFormat="false" ht="15" hidden="false" customHeight="false" outlineLevel="0" collapsed="false">
      <c r="A483" s="5" t="s">
        <v>604</v>
      </c>
      <c r="B483" s="5" t="s">
        <v>139</v>
      </c>
      <c r="C483" s="6" t="n">
        <v>8</v>
      </c>
      <c r="D483" s="6" t="n">
        <v>3</v>
      </c>
      <c r="E483" s="6"/>
      <c r="F483" s="6"/>
    </row>
    <row r="484" customFormat="false" ht="15" hidden="false" customHeight="false" outlineLevel="0" collapsed="false">
      <c r="A484" s="5" t="s">
        <v>605</v>
      </c>
      <c r="B484" s="5" t="s">
        <v>139</v>
      </c>
      <c r="C484" s="6" t="n">
        <v>8.5</v>
      </c>
      <c r="D484" s="6" t="n">
        <v>0</v>
      </c>
      <c r="E484" s="6"/>
      <c r="F484" s="6"/>
    </row>
    <row r="485" customFormat="false" ht="15" hidden="false" customHeight="false" outlineLevel="0" collapsed="false">
      <c r="A485" s="5" t="s">
        <v>606</v>
      </c>
      <c r="B485" s="5" t="s">
        <v>139</v>
      </c>
      <c r="C485" s="6" t="n">
        <v>12</v>
      </c>
      <c r="D485" s="6" t="n">
        <v>2</v>
      </c>
      <c r="E485" s="6"/>
      <c r="F485" s="6"/>
    </row>
    <row r="486" customFormat="false" ht="15" hidden="false" customHeight="false" outlineLevel="0" collapsed="false">
      <c r="A486" s="5" t="s">
        <v>607</v>
      </c>
      <c r="B486" s="5" t="s">
        <v>139</v>
      </c>
      <c r="C486" s="6" t="n">
        <v>10</v>
      </c>
      <c r="D486" s="6" t="n">
        <v>0</v>
      </c>
      <c r="E486" s="6"/>
      <c r="F486" s="6"/>
    </row>
    <row r="487" customFormat="false" ht="15" hidden="false" customHeight="false" outlineLevel="0" collapsed="false">
      <c r="A487" s="5" t="s">
        <v>608</v>
      </c>
      <c r="B487" s="5" t="s">
        <v>609</v>
      </c>
      <c r="C487" s="6" t="n">
        <v>6</v>
      </c>
      <c r="D487" s="6" t="n">
        <v>0</v>
      </c>
      <c r="E487" s="6"/>
      <c r="F487" s="6"/>
    </row>
    <row r="488" customFormat="false" ht="15" hidden="false" customHeight="false" outlineLevel="0" collapsed="false">
      <c r="A488" s="5" t="s">
        <v>610</v>
      </c>
      <c r="B488" s="5" t="s">
        <v>609</v>
      </c>
      <c r="C488" s="6" t="n">
        <v>16</v>
      </c>
      <c r="D488" s="6"/>
      <c r="E488" s="6" t="n">
        <v>16</v>
      </c>
      <c r="F488" s="6"/>
    </row>
    <row r="489" customFormat="false" ht="15" hidden="false" customHeight="false" outlineLevel="0" collapsed="false">
      <c r="A489" s="5" t="s">
        <v>611</v>
      </c>
      <c r="B489" s="5" t="s">
        <v>143</v>
      </c>
      <c r="C489" s="6" t="n">
        <v>6</v>
      </c>
      <c r="D489" s="6" t="n">
        <v>0</v>
      </c>
      <c r="E489" s="6"/>
      <c r="F489" s="6"/>
    </row>
    <row r="490" customFormat="false" ht="15" hidden="false" customHeight="false" outlineLevel="0" collapsed="false">
      <c r="A490" s="5" t="s">
        <v>612</v>
      </c>
      <c r="B490" s="5" t="s">
        <v>145</v>
      </c>
      <c r="C490" s="6" t="n">
        <v>12</v>
      </c>
      <c r="D490" s="6"/>
      <c r="E490" s="6" t="n">
        <v>6</v>
      </c>
      <c r="F490" s="6"/>
    </row>
    <row r="491" customFormat="false" ht="15" hidden="false" customHeight="false" outlineLevel="0" collapsed="false">
      <c r="A491" s="5" t="s">
        <v>613</v>
      </c>
      <c r="B491" s="5" t="s">
        <v>145</v>
      </c>
      <c r="C491" s="6" t="n">
        <v>12</v>
      </c>
      <c r="D491" s="6" t="n">
        <v>4</v>
      </c>
      <c r="E491" s="6"/>
      <c r="F491" s="6"/>
    </row>
    <row r="492" customFormat="false" ht="15" hidden="false" customHeight="false" outlineLevel="0" collapsed="false">
      <c r="A492" s="5" t="s">
        <v>614</v>
      </c>
      <c r="B492" s="5" t="s">
        <v>145</v>
      </c>
      <c r="C492" s="6" t="n">
        <v>12</v>
      </c>
      <c r="D492" s="6" t="n">
        <v>12</v>
      </c>
      <c r="E492" s="6"/>
      <c r="F492" s="6"/>
    </row>
    <row r="493" customFormat="false" ht="15" hidden="false" customHeight="false" outlineLevel="0" collapsed="false">
      <c r="A493" s="5" t="s">
        <v>615</v>
      </c>
      <c r="B493" s="5" t="s">
        <v>145</v>
      </c>
      <c r="C493" s="6" t="n">
        <v>12</v>
      </c>
      <c r="D493" s="6" t="n">
        <v>0</v>
      </c>
      <c r="E493" s="6"/>
      <c r="F493" s="6"/>
    </row>
    <row r="494" customFormat="false" ht="15" hidden="false" customHeight="false" outlineLevel="0" collapsed="false">
      <c r="A494" s="5" t="s">
        <v>616</v>
      </c>
      <c r="B494" s="5" t="s">
        <v>145</v>
      </c>
      <c r="C494" s="6" t="n">
        <v>24</v>
      </c>
      <c r="D494" s="6" t="n">
        <v>0</v>
      </c>
      <c r="E494" s="6"/>
      <c r="F494" s="6"/>
    </row>
    <row r="495" customFormat="false" ht="15" hidden="false" customHeight="false" outlineLevel="0" collapsed="false">
      <c r="A495" s="5" t="s">
        <v>617</v>
      </c>
      <c r="B495" s="5" t="s">
        <v>145</v>
      </c>
      <c r="C495" s="6" t="n">
        <v>12</v>
      </c>
      <c r="D495" s="6" t="n">
        <v>8</v>
      </c>
      <c r="E495" s="6"/>
      <c r="F495" s="6"/>
    </row>
    <row r="496" customFormat="false" ht="15" hidden="false" customHeight="false" outlineLevel="0" collapsed="false">
      <c r="A496" s="5" t="s">
        <v>618</v>
      </c>
      <c r="B496" s="5" t="s">
        <v>145</v>
      </c>
      <c r="C496" s="6" t="n">
        <v>12</v>
      </c>
      <c r="D496" s="6" t="n">
        <v>12</v>
      </c>
      <c r="E496" s="6"/>
      <c r="F496" s="6"/>
    </row>
    <row r="497" customFormat="false" ht="15" hidden="false" customHeight="false" outlineLevel="0" collapsed="false">
      <c r="A497" s="5" t="s">
        <v>619</v>
      </c>
      <c r="B497" s="5" t="s">
        <v>35</v>
      </c>
      <c r="C497" s="6" t="n">
        <v>2</v>
      </c>
      <c r="D497" s="6" t="n">
        <v>12</v>
      </c>
      <c r="E497" s="6"/>
      <c r="F497" s="6"/>
    </row>
    <row r="498" customFormat="false" ht="15" hidden="false" customHeight="false" outlineLevel="0" collapsed="false">
      <c r="A498" s="5" t="s">
        <v>620</v>
      </c>
      <c r="B498" s="5" t="s">
        <v>35</v>
      </c>
      <c r="C498" s="6" t="n">
        <v>5</v>
      </c>
      <c r="D498" s="6" t="n">
        <v>3</v>
      </c>
      <c r="E498" s="6"/>
      <c r="F498" s="6"/>
    </row>
    <row r="499" customFormat="false" ht="15" hidden="false" customHeight="false" outlineLevel="0" collapsed="false">
      <c r="A499" s="5" t="s">
        <v>621</v>
      </c>
      <c r="B499" s="5" t="s">
        <v>35</v>
      </c>
      <c r="C499" s="6" t="n">
        <v>5</v>
      </c>
      <c r="D499" s="6" t="n">
        <v>8</v>
      </c>
      <c r="E499" s="6"/>
      <c r="F499" s="6"/>
    </row>
    <row r="500" customFormat="false" ht="15" hidden="false" customHeight="false" outlineLevel="0" collapsed="false">
      <c r="A500" s="5" t="s">
        <v>622</v>
      </c>
      <c r="B500" s="5" t="s">
        <v>35</v>
      </c>
      <c r="C500" s="6" t="n">
        <v>2</v>
      </c>
      <c r="D500" s="6" t="n">
        <v>0</v>
      </c>
      <c r="E500" s="6"/>
      <c r="F500" s="6"/>
    </row>
    <row r="501" customFormat="false" ht="15" hidden="false" customHeight="false" outlineLevel="0" collapsed="false">
      <c r="A501" s="5" t="s">
        <v>623</v>
      </c>
      <c r="B501" s="5" t="s">
        <v>624</v>
      </c>
      <c r="C501" s="6" t="n">
        <v>4</v>
      </c>
      <c r="D501" s="6" t="n">
        <v>12</v>
      </c>
      <c r="E501" s="6"/>
      <c r="F501" s="6"/>
    </row>
    <row r="502" customFormat="false" ht="15" hidden="false" customHeight="false" outlineLevel="0" collapsed="false">
      <c r="A502" s="5" t="s">
        <v>625</v>
      </c>
      <c r="B502" s="5" t="s">
        <v>624</v>
      </c>
      <c r="C502" s="6" t="n">
        <v>12</v>
      </c>
      <c r="D502" s="6" t="n">
        <v>12</v>
      </c>
      <c r="E502" s="6"/>
      <c r="F502" s="6"/>
    </row>
    <row r="503" customFormat="false" ht="15" hidden="false" customHeight="false" outlineLevel="0" collapsed="false">
      <c r="A503" s="5" t="s">
        <v>626</v>
      </c>
      <c r="B503" s="5" t="s">
        <v>624</v>
      </c>
      <c r="C503" s="6" t="n">
        <v>16</v>
      </c>
      <c r="D503" s="6" t="n">
        <v>8</v>
      </c>
      <c r="E503" s="6"/>
      <c r="F503" s="6"/>
    </row>
    <row r="504" customFormat="false" ht="15" hidden="false" customHeight="false" outlineLevel="0" collapsed="false">
      <c r="A504" s="5" t="s">
        <v>627</v>
      </c>
      <c r="B504" s="5" t="s">
        <v>38</v>
      </c>
      <c r="C504" s="6" t="n">
        <v>8</v>
      </c>
      <c r="D504" s="6" t="n">
        <v>6</v>
      </c>
      <c r="E504" s="6"/>
      <c r="F504" s="6"/>
    </row>
    <row r="505" customFormat="false" ht="15" hidden="false" customHeight="false" outlineLevel="0" collapsed="false">
      <c r="A505" s="5" t="s">
        <v>628</v>
      </c>
      <c r="B505" s="5" t="s">
        <v>38</v>
      </c>
      <c r="C505" s="6" t="n">
        <v>0</v>
      </c>
      <c r="D505" s="6" t="n">
        <v>6</v>
      </c>
      <c r="E505" s="6"/>
      <c r="F505" s="6"/>
    </row>
    <row r="506" customFormat="false" ht="15" hidden="false" customHeight="false" outlineLevel="0" collapsed="false">
      <c r="A506" s="5" t="s">
        <v>629</v>
      </c>
      <c r="B506" s="5" t="s">
        <v>38</v>
      </c>
      <c r="C506" s="6" t="n">
        <v>4</v>
      </c>
      <c r="D506" s="6" t="n">
        <v>12</v>
      </c>
      <c r="E506" s="6"/>
      <c r="F506" s="6"/>
    </row>
    <row r="507" customFormat="false" ht="15" hidden="false" customHeight="false" outlineLevel="0" collapsed="false">
      <c r="A507" s="5" t="s">
        <v>630</v>
      </c>
      <c r="B507" s="5" t="s">
        <v>38</v>
      </c>
      <c r="C507" s="6" t="n">
        <v>12</v>
      </c>
      <c r="D507" s="6" t="n">
        <v>4</v>
      </c>
      <c r="E507" s="6"/>
      <c r="F507" s="6"/>
    </row>
    <row r="508" customFormat="false" ht="15" hidden="false" customHeight="false" outlineLevel="0" collapsed="false">
      <c r="A508" s="5" t="s">
        <v>631</v>
      </c>
      <c r="B508" s="5" t="s">
        <v>38</v>
      </c>
      <c r="C508" s="6" t="n">
        <v>7</v>
      </c>
      <c r="D508" s="6" t="n">
        <v>0</v>
      </c>
      <c r="E508" s="6"/>
      <c r="F508" s="6"/>
    </row>
    <row r="509" customFormat="false" ht="15" hidden="false" customHeight="false" outlineLevel="0" collapsed="false">
      <c r="A509" s="5" t="s">
        <v>632</v>
      </c>
      <c r="B509" s="5" t="s">
        <v>38</v>
      </c>
      <c r="C509" s="6" t="n">
        <v>3</v>
      </c>
      <c r="D509" s="6" t="n">
        <v>9</v>
      </c>
      <c r="E509" s="6"/>
      <c r="F509" s="6"/>
    </row>
    <row r="510" customFormat="false" ht="15" hidden="false" customHeight="false" outlineLevel="0" collapsed="false">
      <c r="A510" s="5" t="s">
        <v>633</v>
      </c>
      <c r="B510" s="5" t="s">
        <v>38</v>
      </c>
      <c r="C510" s="6" t="n">
        <v>6</v>
      </c>
      <c r="D510" s="6" t="n">
        <v>12</v>
      </c>
      <c r="E510" s="6"/>
      <c r="F510" s="6"/>
    </row>
    <row r="511" customFormat="false" ht="15" hidden="false" customHeight="false" outlineLevel="0" collapsed="false">
      <c r="A511" s="5" t="s">
        <v>634</v>
      </c>
      <c r="B511" s="5" t="s">
        <v>38</v>
      </c>
      <c r="C511" s="6" t="n">
        <v>6</v>
      </c>
      <c r="D511" s="6" t="n">
        <v>6</v>
      </c>
      <c r="E511" s="6"/>
      <c r="F511" s="6"/>
    </row>
    <row r="512" customFormat="false" ht="15" hidden="false" customHeight="false" outlineLevel="0" collapsed="false">
      <c r="A512" s="5" t="s">
        <v>635</v>
      </c>
      <c r="B512" s="5" t="s">
        <v>38</v>
      </c>
      <c r="C512" s="6" t="n">
        <v>2</v>
      </c>
      <c r="D512" s="6" t="n">
        <v>8</v>
      </c>
      <c r="E512" s="6"/>
      <c r="F512" s="6"/>
    </row>
    <row r="513" customFormat="false" ht="15" hidden="false" customHeight="false" outlineLevel="0" collapsed="false">
      <c r="A513" s="5" t="s">
        <v>636</v>
      </c>
      <c r="B513" s="5" t="s">
        <v>38</v>
      </c>
      <c r="C513" s="6" t="n">
        <v>12</v>
      </c>
      <c r="D513" s="6"/>
      <c r="E513" s="6" t="n">
        <v>6</v>
      </c>
      <c r="F513" s="6"/>
    </row>
    <row r="514" customFormat="false" ht="15" hidden="false" customHeight="false" outlineLevel="0" collapsed="false">
      <c r="A514" s="5" t="s">
        <v>637</v>
      </c>
      <c r="B514" s="5" t="s">
        <v>38</v>
      </c>
      <c r="C514" s="6" t="n">
        <v>6</v>
      </c>
      <c r="D514" s="6" t="n">
        <v>9</v>
      </c>
      <c r="E514" s="6"/>
      <c r="F514" s="6"/>
    </row>
    <row r="515" customFormat="false" ht="15" hidden="false" customHeight="false" outlineLevel="0" collapsed="false">
      <c r="A515" s="5" t="s">
        <v>638</v>
      </c>
      <c r="B515" s="5" t="s">
        <v>38</v>
      </c>
      <c r="C515" s="6" t="n">
        <v>6</v>
      </c>
      <c r="D515" s="6" t="n">
        <v>6</v>
      </c>
      <c r="E515" s="6"/>
      <c r="F515" s="6"/>
    </row>
    <row r="516" customFormat="false" ht="15" hidden="false" customHeight="false" outlineLevel="0" collapsed="false">
      <c r="A516" s="5" t="s">
        <v>639</v>
      </c>
      <c r="B516" s="5" t="s">
        <v>38</v>
      </c>
      <c r="C516" s="6" t="n">
        <v>6</v>
      </c>
      <c r="D516" s="6" t="n">
        <v>12</v>
      </c>
      <c r="E516" s="6"/>
      <c r="F516" s="6"/>
    </row>
    <row r="517" customFormat="false" ht="15" hidden="false" customHeight="false" outlineLevel="0" collapsed="false">
      <c r="A517" s="5" t="s">
        <v>640</v>
      </c>
      <c r="B517" s="5" t="s">
        <v>38</v>
      </c>
      <c r="C517" s="6" t="n">
        <v>8</v>
      </c>
      <c r="D517" s="6" t="n">
        <v>0</v>
      </c>
      <c r="E517" s="6"/>
      <c r="F517" s="6"/>
    </row>
    <row r="518" customFormat="false" ht="15" hidden="false" customHeight="false" outlineLevel="0" collapsed="false">
      <c r="A518" s="5" t="s">
        <v>641</v>
      </c>
      <c r="B518" s="5" t="s">
        <v>38</v>
      </c>
      <c r="C518" s="6" t="n">
        <v>26</v>
      </c>
      <c r="D518" s="6" t="n">
        <v>26</v>
      </c>
      <c r="E518" s="6"/>
      <c r="F518" s="6"/>
    </row>
    <row r="519" customFormat="false" ht="15" hidden="false" customHeight="false" outlineLevel="0" collapsed="false">
      <c r="A519" s="5" t="s">
        <v>642</v>
      </c>
      <c r="B519" s="5" t="s">
        <v>38</v>
      </c>
      <c r="C519" s="6" t="n">
        <v>16</v>
      </c>
      <c r="D519" s="6" t="n">
        <v>7</v>
      </c>
      <c r="E519" s="6"/>
      <c r="F519" s="6"/>
    </row>
    <row r="520" customFormat="false" ht="15" hidden="false" customHeight="false" outlineLevel="0" collapsed="false">
      <c r="A520" s="5" t="s">
        <v>643</v>
      </c>
      <c r="B520" s="5" t="s">
        <v>38</v>
      </c>
      <c r="C520" s="6" t="n">
        <v>12</v>
      </c>
      <c r="D520" s="6" t="n">
        <v>12</v>
      </c>
      <c r="E520" s="6"/>
      <c r="F520" s="6"/>
    </row>
    <row r="521" customFormat="false" ht="15" hidden="false" customHeight="false" outlineLevel="0" collapsed="false">
      <c r="A521" s="5" t="s">
        <v>644</v>
      </c>
      <c r="B521" s="5" t="s">
        <v>38</v>
      </c>
      <c r="C521" s="6" t="n">
        <v>18</v>
      </c>
      <c r="D521" s="6" t="n">
        <v>20</v>
      </c>
      <c r="E521" s="6"/>
      <c r="F521" s="6"/>
    </row>
    <row r="522" customFormat="false" ht="15" hidden="false" customHeight="false" outlineLevel="0" collapsed="false">
      <c r="A522" s="5" t="s">
        <v>645</v>
      </c>
      <c r="B522" s="5" t="s">
        <v>38</v>
      </c>
      <c r="C522" s="6" t="n">
        <v>6</v>
      </c>
      <c r="D522" s="6" t="n">
        <v>12</v>
      </c>
      <c r="E522" s="6"/>
      <c r="F522" s="6"/>
    </row>
    <row r="523" customFormat="false" ht="15" hidden="false" customHeight="false" outlineLevel="0" collapsed="false">
      <c r="A523" s="5" t="s">
        <v>646</v>
      </c>
      <c r="B523" s="5" t="s">
        <v>38</v>
      </c>
      <c r="C523" s="6" t="n">
        <v>6</v>
      </c>
      <c r="D523" s="6" t="n">
        <v>6</v>
      </c>
      <c r="E523" s="6"/>
      <c r="F523" s="6"/>
    </row>
    <row r="524" customFormat="false" ht="15" hidden="false" customHeight="false" outlineLevel="0" collapsed="false">
      <c r="A524" s="5" t="s">
        <v>647</v>
      </c>
      <c r="B524" s="5" t="s">
        <v>38</v>
      </c>
      <c r="C524" s="6" t="n">
        <v>10</v>
      </c>
      <c r="D524" s="6" t="n">
        <v>12</v>
      </c>
      <c r="E524" s="6"/>
      <c r="F524" s="6"/>
    </row>
    <row r="525" customFormat="false" ht="15" hidden="false" customHeight="false" outlineLevel="0" collapsed="false">
      <c r="A525" s="5" t="s">
        <v>648</v>
      </c>
      <c r="B525" s="5" t="s">
        <v>38</v>
      </c>
      <c r="C525" s="6" t="n">
        <v>2</v>
      </c>
      <c r="D525" s="6" t="n">
        <v>26</v>
      </c>
      <c r="E525" s="6"/>
      <c r="F525" s="6"/>
    </row>
    <row r="526" customFormat="false" ht="15" hidden="false" customHeight="false" outlineLevel="0" collapsed="false">
      <c r="A526" s="5" t="s">
        <v>649</v>
      </c>
      <c r="B526" s="5" t="s">
        <v>38</v>
      </c>
      <c r="C526" s="6" t="n">
        <v>12</v>
      </c>
      <c r="D526" s="6" t="n">
        <v>0</v>
      </c>
      <c r="E526" s="6"/>
      <c r="F526" s="6"/>
    </row>
    <row r="527" customFormat="false" ht="15" hidden="false" customHeight="false" outlineLevel="0" collapsed="false">
      <c r="A527" s="5" t="s">
        <v>650</v>
      </c>
      <c r="B527" s="5" t="s">
        <v>38</v>
      </c>
      <c r="C527" s="6" t="n">
        <v>8</v>
      </c>
      <c r="D527" s="6" t="n">
        <v>0</v>
      </c>
      <c r="E527" s="6"/>
      <c r="F527" s="6"/>
    </row>
    <row r="528" customFormat="false" ht="15" hidden="false" customHeight="false" outlineLevel="0" collapsed="false">
      <c r="A528" s="5" t="s">
        <v>651</v>
      </c>
      <c r="B528" s="5" t="s">
        <v>38</v>
      </c>
      <c r="C528" s="6" t="n">
        <v>6</v>
      </c>
      <c r="D528" s="6" t="n">
        <v>6</v>
      </c>
      <c r="E528" s="6"/>
      <c r="F528" s="6"/>
    </row>
    <row r="529" customFormat="false" ht="15" hidden="false" customHeight="false" outlineLevel="0" collapsed="false">
      <c r="A529" s="5" t="s">
        <v>652</v>
      </c>
      <c r="B529" s="5" t="s">
        <v>38</v>
      </c>
      <c r="C529" s="6" t="n">
        <v>12</v>
      </c>
      <c r="D529" s="6" t="n">
        <v>0</v>
      </c>
      <c r="E529" s="6"/>
      <c r="F529" s="6"/>
    </row>
    <row r="530" customFormat="false" ht="15" hidden="false" customHeight="false" outlineLevel="0" collapsed="false">
      <c r="A530" s="5" t="s">
        <v>653</v>
      </c>
      <c r="B530" s="5" t="s">
        <v>38</v>
      </c>
      <c r="C530" s="6" t="n">
        <v>8</v>
      </c>
      <c r="D530" s="6" t="n">
        <v>4</v>
      </c>
      <c r="E530" s="6"/>
      <c r="F530" s="6"/>
    </row>
    <row r="531" customFormat="false" ht="15" hidden="false" customHeight="false" outlineLevel="0" collapsed="false">
      <c r="A531" s="5" t="s">
        <v>654</v>
      </c>
      <c r="B531" s="5" t="s">
        <v>38</v>
      </c>
      <c r="C531" s="6" t="n">
        <v>9</v>
      </c>
      <c r="D531" s="6" t="n">
        <v>6</v>
      </c>
      <c r="E531" s="6"/>
      <c r="F531" s="6"/>
    </row>
    <row r="532" customFormat="false" ht="15" hidden="false" customHeight="false" outlineLevel="0" collapsed="false">
      <c r="A532" s="5" t="s">
        <v>655</v>
      </c>
      <c r="B532" s="5" t="s">
        <v>38</v>
      </c>
      <c r="C532" s="6" t="n">
        <v>5</v>
      </c>
      <c r="D532" s="6" t="n">
        <v>24</v>
      </c>
      <c r="E532" s="6"/>
      <c r="F532" s="6"/>
    </row>
    <row r="533" customFormat="false" ht="15" hidden="false" customHeight="false" outlineLevel="0" collapsed="false">
      <c r="A533" s="5" t="s">
        <v>656</v>
      </c>
      <c r="B533" s="5" t="s">
        <v>38</v>
      </c>
      <c r="C533" s="6" t="n">
        <v>6</v>
      </c>
      <c r="D533" s="6" t="n">
        <v>12</v>
      </c>
      <c r="E533" s="6"/>
      <c r="F533" s="6"/>
    </row>
    <row r="534" customFormat="false" ht="15" hidden="false" customHeight="false" outlineLevel="0" collapsed="false">
      <c r="A534" s="5" t="s">
        <v>657</v>
      </c>
      <c r="B534" s="5" t="s">
        <v>38</v>
      </c>
      <c r="C534" s="6" t="n">
        <v>6</v>
      </c>
      <c r="D534" s="6" t="n">
        <v>2</v>
      </c>
      <c r="E534" s="6"/>
      <c r="F534" s="6"/>
    </row>
    <row r="535" customFormat="false" ht="15" hidden="false" customHeight="false" outlineLevel="0" collapsed="false">
      <c r="A535" s="5" t="s">
        <v>658</v>
      </c>
      <c r="B535" s="5" t="s">
        <v>38</v>
      </c>
      <c r="C535" s="6" t="n">
        <v>12</v>
      </c>
      <c r="D535" s="6" t="n">
        <v>12</v>
      </c>
      <c r="E535" s="6"/>
      <c r="F535" s="6"/>
    </row>
    <row r="536" customFormat="false" ht="15" hidden="false" customHeight="false" outlineLevel="0" collapsed="false">
      <c r="A536" s="5" t="s">
        <v>659</v>
      </c>
      <c r="B536" s="5" t="s">
        <v>38</v>
      </c>
      <c r="C536" s="6" t="n">
        <v>12</v>
      </c>
      <c r="D536" s="6" t="n">
        <v>4</v>
      </c>
      <c r="E536" s="6"/>
      <c r="F536" s="6"/>
    </row>
    <row r="537" customFormat="false" ht="15" hidden="false" customHeight="false" outlineLevel="0" collapsed="false">
      <c r="A537" s="5" t="s">
        <v>660</v>
      </c>
      <c r="B537" s="5" t="s">
        <v>38</v>
      </c>
      <c r="C537" s="6" t="n">
        <v>13</v>
      </c>
      <c r="D537" s="6" t="n">
        <v>9</v>
      </c>
      <c r="E537" s="6"/>
      <c r="F537" s="6"/>
    </row>
    <row r="538" customFormat="false" ht="15" hidden="false" customHeight="false" outlineLevel="0" collapsed="false">
      <c r="A538" s="5" t="s">
        <v>661</v>
      </c>
      <c r="B538" s="5" t="s">
        <v>38</v>
      </c>
      <c r="C538" s="6" t="n">
        <v>12</v>
      </c>
      <c r="D538" s="6" t="n">
        <v>12</v>
      </c>
      <c r="E538" s="6"/>
      <c r="F538" s="6"/>
    </row>
    <row r="539" customFormat="false" ht="15" hidden="false" customHeight="false" outlineLevel="0" collapsed="false">
      <c r="A539" s="5" t="s">
        <v>662</v>
      </c>
      <c r="B539" s="5" t="s">
        <v>38</v>
      </c>
      <c r="C539" s="6" t="n">
        <v>6</v>
      </c>
      <c r="D539" s="6" t="n">
        <v>3</v>
      </c>
      <c r="E539" s="6"/>
      <c r="F539" s="6"/>
    </row>
    <row r="540" customFormat="false" ht="15" hidden="false" customHeight="false" outlineLevel="0" collapsed="false">
      <c r="A540" s="5" t="s">
        <v>663</v>
      </c>
      <c r="B540" s="5" t="s">
        <v>38</v>
      </c>
      <c r="C540" s="6" t="n">
        <v>52</v>
      </c>
      <c r="D540" s="6" t="n">
        <v>0</v>
      </c>
      <c r="E540" s="6"/>
      <c r="F540" s="6"/>
    </row>
    <row r="541" customFormat="false" ht="15" hidden="false" customHeight="false" outlineLevel="0" collapsed="false">
      <c r="A541" s="5" t="s">
        <v>664</v>
      </c>
      <c r="B541" s="5" t="s">
        <v>38</v>
      </c>
      <c r="C541" s="6" t="n">
        <v>12</v>
      </c>
      <c r="D541" s="6" t="n">
        <v>12</v>
      </c>
      <c r="E541" s="6"/>
      <c r="F541" s="6"/>
    </row>
    <row r="542" customFormat="false" ht="15" hidden="false" customHeight="false" outlineLevel="0" collapsed="false">
      <c r="A542" s="5" t="s">
        <v>665</v>
      </c>
      <c r="B542" s="5" t="s">
        <v>38</v>
      </c>
      <c r="C542" s="6" t="n">
        <v>12</v>
      </c>
      <c r="D542" s="6" t="n">
        <v>24</v>
      </c>
      <c r="E542" s="6"/>
      <c r="F542" s="6"/>
    </row>
    <row r="543" customFormat="false" ht="15" hidden="false" customHeight="false" outlineLevel="0" collapsed="false">
      <c r="A543" s="5" t="s">
        <v>666</v>
      </c>
      <c r="B543" s="5" t="s">
        <v>38</v>
      </c>
      <c r="C543" s="6" t="n">
        <v>12</v>
      </c>
      <c r="D543" s="6" t="n">
        <v>12</v>
      </c>
      <c r="E543" s="6"/>
      <c r="F543" s="6"/>
    </row>
    <row r="544" customFormat="false" ht="15" hidden="false" customHeight="false" outlineLevel="0" collapsed="false">
      <c r="A544" s="5" t="s">
        <v>667</v>
      </c>
      <c r="B544" s="5" t="s">
        <v>38</v>
      </c>
      <c r="C544" s="6" t="n">
        <v>12</v>
      </c>
      <c r="D544" s="6" t="n">
        <v>0</v>
      </c>
      <c r="E544" s="6"/>
      <c r="F544" s="6"/>
    </row>
    <row r="545" customFormat="false" ht="15" hidden="false" customHeight="false" outlineLevel="0" collapsed="false">
      <c r="A545" s="5" t="s">
        <v>668</v>
      </c>
      <c r="B545" s="5" t="s">
        <v>38</v>
      </c>
      <c r="C545" s="6" t="n">
        <v>12</v>
      </c>
      <c r="D545" s="6" t="n">
        <v>12</v>
      </c>
      <c r="E545" s="6"/>
      <c r="F545" s="6"/>
    </row>
    <row r="546" customFormat="false" ht="15" hidden="false" customHeight="false" outlineLevel="0" collapsed="false">
      <c r="A546" s="5" t="s">
        <v>669</v>
      </c>
      <c r="B546" s="5" t="s">
        <v>38</v>
      </c>
      <c r="C546" s="6" t="n">
        <v>6</v>
      </c>
      <c r="D546" s="6" t="n">
        <v>6</v>
      </c>
      <c r="E546" s="6"/>
      <c r="F546" s="6"/>
    </row>
    <row r="547" customFormat="false" ht="15" hidden="false" customHeight="false" outlineLevel="0" collapsed="false">
      <c r="A547" s="5" t="s">
        <v>670</v>
      </c>
      <c r="B547" s="5" t="s">
        <v>38</v>
      </c>
      <c r="C547" s="6" t="n">
        <v>4</v>
      </c>
      <c r="D547" s="6"/>
      <c r="E547" s="6" t="n">
        <v>0</v>
      </c>
      <c r="F547" s="6"/>
    </row>
    <row r="548" customFormat="false" ht="15" hidden="false" customHeight="false" outlineLevel="0" collapsed="false">
      <c r="A548" s="5" t="s">
        <v>671</v>
      </c>
      <c r="B548" s="5" t="s">
        <v>38</v>
      </c>
      <c r="C548" s="6" t="n">
        <v>4</v>
      </c>
      <c r="D548" s="6" t="n">
        <v>4</v>
      </c>
      <c r="E548" s="6"/>
      <c r="F548" s="6"/>
    </row>
    <row r="549" customFormat="false" ht="15" hidden="false" customHeight="false" outlineLevel="0" collapsed="false">
      <c r="A549" s="5" t="s">
        <v>672</v>
      </c>
      <c r="B549" s="5" t="s">
        <v>38</v>
      </c>
      <c r="C549" s="6" t="n">
        <v>6</v>
      </c>
      <c r="D549" s="6" t="n">
        <v>6</v>
      </c>
      <c r="E549" s="6"/>
      <c r="F549" s="6"/>
    </row>
    <row r="550" customFormat="false" ht="15" hidden="false" customHeight="false" outlineLevel="0" collapsed="false">
      <c r="A550" s="5" t="s">
        <v>673</v>
      </c>
      <c r="B550" s="5" t="s">
        <v>38</v>
      </c>
      <c r="C550" s="6" t="n">
        <v>4</v>
      </c>
      <c r="D550" s="6" t="n">
        <v>0</v>
      </c>
      <c r="E550" s="6"/>
      <c r="F550" s="6"/>
    </row>
    <row r="551" customFormat="false" ht="15" hidden="false" customHeight="false" outlineLevel="0" collapsed="false">
      <c r="A551" s="5" t="s">
        <v>674</v>
      </c>
      <c r="B551" s="5" t="s">
        <v>151</v>
      </c>
      <c r="C551" s="6" t="n">
        <v>2</v>
      </c>
      <c r="D551" s="6" t="n">
        <v>4</v>
      </c>
      <c r="E551" s="6"/>
      <c r="F551" s="6"/>
    </row>
    <row r="552" customFormat="false" ht="15" hidden="false" customHeight="false" outlineLevel="0" collapsed="false">
      <c r="A552" s="5" t="s">
        <v>675</v>
      </c>
      <c r="B552" s="5" t="s">
        <v>151</v>
      </c>
      <c r="C552" s="6" t="n">
        <v>10</v>
      </c>
      <c r="D552" s="6" t="n">
        <v>12</v>
      </c>
      <c r="E552" s="6"/>
      <c r="F552" s="6"/>
    </row>
    <row r="553" customFormat="false" ht="15" hidden="false" customHeight="false" outlineLevel="0" collapsed="false">
      <c r="A553" s="5" t="s">
        <v>676</v>
      </c>
      <c r="B553" s="5" t="s">
        <v>151</v>
      </c>
      <c r="C553" s="6" t="n">
        <v>12</v>
      </c>
      <c r="D553" s="6" t="n">
        <v>0</v>
      </c>
      <c r="E553" s="6"/>
      <c r="F553" s="6"/>
    </row>
    <row r="554" customFormat="false" ht="15" hidden="false" customHeight="false" outlineLevel="0" collapsed="false">
      <c r="A554" s="5" t="s">
        <v>677</v>
      </c>
      <c r="B554" s="5" t="s">
        <v>151</v>
      </c>
      <c r="C554" s="6" t="n">
        <v>32</v>
      </c>
      <c r="D554" s="6" t="n">
        <v>46</v>
      </c>
      <c r="E554" s="6"/>
      <c r="F554" s="6"/>
    </row>
    <row r="555" customFormat="false" ht="15" hidden="false" customHeight="false" outlineLevel="0" collapsed="false">
      <c r="A555" s="5" t="s">
        <v>678</v>
      </c>
      <c r="B555" s="5" t="s">
        <v>151</v>
      </c>
      <c r="C555" s="6" t="n">
        <v>6</v>
      </c>
      <c r="D555" s="6" t="n">
        <v>0</v>
      </c>
      <c r="E555" s="6"/>
      <c r="F555" s="6"/>
    </row>
    <row r="556" customFormat="false" ht="15" hidden="false" customHeight="false" outlineLevel="0" collapsed="false">
      <c r="A556" s="5" t="s">
        <v>679</v>
      </c>
      <c r="B556" s="5" t="s">
        <v>151</v>
      </c>
      <c r="C556" s="6" t="n">
        <v>6</v>
      </c>
      <c r="D556" s="6" t="n">
        <v>0</v>
      </c>
      <c r="E556" s="6"/>
      <c r="F556" s="6"/>
    </row>
    <row r="557" customFormat="false" ht="15" hidden="false" customHeight="false" outlineLevel="0" collapsed="false">
      <c r="A557" s="5" t="s">
        <v>680</v>
      </c>
      <c r="B557" s="5" t="s">
        <v>151</v>
      </c>
      <c r="C557" s="6" t="n">
        <v>9</v>
      </c>
      <c r="D557" s="6" t="n">
        <v>6</v>
      </c>
      <c r="E557" s="6"/>
      <c r="F557" s="6"/>
    </row>
    <row r="558" customFormat="false" ht="15" hidden="false" customHeight="false" outlineLevel="0" collapsed="false">
      <c r="A558" s="5" t="s">
        <v>681</v>
      </c>
      <c r="B558" s="5" t="s">
        <v>151</v>
      </c>
      <c r="C558" s="6" t="n">
        <v>8</v>
      </c>
      <c r="D558" s="6" t="n">
        <v>8</v>
      </c>
      <c r="E558" s="6"/>
      <c r="F558" s="6"/>
    </row>
    <row r="559" customFormat="false" ht="15" hidden="false" customHeight="false" outlineLevel="0" collapsed="false">
      <c r="A559" s="5" t="s">
        <v>682</v>
      </c>
      <c r="B559" s="5" t="s">
        <v>151</v>
      </c>
      <c r="C559" s="6" t="n">
        <v>12</v>
      </c>
      <c r="D559" s="6" t="n">
        <v>0</v>
      </c>
      <c r="E559" s="6"/>
      <c r="F559" s="6"/>
    </row>
    <row r="560" customFormat="false" ht="15" hidden="false" customHeight="false" outlineLevel="0" collapsed="false">
      <c r="A560" s="5" t="s">
        <v>683</v>
      </c>
      <c r="B560" s="5" t="s">
        <v>151</v>
      </c>
      <c r="C560" s="6" t="n">
        <v>12</v>
      </c>
      <c r="D560" s="6" t="n">
        <v>4</v>
      </c>
      <c r="E560" s="6"/>
      <c r="F560" s="6"/>
    </row>
    <row r="561" customFormat="false" ht="15" hidden="false" customHeight="false" outlineLevel="0" collapsed="false">
      <c r="A561" s="5" t="s">
        <v>684</v>
      </c>
      <c r="B561" s="5" t="s">
        <v>685</v>
      </c>
      <c r="C561" s="6" t="n">
        <v>12</v>
      </c>
      <c r="D561" s="6" t="n">
        <v>12</v>
      </c>
      <c r="E561" s="6"/>
      <c r="F561" s="6"/>
    </row>
    <row r="562" customFormat="false" ht="15" hidden="false" customHeight="false" outlineLevel="0" collapsed="false">
      <c r="A562" s="5" t="s">
        <v>686</v>
      </c>
      <c r="B562" s="5" t="s">
        <v>685</v>
      </c>
      <c r="C562" s="6" t="n">
        <v>16</v>
      </c>
      <c r="D562" s="6" t="n">
        <v>4</v>
      </c>
      <c r="E562" s="6"/>
      <c r="F562" s="6"/>
    </row>
    <row r="563" customFormat="false" ht="15" hidden="false" customHeight="false" outlineLevel="0" collapsed="false">
      <c r="A563" s="5" t="s">
        <v>687</v>
      </c>
      <c r="B563" s="5" t="s">
        <v>685</v>
      </c>
      <c r="C563" s="6" t="n">
        <v>8</v>
      </c>
      <c r="D563" s="6" t="n">
        <v>52</v>
      </c>
      <c r="E563" s="6"/>
      <c r="F563" s="6"/>
    </row>
    <row r="564" customFormat="false" ht="15" hidden="false" customHeight="false" outlineLevel="0" collapsed="false">
      <c r="A564" s="5" t="s">
        <v>688</v>
      </c>
      <c r="B564" s="5" t="s">
        <v>685</v>
      </c>
      <c r="C564" s="6" t="n">
        <v>12</v>
      </c>
      <c r="D564" s="6" t="n">
        <v>12</v>
      </c>
      <c r="E564" s="6"/>
      <c r="F564" s="6"/>
    </row>
    <row r="565" customFormat="false" ht="15" hidden="false" customHeight="false" outlineLevel="0" collapsed="false">
      <c r="A565" s="5" t="s">
        <v>689</v>
      </c>
      <c r="B565" s="5" t="s">
        <v>685</v>
      </c>
      <c r="C565" s="6" t="n">
        <v>4</v>
      </c>
      <c r="D565" s="6" t="n">
        <v>36</v>
      </c>
      <c r="E565" s="6"/>
      <c r="F565" s="6"/>
    </row>
    <row r="566" customFormat="false" ht="15" hidden="false" customHeight="false" outlineLevel="0" collapsed="false">
      <c r="A566" s="5" t="s">
        <v>690</v>
      </c>
      <c r="B566" s="5" t="s">
        <v>685</v>
      </c>
      <c r="C566" s="6" t="n">
        <v>2</v>
      </c>
      <c r="D566" s="6" t="n">
        <v>12</v>
      </c>
      <c r="E566" s="6"/>
      <c r="F566" s="6"/>
    </row>
    <row r="567" customFormat="false" ht="15" hidden="false" customHeight="false" outlineLevel="0" collapsed="false">
      <c r="A567" s="5" t="s">
        <v>691</v>
      </c>
      <c r="B567" s="5" t="s">
        <v>685</v>
      </c>
      <c r="C567" s="6" t="n">
        <v>8</v>
      </c>
      <c r="D567" s="6" t="n">
        <v>8</v>
      </c>
      <c r="E567" s="6"/>
      <c r="F567" s="6"/>
    </row>
    <row r="568" customFormat="false" ht="15" hidden="false" customHeight="false" outlineLevel="0" collapsed="false">
      <c r="A568" s="5" t="s">
        <v>692</v>
      </c>
      <c r="B568" s="5" t="s">
        <v>693</v>
      </c>
      <c r="C568" s="6" t="n">
        <v>6</v>
      </c>
      <c r="D568" s="6" t="n">
        <v>0</v>
      </c>
      <c r="E568" s="6"/>
      <c r="F568" s="6"/>
    </row>
    <row r="569" customFormat="false" ht="15" hidden="false" customHeight="false" outlineLevel="0" collapsed="false">
      <c r="A569" s="5" t="s">
        <v>694</v>
      </c>
      <c r="B569" s="5" t="s">
        <v>693</v>
      </c>
      <c r="C569" s="6" t="n">
        <v>26</v>
      </c>
      <c r="D569" s="6" t="n">
        <v>0</v>
      </c>
      <c r="E569" s="6"/>
      <c r="F569" s="6"/>
    </row>
    <row r="570" customFormat="false" ht="15" hidden="false" customHeight="false" outlineLevel="0" collapsed="false">
      <c r="A570" s="5" t="s">
        <v>695</v>
      </c>
      <c r="B570" s="5" t="s">
        <v>693</v>
      </c>
      <c r="C570" s="6" t="n">
        <v>8.5</v>
      </c>
      <c r="D570" s="6" t="n">
        <v>8</v>
      </c>
      <c r="E570" s="6"/>
      <c r="F570" s="6"/>
    </row>
    <row r="571" customFormat="false" ht="15" hidden="false" customHeight="false" outlineLevel="0" collapsed="false">
      <c r="A571" s="5" t="s">
        <v>696</v>
      </c>
      <c r="B571" s="5" t="s">
        <v>693</v>
      </c>
      <c r="C571" s="6" t="n">
        <v>3</v>
      </c>
      <c r="D571" s="6" t="n">
        <v>12</v>
      </c>
      <c r="E571" s="6"/>
      <c r="F571" s="6"/>
    </row>
    <row r="572" customFormat="false" ht="15" hidden="false" customHeight="false" outlineLevel="0" collapsed="false">
      <c r="A572" s="5" t="s">
        <v>697</v>
      </c>
      <c r="B572" s="5" t="s">
        <v>693</v>
      </c>
      <c r="C572" s="6" t="n">
        <v>26</v>
      </c>
      <c r="D572" s="6" t="n">
        <v>0</v>
      </c>
      <c r="E572" s="6"/>
      <c r="F572" s="6"/>
    </row>
    <row r="573" customFormat="false" ht="15" hidden="false" customHeight="false" outlineLevel="0" collapsed="false">
      <c r="A573" s="5" t="s">
        <v>698</v>
      </c>
      <c r="B573" s="5" t="s">
        <v>693</v>
      </c>
      <c r="C573" s="6" t="n">
        <v>8</v>
      </c>
      <c r="D573" s="6" t="n">
        <v>0</v>
      </c>
      <c r="E573" s="6"/>
      <c r="F573" s="6"/>
    </row>
    <row r="574" customFormat="false" ht="15" hidden="false" customHeight="false" outlineLevel="0" collapsed="false">
      <c r="A574" s="5" t="s">
        <v>699</v>
      </c>
      <c r="B574" s="5" t="s">
        <v>700</v>
      </c>
      <c r="C574" s="6" t="n">
        <v>6</v>
      </c>
      <c r="D574" s="6" t="n">
        <v>0</v>
      </c>
      <c r="E574" s="6"/>
      <c r="F574" s="6"/>
    </row>
    <row r="575" customFormat="false" ht="15" hidden="false" customHeight="false" outlineLevel="0" collapsed="false">
      <c r="A575" s="5" t="s">
        <v>701</v>
      </c>
      <c r="B575" s="5" t="s">
        <v>702</v>
      </c>
      <c r="C575" s="6" t="n">
        <v>4</v>
      </c>
      <c r="D575" s="6" t="n">
        <v>12</v>
      </c>
      <c r="E575" s="6"/>
      <c r="F575" s="6"/>
    </row>
    <row r="576" customFormat="false" ht="15" hidden="false" customHeight="false" outlineLevel="0" collapsed="false">
      <c r="A576" s="5" t="s">
        <v>703</v>
      </c>
      <c r="B576" s="5" t="s">
        <v>704</v>
      </c>
      <c r="C576" s="6" t="n">
        <v>42</v>
      </c>
      <c r="D576" s="6" t="n">
        <v>14</v>
      </c>
      <c r="E576" s="6"/>
      <c r="F576" s="6"/>
    </row>
    <row r="577" customFormat="false" ht="15" hidden="false" customHeight="false" outlineLevel="0" collapsed="false">
      <c r="A577" s="5" t="s">
        <v>705</v>
      </c>
      <c r="B577" s="5" t="s">
        <v>704</v>
      </c>
      <c r="C577" s="6" t="n">
        <v>6</v>
      </c>
      <c r="D577" s="6" t="n">
        <v>12</v>
      </c>
      <c r="E577" s="6"/>
      <c r="F577" s="6"/>
    </row>
    <row r="578" customFormat="false" ht="15" hidden="false" customHeight="false" outlineLevel="0" collapsed="false">
      <c r="A578" s="5" t="s">
        <v>706</v>
      </c>
      <c r="B578" s="5" t="s">
        <v>704</v>
      </c>
      <c r="C578" s="6" t="n">
        <v>12</v>
      </c>
      <c r="D578" s="6"/>
      <c r="E578" s="6" t="n">
        <v>12</v>
      </c>
      <c r="F578" s="6"/>
    </row>
    <row r="579" customFormat="false" ht="15" hidden="false" customHeight="false" outlineLevel="0" collapsed="false">
      <c r="A579" s="5" t="s">
        <v>707</v>
      </c>
      <c r="B579" s="5" t="s">
        <v>704</v>
      </c>
      <c r="C579" s="6" t="n">
        <v>9</v>
      </c>
      <c r="D579" s="6" t="n">
        <v>3</v>
      </c>
      <c r="E579" s="6"/>
      <c r="F579" s="6"/>
    </row>
    <row r="580" customFormat="false" ht="15" hidden="false" customHeight="false" outlineLevel="0" collapsed="false">
      <c r="A580" s="5" t="s">
        <v>708</v>
      </c>
      <c r="B580" s="5" t="s">
        <v>704</v>
      </c>
      <c r="C580" s="6" t="n">
        <v>12</v>
      </c>
      <c r="D580" s="6" t="n">
        <v>0</v>
      </c>
      <c r="E580" s="6"/>
      <c r="F580" s="6"/>
    </row>
    <row r="581" customFormat="false" ht="15" hidden="false" customHeight="false" outlineLevel="0" collapsed="false">
      <c r="A581" s="5" t="s">
        <v>709</v>
      </c>
      <c r="B581" s="5" t="s">
        <v>704</v>
      </c>
      <c r="C581" s="6" t="n">
        <v>6</v>
      </c>
      <c r="D581" s="6" t="n">
        <v>6</v>
      </c>
      <c r="E581" s="6"/>
      <c r="F581" s="6"/>
    </row>
    <row r="582" customFormat="false" ht="15" hidden="false" customHeight="false" outlineLevel="0" collapsed="false">
      <c r="A582" s="5" t="s">
        <v>710</v>
      </c>
      <c r="B582" s="5" t="s">
        <v>704</v>
      </c>
      <c r="C582" s="6" t="n">
        <v>6</v>
      </c>
      <c r="D582" s="6" t="n">
        <v>0</v>
      </c>
      <c r="E582" s="6"/>
      <c r="F582" s="6"/>
    </row>
    <row r="583" customFormat="false" ht="15" hidden="false" customHeight="false" outlineLevel="0" collapsed="false">
      <c r="A583" s="5" t="s">
        <v>711</v>
      </c>
      <c r="B583" s="5" t="s">
        <v>704</v>
      </c>
      <c r="C583" s="6" t="n">
        <v>6</v>
      </c>
      <c r="D583" s="6" t="n">
        <v>0</v>
      </c>
      <c r="E583" s="6"/>
      <c r="F583" s="6"/>
    </row>
    <row r="584" customFormat="false" ht="15" hidden="false" customHeight="false" outlineLevel="0" collapsed="false">
      <c r="A584" s="5" t="s">
        <v>712</v>
      </c>
      <c r="B584" s="5" t="s">
        <v>704</v>
      </c>
      <c r="C584" s="6" t="n">
        <v>12</v>
      </c>
      <c r="D584" s="6" t="n">
        <v>0</v>
      </c>
      <c r="E584" s="6"/>
      <c r="F584" s="6"/>
    </row>
    <row r="585" customFormat="false" ht="15" hidden="false" customHeight="false" outlineLevel="0" collapsed="false">
      <c r="A585" s="5" t="s">
        <v>713</v>
      </c>
      <c r="B585" s="5" t="s">
        <v>714</v>
      </c>
      <c r="C585" s="6" t="n">
        <v>16</v>
      </c>
      <c r="D585" s="6" t="n">
        <v>0</v>
      </c>
      <c r="E585" s="6"/>
      <c r="F585" s="6"/>
    </row>
    <row r="586" customFormat="false" ht="15" hidden="false" customHeight="false" outlineLevel="0" collapsed="false">
      <c r="A586" s="5" t="s">
        <v>715</v>
      </c>
      <c r="B586" s="5" t="s">
        <v>40</v>
      </c>
      <c r="C586" s="6" t="n">
        <v>2</v>
      </c>
      <c r="D586" s="6" t="n">
        <v>10</v>
      </c>
      <c r="E586" s="6"/>
      <c r="F586" s="6"/>
    </row>
    <row r="587" customFormat="false" ht="15" hidden="false" customHeight="false" outlineLevel="0" collapsed="false">
      <c r="A587" s="5" t="s">
        <v>716</v>
      </c>
      <c r="B587" s="5" t="s">
        <v>40</v>
      </c>
      <c r="C587" s="6" t="n">
        <v>12</v>
      </c>
      <c r="D587" s="6" t="n">
        <v>12</v>
      </c>
      <c r="E587" s="6"/>
      <c r="F587" s="6"/>
    </row>
    <row r="588" customFormat="false" ht="15" hidden="false" customHeight="false" outlineLevel="0" collapsed="false">
      <c r="A588" s="5" t="s">
        <v>717</v>
      </c>
      <c r="B588" s="5" t="s">
        <v>40</v>
      </c>
      <c r="C588" s="6" t="n">
        <v>12</v>
      </c>
      <c r="D588" s="6" t="n">
        <v>0</v>
      </c>
      <c r="E588" s="6"/>
      <c r="F588" s="6"/>
    </row>
    <row r="589" customFormat="false" ht="15" hidden="false" customHeight="false" outlineLevel="0" collapsed="false">
      <c r="A589" s="5" t="s">
        <v>718</v>
      </c>
      <c r="B589" s="5" t="s">
        <v>40</v>
      </c>
      <c r="C589" s="6" t="n">
        <v>15</v>
      </c>
      <c r="D589" s="6" t="n">
        <v>0</v>
      </c>
      <c r="E589" s="6"/>
      <c r="F589" s="6"/>
    </row>
    <row r="590" customFormat="false" ht="15" hidden="false" customHeight="false" outlineLevel="0" collapsed="false">
      <c r="A590" s="5" t="s">
        <v>719</v>
      </c>
      <c r="B590" s="5" t="s">
        <v>40</v>
      </c>
      <c r="C590" s="6" t="n">
        <v>8</v>
      </c>
      <c r="D590" s="6" t="n">
        <v>52</v>
      </c>
      <c r="E590" s="6"/>
      <c r="F590" s="6"/>
    </row>
    <row r="591" customFormat="false" ht="15" hidden="false" customHeight="false" outlineLevel="0" collapsed="false">
      <c r="A591" s="5" t="s">
        <v>720</v>
      </c>
      <c r="B591" s="5" t="s">
        <v>40</v>
      </c>
      <c r="C591" s="6" t="n">
        <v>12</v>
      </c>
      <c r="D591" s="6" t="n">
        <v>2</v>
      </c>
      <c r="E591" s="6"/>
      <c r="F591" s="6"/>
    </row>
    <row r="592" customFormat="false" ht="15" hidden="false" customHeight="false" outlineLevel="0" collapsed="false">
      <c r="A592" s="5" t="s">
        <v>721</v>
      </c>
      <c r="B592" s="5" t="s">
        <v>40</v>
      </c>
      <c r="C592" s="6" t="n">
        <v>8</v>
      </c>
      <c r="D592" s="6" t="n">
        <v>12</v>
      </c>
      <c r="E592" s="6"/>
      <c r="F592" s="6"/>
    </row>
    <row r="593" customFormat="false" ht="15" hidden="false" customHeight="false" outlineLevel="0" collapsed="false">
      <c r="A593" s="5" t="s">
        <v>722</v>
      </c>
      <c r="B593" s="5" t="s">
        <v>40</v>
      </c>
      <c r="C593" s="6" t="n">
        <v>8</v>
      </c>
      <c r="D593" s="6" t="n">
        <v>4</v>
      </c>
      <c r="E593" s="6"/>
      <c r="F593" s="6"/>
    </row>
    <row r="594" customFormat="false" ht="15" hidden="false" customHeight="false" outlineLevel="0" collapsed="false">
      <c r="A594" s="5" t="s">
        <v>723</v>
      </c>
      <c r="B594" s="5" t="s">
        <v>40</v>
      </c>
      <c r="C594" s="6" t="n">
        <v>12</v>
      </c>
      <c r="D594" s="6" t="n">
        <v>0</v>
      </c>
      <c r="E594" s="6"/>
      <c r="F594" s="6"/>
    </row>
    <row r="595" customFormat="false" ht="15" hidden="false" customHeight="false" outlineLevel="0" collapsed="false">
      <c r="A595" s="5" t="s">
        <v>724</v>
      </c>
      <c r="B595" s="5" t="s">
        <v>40</v>
      </c>
      <c r="C595" s="6" t="n">
        <v>6</v>
      </c>
      <c r="D595" s="6" t="n">
        <v>6</v>
      </c>
      <c r="E595" s="6"/>
      <c r="F595" s="6"/>
    </row>
    <row r="596" customFormat="false" ht="15" hidden="false" customHeight="false" outlineLevel="0" collapsed="false">
      <c r="A596" s="5" t="s">
        <v>725</v>
      </c>
      <c r="B596" s="5" t="s">
        <v>40</v>
      </c>
      <c r="C596" s="6" t="n">
        <v>11</v>
      </c>
      <c r="D596" s="6" t="n">
        <v>0</v>
      </c>
      <c r="E596" s="6"/>
      <c r="F596" s="6"/>
    </row>
    <row r="597" customFormat="false" ht="15" hidden="false" customHeight="false" outlineLevel="0" collapsed="false">
      <c r="A597" s="5" t="s">
        <v>726</v>
      </c>
      <c r="B597" s="5" t="s">
        <v>727</v>
      </c>
      <c r="C597" s="6" t="n">
        <v>12</v>
      </c>
      <c r="D597" s="6" t="n">
        <v>0</v>
      </c>
      <c r="E597" s="6"/>
      <c r="F597" s="6"/>
    </row>
    <row r="598" customFormat="false" ht="15" hidden="false" customHeight="false" outlineLevel="0" collapsed="false">
      <c r="A598" s="5" t="s">
        <v>728</v>
      </c>
      <c r="B598" s="5" t="s">
        <v>729</v>
      </c>
      <c r="C598" s="6" t="n">
        <v>16</v>
      </c>
      <c r="D598" s="6" t="n">
        <v>8</v>
      </c>
      <c r="E598" s="6"/>
      <c r="F598" s="6"/>
    </row>
    <row r="599" customFormat="false" ht="15" hidden="false" customHeight="false" outlineLevel="0" collapsed="false">
      <c r="A599" s="5" t="s">
        <v>730</v>
      </c>
      <c r="B599" s="5" t="s">
        <v>729</v>
      </c>
      <c r="C599" s="6" t="n">
        <v>12</v>
      </c>
      <c r="D599" s="6" t="n">
        <v>0</v>
      </c>
      <c r="E599" s="6"/>
      <c r="F599" s="6"/>
    </row>
    <row r="600" customFormat="false" ht="15" hidden="false" customHeight="false" outlineLevel="0" collapsed="false">
      <c r="A600" s="5" t="s">
        <v>731</v>
      </c>
      <c r="B600" s="5" t="s">
        <v>43</v>
      </c>
      <c r="C600" s="6" t="n">
        <v>12</v>
      </c>
      <c r="D600" s="6" t="n">
        <v>2</v>
      </c>
      <c r="E600" s="6"/>
      <c r="F600" s="6"/>
    </row>
    <row r="601" customFormat="false" ht="15" hidden="false" customHeight="false" outlineLevel="0" collapsed="false">
      <c r="A601" s="5" t="s">
        <v>732</v>
      </c>
      <c r="B601" s="5" t="s">
        <v>43</v>
      </c>
      <c r="C601" s="6" t="n">
        <v>12</v>
      </c>
      <c r="D601" s="6" t="n">
        <v>0</v>
      </c>
      <c r="E601" s="6"/>
      <c r="F601" s="6"/>
    </row>
    <row r="602" customFormat="false" ht="15" hidden="false" customHeight="false" outlineLevel="0" collapsed="false">
      <c r="A602" s="5" t="s">
        <v>733</v>
      </c>
      <c r="B602" s="5" t="s">
        <v>43</v>
      </c>
      <c r="C602" s="6" t="n">
        <v>6</v>
      </c>
      <c r="D602" s="6" t="n">
        <v>0</v>
      </c>
      <c r="E602" s="6"/>
      <c r="F602" s="6"/>
    </row>
    <row r="603" customFormat="false" ht="15" hidden="false" customHeight="false" outlineLevel="0" collapsed="false">
      <c r="A603" s="5" t="s">
        <v>734</v>
      </c>
      <c r="B603" s="5" t="s">
        <v>43</v>
      </c>
      <c r="C603" s="6" t="n">
        <v>0</v>
      </c>
      <c r="D603" s="6" t="n">
        <v>12</v>
      </c>
      <c r="E603" s="6"/>
      <c r="F603" s="6"/>
    </row>
    <row r="604" customFormat="false" ht="15" hidden="false" customHeight="false" outlineLevel="0" collapsed="false">
      <c r="A604" s="5" t="s">
        <v>735</v>
      </c>
      <c r="B604" s="5" t="s">
        <v>43</v>
      </c>
      <c r="C604" s="6" t="n">
        <v>16</v>
      </c>
      <c r="D604" s="6" t="n">
        <v>8</v>
      </c>
      <c r="E604" s="6"/>
      <c r="F604" s="6"/>
    </row>
    <row r="605" customFormat="false" ht="15" hidden="false" customHeight="false" outlineLevel="0" collapsed="false">
      <c r="A605" s="5" t="s">
        <v>736</v>
      </c>
      <c r="B605" s="5" t="s">
        <v>43</v>
      </c>
      <c r="C605" s="6" t="n">
        <v>11</v>
      </c>
      <c r="D605" s="6" t="n">
        <v>29</v>
      </c>
      <c r="E605" s="6"/>
      <c r="F605" s="6"/>
    </row>
    <row r="606" customFormat="false" ht="15" hidden="false" customHeight="false" outlineLevel="0" collapsed="false">
      <c r="A606" s="5" t="s">
        <v>737</v>
      </c>
      <c r="B606" s="5" t="s">
        <v>43</v>
      </c>
      <c r="C606" s="6" t="n">
        <v>8</v>
      </c>
      <c r="D606" s="6" t="n">
        <v>0</v>
      </c>
      <c r="E606" s="6"/>
      <c r="F606" s="6"/>
    </row>
    <row r="607" customFormat="false" ht="15" hidden="false" customHeight="false" outlineLevel="0" collapsed="false">
      <c r="A607" s="5" t="s">
        <v>738</v>
      </c>
      <c r="B607" s="5" t="s">
        <v>43</v>
      </c>
      <c r="C607" s="6" t="n">
        <v>12</v>
      </c>
      <c r="D607" s="6" t="n">
        <v>0</v>
      </c>
      <c r="E607" s="6"/>
      <c r="F607" s="6"/>
    </row>
    <row r="608" customFormat="false" ht="15" hidden="false" customHeight="false" outlineLevel="0" collapsed="false">
      <c r="A608" s="5" t="s">
        <v>739</v>
      </c>
      <c r="B608" s="5" t="s">
        <v>43</v>
      </c>
      <c r="C608" s="6" t="n">
        <v>6</v>
      </c>
      <c r="D608" s="6" t="n">
        <v>12</v>
      </c>
      <c r="E608" s="6"/>
      <c r="F608" s="6"/>
    </row>
    <row r="609" customFormat="false" ht="15" hidden="false" customHeight="false" outlineLevel="0" collapsed="false">
      <c r="A609" s="5" t="s">
        <v>740</v>
      </c>
      <c r="B609" s="5" t="s">
        <v>43</v>
      </c>
      <c r="C609" s="6" t="n">
        <v>16</v>
      </c>
      <c r="D609" s="6" t="n">
        <v>52</v>
      </c>
      <c r="E609" s="6"/>
      <c r="F609" s="6"/>
    </row>
    <row r="610" customFormat="false" ht="15" hidden="false" customHeight="false" outlineLevel="0" collapsed="false">
      <c r="A610" s="5" t="s">
        <v>741</v>
      </c>
      <c r="B610" s="5" t="s">
        <v>43</v>
      </c>
      <c r="C610" s="6" t="n">
        <v>8</v>
      </c>
      <c r="D610" s="6" t="n">
        <v>8</v>
      </c>
      <c r="E610" s="6"/>
      <c r="F610" s="6"/>
    </row>
    <row r="611" customFormat="false" ht="15" hidden="false" customHeight="false" outlineLevel="0" collapsed="false">
      <c r="A611" s="5" t="s">
        <v>742</v>
      </c>
      <c r="B611" s="5" t="s">
        <v>43</v>
      </c>
      <c r="C611" s="6" t="n">
        <v>18</v>
      </c>
      <c r="D611" s="6" t="n">
        <v>0</v>
      </c>
      <c r="E611" s="6"/>
      <c r="F611" s="6"/>
    </row>
    <row r="612" customFormat="false" ht="15" hidden="false" customHeight="false" outlineLevel="0" collapsed="false">
      <c r="A612" s="5" t="s">
        <v>743</v>
      </c>
      <c r="B612" s="5" t="s">
        <v>43</v>
      </c>
      <c r="C612" s="6" t="n">
        <v>3</v>
      </c>
      <c r="D612" s="6" t="n">
        <v>0</v>
      </c>
      <c r="E612" s="6"/>
      <c r="F612" s="6"/>
    </row>
    <row r="613" customFormat="false" ht="15" hidden="false" customHeight="false" outlineLevel="0" collapsed="false">
      <c r="A613" s="5" t="s">
        <v>744</v>
      </c>
      <c r="B613" s="5" t="s">
        <v>43</v>
      </c>
      <c r="C613" s="6" t="n">
        <v>12</v>
      </c>
      <c r="D613" s="6" t="n">
        <v>3</v>
      </c>
      <c r="E613" s="6"/>
      <c r="F613" s="6"/>
    </row>
    <row r="614" customFormat="false" ht="15" hidden="false" customHeight="false" outlineLevel="0" collapsed="false">
      <c r="A614" s="5" t="s">
        <v>745</v>
      </c>
      <c r="B614" s="5" t="s">
        <v>43</v>
      </c>
      <c r="C614" s="6" t="n">
        <v>6</v>
      </c>
      <c r="D614" s="6" t="n">
        <v>6</v>
      </c>
      <c r="E614" s="6"/>
      <c r="F614" s="6"/>
    </row>
    <row r="615" customFormat="false" ht="15" hidden="false" customHeight="false" outlineLevel="0" collapsed="false">
      <c r="A615" s="5" t="s">
        <v>746</v>
      </c>
      <c r="B615" s="5" t="s">
        <v>43</v>
      </c>
      <c r="C615" s="6" t="n">
        <v>16</v>
      </c>
      <c r="D615" s="6" t="n">
        <v>4</v>
      </c>
      <c r="E615" s="6"/>
      <c r="F615" s="6"/>
    </row>
    <row r="616" customFormat="false" ht="15" hidden="false" customHeight="false" outlineLevel="0" collapsed="false">
      <c r="A616" s="5" t="s">
        <v>747</v>
      </c>
      <c r="B616" s="5" t="s">
        <v>43</v>
      </c>
      <c r="C616" s="6" t="n">
        <v>16</v>
      </c>
      <c r="D616" s="6" t="n">
        <v>0</v>
      </c>
      <c r="E616" s="6"/>
      <c r="F616" s="6"/>
    </row>
    <row r="617" customFormat="false" ht="15" hidden="false" customHeight="false" outlineLevel="0" collapsed="false">
      <c r="A617" s="5" t="s">
        <v>748</v>
      </c>
      <c r="B617" s="5" t="s">
        <v>43</v>
      </c>
      <c r="C617" s="6" t="n">
        <v>16</v>
      </c>
      <c r="D617" s="6" t="n">
        <v>0</v>
      </c>
      <c r="E617" s="6"/>
      <c r="F617" s="6"/>
    </row>
    <row r="618" customFormat="false" ht="15" hidden="false" customHeight="false" outlineLevel="0" collapsed="false">
      <c r="A618" s="5" t="s">
        <v>749</v>
      </c>
      <c r="B618" s="5" t="s">
        <v>43</v>
      </c>
      <c r="C618" s="6" t="n">
        <v>39</v>
      </c>
      <c r="D618" s="6" t="n">
        <v>13</v>
      </c>
      <c r="E618" s="6"/>
      <c r="F618" s="6"/>
    </row>
    <row r="619" customFormat="false" ht="15" hidden="false" customHeight="false" outlineLevel="0" collapsed="false">
      <c r="A619" s="5" t="s">
        <v>750</v>
      </c>
      <c r="B619" s="5" t="s">
        <v>43</v>
      </c>
      <c r="C619" s="6" t="n">
        <v>10</v>
      </c>
      <c r="D619" s="6" t="n">
        <v>0</v>
      </c>
      <c r="E619" s="6"/>
      <c r="F619" s="6"/>
    </row>
    <row r="620" customFormat="false" ht="15" hidden="false" customHeight="false" outlineLevel="0" collapsed="false">
      <c r="A620" s="5" t="s">
        <v>751</v>
      </c>
      <c r="B620" s="5" t="s">
        <v>157</v>
      </c>
      <c r="C620" s="6" t="n">
        <v>20</v>
      </c>
      <c r="D620" s="6" t="n">
        <v>0</v>
      </c>
      <c r="E620" s="6"/>
      <c r="F620" s="6"/>
    </row>
    <row r="621" customFormat="false" ht="15" hidden="false" customHeight="false" outlineLevel="0" collapsed="false">
      <c r="A621" s="5" t="s">
        <v>752</v>
      </c>
      <c r="B621" s="5" t="s">
        <v>157</v>
      </c>
      <c r="C621" s="6" t="n">
        <v>12</v>
      </c>
      <c r="D621" s="6" t="n">
        <v>5</v>
      </c>
      <c r="E621" s="6"/>
      <c r="F621" s="6"/>
    </row>
    <row r="622" customFormat="false" ht="15" hidden="false" customHeight="false" outlineLevel="0" collapsed="false">
      <c r="A622" s="5" t="s">
        <v>753</v>
      </c>
      <c r="B622" s="5" t="s">
        <v>754</v>
      </c>
      <c r="C622" s="6" t="n">
        <v>16</v>
      </c>
      <c r="D622" s="6" t="n">
        <v>0</v>
      </c>
      <c r="E622" s="6"/>
      <c r="F622" s="6"/>
    </row>
    <row r="623" customFormat="false" ht="15" hidden="false" customHeight="false" outlineLevel="0" collapsed="false">
      <c r="A623" s="5" t="s">
        <v>755</v>
      </c>
      <c r="B623" s="5" t="s">
        <v>160</v>
      </c>
      <c r="C623" s="6" t="n">
        <v>4</v>
      </c>
      <c r="D623" s="6" t="n">
        <v>8</v>
      </c>
      <c r="E623" s="6"/>
      <c r="F623" s="6"/>
    </row>
    <row r="624" customFormat="false" ht="15" hidden="false" customHeight="false" outlineLevel="0" collapsed="false">
      <c r="A624" s="5" t="s">
        <v>756</v>
      </c>
      <c r="B624" s="5" t="s">
        <v>160</v>
      </c>
      <c r="C624" s="6" t="n">
        <v>12</v>
      </c>
      <c r="D624" s="6" t="n">
        <v>0</v>
      </c>
      <c r="E624" s="6"/>
      <c r="F624" s="6"/>
    </row>
    <row r="625" customFormat="false" ht="15" hidden="false" customHeight="false" outlineLevel="0" collapsed="false">
      <c r="A625" s="5" t="s">
        <v>757</v>
      </c>
      <c r="B625" s="5" t="s">
        <v>160</v>
      </c>
      <c r="C625" s="6" t="n">
        <v>26</v>
      </c>
      <c r="D625" s="6" t="n">
        <v>26</v>
      </c>
      <c r="E625" s="6"/>
      <c r="F625" s="6"/>
    </row>
    <row r="626" customFormat="false" ht="15" hidden="false" customHeight="false" outlineLevel="0" collapsed="false">
      <c r="A626" s="5" t="s">
        <v>758</v>
      </c>
      <c r="B626" s="5" t="s">
        <v>160</v>
      </c>
      <c r="C626" s="6" t="n">
        <v>16</v>
      </c>
      <c r="D626" s="6" t="n">
        <v>4</v>
      </c>
      <c r="E626" s="6"/>
      <c r="F626" s="6"/>
    </row>
    <row r="627" customFormat="false" ht="15" hidden="false" customHeight="false" outlineLevel="0" collapsed="false">
      <c r="A627" s="5" t="s">
        <v>759</v>
      </c>
      <c r="B627" s="5" t="s">
        <v>160</v>
      </c>
      <c r="C627" s="6" t="n">
        <v>6</v>
      </c>
      <c r="D627" s="6" t="n">
        <v>2</v>
      </c>
      <c r="E627" s="6"/>
      <c r="F627" s="6"/>
    </row>
    <row r="628" customFormat="false" ht="15" hidden="false" customHeight="false" outlineLevel="0" collapsed="false">
      <c r="A628" s="5" t="s">
        <v>760</v>
      </c>
      <c r="B628" s="5" t="s">
        <v>160</v>
      </c>
      <c r="C628" s="6" t="n">
        <v>12</v>
      </c>
      <c r="D628" s="6" t="n">
        <v>0</v>
      </c>
      <c r="E628" s="6"/>
      <c r="F628" s="6"/>
    </row>
    <row r="629" customFormat="false" ht="15" hidden="false" customHeight="false" outlineLevel="0" collapsed="false">
      <c r="A629" s="5" t="s">
        <v>761</v>
      </c>
      <c r="B629" s="5" t="s">
        <v>160</v>
      </c>
      <c r="C629" s="6" t="n">
        <v>16</v>
      </c>
      <c r="D629" s="6" t="n">
        <v>0</v>
      </c>
      <c r="E629" s="6"/>
      <c r="F629" s="6"/>
    </row>
    <row r="630" customFormat="false" ht="15" hidden="false" customHeight="false" outlineLevel="0" collapsed="false">
      <c r="A630" s="5" t="s">
        <v>762</v>
      </c>
      <c r="B630" s="5" t="s">
        <v>160</v>
      </c>
      <c r="C630" s="6" t="n">
        <v>18</v>
      </c>
      <c r="D630" s="6" t="n">
        <v>0</v>
      </c>
      <c r="E630" s="6"/>
      <c r="F630" s="6"/>
    </row>
    <row r="631" customFormat="false" ht="15" hidden="false" customHeight="false" outlineLevel="0" collapsed="false">
      <c r="A631" s="5" t="s">
        <v>763</v>
      </c>
      <c r="B631" s="5" t="s">
        <v>160</v>
      </c>
      <c r="C631" s="6" t="n">
        <v>2</v>
      </c>
      <c r="D631" s="6" t="n">
        <v>14</v>
      </c>
      <c r="E631" s="6"/>
      <c r="F631" s="6"/>
    </row>
    <row r="632" customFormat="false" ht="15" hidden="false" customHeight="false" outlineLevel="0" collapsed="false">
      <c r="A632" s="5" t="s">
        <v>764</v>
      </c>
      <c r="B632" s="5" t="s">
        <v>160</v>
      </c>
      <c r="C632" s="6" t="n">
        <v>12</v>
      </c>
      <c r="D632" s="6"/>
      <c r="E632" s="6" t="n">
        <v>4</v>
      </c>
      <c r="F632" s="6"/>
    </row>
    <row r="633" customFormat="false" ht="15" hidden="false" customHeight="false" outlineLevel="0" collapsed="false">
      <c r="A633" s="5" t="s">
        <v>765</v>
      </c>
      <c r="B633" s="5" t="s">
        <v>160</v>
      </c>
      <c r="C633" s="6" t="n">
        <v>7</v>
      </c>
      <c r="D633" s="6" t="n">
        <v>3.5</v>
      </c>
      <c r="E633" s="6"/>
      <c r="F633" s="6"/>
    </row>
    <row r="634" customFormat="false" ht="15" hidden="false" customHeight="false" outlineLevel="0" collapsed="false">
      <c r="A634" s="5" t="s">
        <v>766</v>
      </c>
      <c r="B634" s="5" t="s">
        <v>160</v>
      </c>
      <c r="C634" s="6" t="n">
        <v>20</v>
      </c>
      <c r="D634" s="6" t="n">
        <v>2</v>
      </c>
      <c r="E634" s="6"/>
      <c r="F634" s="6"/>
    </row>
    <row r="635" customFormat="false" ht="15" hidden="false" customHeight="false" outlineLevel="0" collapsed="false">
      <c r="A635" s="5" t="s">
        <v>767</v>
      </c>
      <c r="B635" s="5" t="s">
        <v>160</v>
      </c>
      <c r="C635" s="6" t="n">
        <v>12</v>
      </c>
      <c r="D635" s="6" t="n">
        <v>12</v>
      </c>
      <c r="E635" s="6"/>
      <c r="F635" s="6"/>
    </row>
    <row r="636" customFormat="false" ht="15" hidden="false" customHeight="false" outlineLevel="0" collapsed="false">
      <c r="A636" s="5" t="s">
        <v>768</v>
      </c>
      <c r="B636" s="5" t="s">
        <v>160</v>
      </c>
      <c r="C636" s="6" t="n">
        <v>16</v>
      </c>
      <c r="D636" s="6" t="n">
        <v>3</v>
      </c>
      <c r="E636" s="6"/>
      <c r="F636" s="6"/>
    </row>
    <row r="637" customFormat="false" ht="15" hidden="false" customHeight="false" outlineLevel="0" collapsed="false">
      <c r="A637" s="5" t="s">
        <v>769</v>
      </c>
      <c r="B637" s="5" t="s">
        <v>160</v>
      </c>
      <c r="C637" s="6" t="n">
        <v>15</v>
      </c>
      <c r="D637" s="6" t="n">
        <v>4</v>
      </c>
      <c r="E637" s="6"/>
      <c r="F637" s="6"/>
    </row>
    <row r="638" customFormat="false" ht="15" hidden="false" customHeight="false" outlineLevel="0" collapsed="false">
      <c r="A638" s="5" t="s">
        <v>770</v>
      </c>
      <c r="B638" s="5" t="s">
        <v>160</v>
      </c>
      <c r="C638" s="6" t="n">
        <v>4</v>
      </c>
      <c r="D638" s="6" t="n">
        <v>6</v>
      </c>
      <c r="E638" s="6"/>
      <c r="F638" s="6"/>
    </row>
    <row r="639" customFormat="false" ht="15" hidden="false" customHeight="false" outlineLevel="0" collapsed="false">
      <c r="A639" s="5" t="s">
        <v>771</v>
      </c>
      <c r="B639" s="5" t="s">
        <v>160</v>
      </c>
      <c r="C639" s="6" t="n">
        <v>12</v>
      </c>
      <c r="D639" s="6" t="n">
        <v>0</v>
      </c>
      <c r="E639" s="6"/>
      <c r="F639" s="6"/>
    </row>
    <row r="640" customFormat="false" ht="15" hidden="false" customHeight="false" outlineLevel="0" collapsed="false">
      <c r="A640" s="5" t="s">
        <v>772</v>
      </c>
      <c r="B640" s="5" t="s">
        <v>160</v>
      </c>
      <c r="C640" s="6" t="n">
        <v>19</v>
      </c>
      <c r="D640" s="6" t="n">
        <v>0</v>
      </c>
      <c r="E640" s="6"/>
      <c r="F640" s="6"/>
    </row>
    <row r="641" customFormat="false" ht="15" hidden="false" customHeight="false" outlineLevel="0" collapsed="false">
      <c r="A641" s="5" t="s">
        <v>773</v>
      </c>
      <c r="B641" s="5" t="s">
        <v>160</v>
      </c>
      <c r="C641" s="6" t="n">
        <v>12</v>
      </c>
      <c r="D641" s="6" t="n">
        <v>0</v>
      </c>
      <c r="E641" s="6"/>
      <c r="F641" s="6"/>
    </row>
    <row r="642" customFormat="false" ht="15" hidden="false" customHeight="false" outlineLevel="0" collapsed="false">
      <c r="A642" s="5" t="s">
        <v>774</v>
      </c>
      <c r="B642" s="5" t="s">
        <v>160</v>
      </c>
      <c r="C642" s="6" t="n">
        <v>12.5</v>
      </c>
      <c r="D642" s="6" t="n">
        <v>0</v>
      </c>
      <c r="E642" s="6"/>
      <c r="F642" s="6"/>
    </row>
    <row r="643" customFormat="false" ht="15" hidden="false" customHeight="false" outlineLevel="0" collapsed="false">
      <c r="A643" s="5" t="s">
        <v>775</v>
      </c>
      <c r="B643" s="5" t="s">
        <v>160</v>
      </c>
      <c r="C643" s="6" t="n">
        <v>12</v>
      </c>
      <c r="D643" s="6" t="n">
        <v>0</v>
      </c>
      <c r="E643" s="6"/>
      <c r="F643" s="6"/>
    </row>
    <row r="644" customFormat="false" ht="15" hidden="false" customHeight="false" outlineLevel="0" collapsed="false">
      <c r="A644" s="5" t="s">
        <v>776</v>
      </c>
      <c r="B644" s="5" t="s">
        <v>160</v>
      </c>
      <c r="C644" s="6" t="n">
        <v>10</v>
      </c>
      <c r="D644" s="6" t="n">
        <v>12</v>
      </c>
      <c r="E644" s="6"/>
      <c r="F644" s="6"/>
    </row>
    <row r="645" customFormat="false" ht="15" hidden="false" customHeight="false" outlineLevel="0" collapsed="false">
      <c r="A645" s="5" t="s">
        <v>777</v>
      </c>
      <c r="B645" s="5" t="s">
        <v>160</v>
      </c>
      <c r="C645" s="6" t="n">
        <v>8.5</v>
      </c>
      <c r="D645" s="6" t="n">
        <v>8.5</v>
      </c>
      <c r="E645" s="6"/>
      <c r="F645" s="6"/>
    </row>
    <row r="646" customFormat="false" ht="15" hidden="false" customHeight="false" outlineLevel="0" collapsed="false">
      <c r="A646" s="5" t="s">
        <v>778</v>
      </c>
      <c r="B646" s="5" t="s">
        <v>160</v>
      </c>
      <c r="C646" s="6" t="n">
        <v>16</v>
      </c>
      <c r="D646" s="6" t="n">
        <v>0</v>
      </c>
      <c r="E646" s="6"/>
      <c r="F646" s="6"/>
    </row>
    <row r="647" customFormat="false" ht="15" hidden="false" customHeight="false" outlineLevel="0" collapsed="false">
      <c r="A647" s="5" t="s">
        <v>779</v>
      </c>
      <c r="B647" s="5" t="s">
        <v>160</v>
      </c>
      <c r="C647" s="6" t="n">
        <v>16</v>
      </c>
      <c r="D647" s="6"/>
      <c r="E647" s="6" t="n">
        <v>2</v>
      </c>
      <c r="F647" s="6"/>
    </row>
    <row r="648" customFormat="false" ht="15" hidden="false" customHeight="false" outlineLevel="0" collapsed="false">
      <c r="A648" s="5" t="s">
        <v>780</v>
      </c>
      <c r="B648" s="5" t="s">
        <v>160</v>
      </c>
      <c r="C648" s="6" t="n">
        <v>14</v>
      </c>
      <c r="D648" s="6" t="n">
        <v>3</v>
      </c>
      <c r="E648" s="6"/>
      <c r="F648" s="6"/>
    </row>
    <row r="649" customFormat="false" ht="15" hidden="false" customHeight="false" outlineLevel="0" collapsed="false">
      <c r="A649" s="5" t="s">
        <v>781</v>
      </c>
      <c r="B649" s="5" t="s">
        <v>160</v>
      </c>
      <c r="C649" s="6" t="n">
        <v>12</v>
      </c>
      <c r="D649" s="6" t="n">
        <v>0</v>
      </c>
      <c r="E649" s="6"/>
      <c r="F649" s="6"/>
    </row>
    <row r="650" customFormat="false" ht="15" hidden="false" customHeight="false" outlineLevel="0" collapsed="false">
      <c r="A650" s="5" t="s">
        <v>782</v>
      </c>
      <c r="B650" s="5" t="s">
        <v>160</v>
      </c>
      <c r="C650" s="6" t="n">
        <v>20</v>
      </c>
      <c r="D650" s="6"/>
      <c r="E650" s="6" t="n">
        <v>2</v>
      </c>
      <c r="F650" s="6"/>
    </row>
    <row r="651" customFormat="false" ht="15" hidden="false" customHeight="false" outlineLevel="0" collapsed="false">
      <c r="A651" s="5" t="s">
        <v>783</v>
      </c>
      <c r="B651" s="5" t="s">
        <v>160</v>
      </c>
      <c r="C651" s="6" t="n">
        <v>8</v>
      </c>
      <c r="D651" s="6" t="n">
        <v>2</v>
      </c>
      <c r="E651" s="6"/>
      <c r="F651" s="6"/>
    </row>
    <row r="652" customFormat="false" ht="15" hidden="false" customHeight="false" outlineLevel="0" collapsed="false">
      <c r="A652" s="5" t="s">
        <v>784</v>
      </c>
      <c r="B652" s="5" t="s">
        <v>160</v>
      </c>
      <c r="C652" s="6" t="n">
        <v>16</v>
      </c>
      <c r="D652" s="6"/>
      <c r="E652" s="6" t="n">
        <v>8</v>
      </c>
      <c r="F652" s="6"/>
    </row>
    <row r="653" customFormat="false" ht="15" hidden="false" customHeight="false" outlineLevel="0" collapsed="false">
      <c r="A653" s="5" t="s">
        <v>785</v>
      </c>
      <c r="B653" s="5" t="s">
        <v>160</v>
      </c>
      <c r="C653" s="6" t="n">
        <v>12</v>
      </c>
      <c r="D653" s="6" t="n">
        <v>2</v>
      </c>
      <c r="E653" s="6"/>
      <c r="F653" s="6"/>
    </row>
    <row r="654" customFormat="false" ht="15" hidden="false" customHeight="false" outlineLevel="0" collapsed="false">
      <c r="A654" s="5" t="s">
        <v>786</v>
      </c>
      <c r="B654" s="5" t="s">
        <v>787</v>
      </c>
      <c r="C654" s="6" t="n">
        <v>12</v>
      </c>
      <c r="D654" s="6" t="n">
        <v>1</v>
      </c>
      <c r="E654" s="6"/>
      <c r="F654" s="6"/>
    </row>
    <row r="655" customFormat="false" ht="15" hidden="false" customHeight="false" outlineLevel="0" collapsed="false">
      <c r="A655" s="5" t="s">
        <v>788</v>
      </c>
      <c r="B655" s="5" t="s">
        <v>176</v>
      </c>
      <c r="C655" s="6" t="n">
        <v>16.5</v>
      </c>
      <c r="D655" s="6" t="n">
        <v>13</v>
      </c>
      <c r="E655" s="6"/>
      <c r="F655" s="6"/>
    </row>
    <row r="656" customFormat="false" ht="15" hidden="false" customHeight="false" outlineLevel="0" collapsed="false">
      <c r="A656" s="5" t="s">
        <v>789</v>
      </c>
      <c r="B656" s="5" t="s">
        <v>176</v>
      </c>
      <c r="C656" s="6" t="n">
        <v>8</v>
      </c>
      <c r="D656" s="6" t="n">
        <v>0</v>
      </c>
      <c r="E656" s="6"/>
      <c r="F656" s="6"/>
    </row>
    <row r="657" customFormat="false" ht="15" hidden="false" customHeight="false" outlineLevel="0" collapsed="false">
      <c r="A657" s="5" t="s">
        <v>790</v>
      </c>
      <c r="B657" s="5" t="s">
        <v>176</v>
      </c>
      <c r="C657" s="6" t="n">
        <v>6</v>
      </c>
      <c r="D657" s="6" t="n">
        <v>1.5</v>
      </c>
      <c r="E657" s="6"/>
      <c r="F657" s="6"/>
    </row>
    <row r="658" customFormat="false" ht="15" hidden="false" customHeight="false" outlineLevel="0" collapsed="false">
      <c r="A658" s="5" t="s">
        <v>791</v>
      </c>
      <c r="B658" s="5" t="s">
        <v>176</v>
      </c>
      <c r="C658" s="6" t="n">
        <v>8</v>
      </c>
      <c r="D658" s="6" t="n">
        <v>0</v>
      </c>
      <c r="E658" s="6"/>
      <c r="F658" s="6"/>
    </row>
    <row r="659" customFormat="false" ht="15" hidden="false" customHeight="false" outlineLevel="0" collapsed="false">
      <c r="A659" s="5" t="s">
        <v>792</v>
      </c>
      <c r="B659" s="5" t="s">
        <v>178</v>
      </c>
      <c r="C659" s="6" t="n">
        <v>12</v>
      </c>
      <c r="D659" s="6" t="n">
        <v>52</v>
      </c>
      <c r="E659" s="6"/>
      <c r="F659" s="6"/>
    </row>
    <row r="660" customFormat="false" ht="15" hidden="false" customHeight="false" outlineLevel="0" collapsed="false">
      <c r="A660" s="5" t="s">
        <v>793</v>
      </c>
      <c r="B660" s="5" t="s">
        <v>178</v>
      </c>
      <c r="C660" s="6" t="n">
        <v>16</v>
      </c>
      <c r="D660" s="6" t="n">
        <v>12</v>
      </c>
      <c r="E660" s="6"/>
      <c r="F660" s="6"/>
    </row>
    <row r="661" customFormat="false" ht="15" hidden="false" customHeight="false" outlineLevel="0" collapsed="false">
      <c r="A661" s="5" t="s">
        <v>794</v>
      </c>
      <c r="B661" s="5" t="s">
        <v>178</v>
      </c>
      <c r="C661" s="6" t="n">
        <v>12</v>
      </c>
      <c r="D661" s="6" t="n">
        <v>12</v>
      </c>
      <c r="E661" s="6"/>
      <c r="F661" s="6"/>
    </row>
    <row r="662" customFormat="false" ht="15" hidden="false" customHeight="false" outlineLevel="0" collapsed="false">
      <c r="A662" s="5" t="s">
        <v>795</v>
      </c>
      <c r="B662" s="5" t="s">
        <v>178</v>
      </c>
      <c r="C662" s="6" t="n">
        <v>20</v>
      </c>
      <c r="D662" s="6" t="n">
        <v>8</v>
      </c>
      <c r="E662" s="6"/>
      <c r="F662" s="6"/>
    </row>
    <row r="663" customFormat="false" ht="15" hidden="false" customHeight="false" outlineLevel="0" collapsed="false">
      <c r="A663" s="5" t="s">
        <v>796</v>
      </c>
      <c r="B663" s="5" t="s">
        <v>178</v>
      </c>
      <c r="C663" s="6" t="n">
        <v>12</v>
      </c>
      <c r="D663" s="6" t="n">
        <v>0</v>
      </c>
      <c r="E663" s="6"/>
      <c r="F663" s="6"/>
    </row>
    <row r="664" customFormat="false" ht="15" hidden="false" customHeight="false" outlineLevel="0" collapsed="false">
      <c r="A664" s="5" t="s">
        <v>797</v>
      </c>
      <c r="B664" s="5" t="s">
        <v>178</v>
      </c>
      <c r="C664" s="6" t="n">
        <v>12</v>
      </c>
      <c r="D664" s="6" t="n">
        <v>52</v>
      </c>
      <c r="E664" s="6"/>
      <c r="F664" s="6"/>
    </row>
    <row r="665" customFormat="false" ht="15" hidden="false" customHeight="false" outlineLevel="0" collapsed="false">
      <c r="A665" s="5" t="s">
        <v>798</v>
      </c>
      <c r="B665" s="5" t="s">
        <v>178</v>
      </c>
      <c r="C665" s="6" t="n">
        <v>12</v>
      </c>
      <c r="D665" s="6" t="n">
        <v>0</v>
      </c>
      <c r="E665" s="6"/>
      <c r="F665" s="6"/>
    </row>
    <row r="666" customFormat="false" ht="15" hidden="false" customHeight="false" outlineLevel="0" collapsed="false">
      <c r="A666" s="5" t="s">
        <v>799</v>
      </c>
      <c r="B666" s="5" t="s">
        <v>178</v>
      </c>
      <c r="C666" s="6" t="n">
        <v>9</v>
      </c>
      <c r="D666" s="6" t="n">
        <v>6</v>
      </c>
      <c r="E666" s="6"/>
      <c r="F666" s="6"/>
    </row>
    <row r="667" customFormat="false" ht="15" hidden="false" customHeight="false" outlineLevel="0" collapsed="false">
      <c r="A667" s="5" t="s">
        <v>800</v>
      </c>
      <c r="B667" s="5" t="s">
        <v>178</v>
      </c>
      <c r="C667" s="6" t="n">
        <v>12</v>
      </c>
      <c r="D667" s="6" t="n">
        <v>0</v>
      </c>
      <c r="E667" s="6"/>
      <c r="F667" s="6"/>
    </row>
    <row r="668" customFormat="false" ht="15" hidden="false" customHeight="false" outlineLevel="0" collapsed="false">
      <c r="A668" s="5" t="s">
        <v>801</v>
      </c>
      <c r="B668" s="5" t="s">
        <v>178</v>
      </c>
      <c r="C668" s="6" t="n">
        <v>4</v>
      </c>
      <c r="D668" s="6" t="n">
        <v>8</v>
      </c>
      <c r="E668" s="6"/>
      <c r="F668" s="6"/>
    </row>
    <row r="669" customFormat="false" ht="15" hidden="false" customHeight="false" outlineLevel="0" collapsed="false">
      <c r="A669" s="5" t="s">
        <v>802</v>
      </c>
      <c r="B669" s="5" t="s">
        <v>178</v>
      </c>
      <c r="C669" s="6" t="n">
        <v>12</v>
      </c>
      <c r="D669" s="6" t="n">
        <v>6</v>
      </c>
      <c r="E669" s="6"/>
      <c r="F669" s="6"/>
    </row>
    <row r="670" customFormat="false" ht="15" hidden="false" customHeight="false" outlineLevel="0" collapsed="false">
      <c r="A670" s="5" t="s">
        <v>803</v>
      </c>
      <c r="B670" s="5" t="s">
        <v>178</v>
      </c>
      <c r="C670" s="6" t="n">
        <v>12</v>
      </c>
      <c r="D670" s="6" t="n">
        <v>12</v>
      </c>
      <c r="E670" s="6"/>
      <c r="F670" s="6"/>
    </row>
    <row r="671" customFormat="false" ht="15" hidden="false" customHeight="false" outlineLevel="0" collapsed="false">
      <c r="A671" s="5" t="s">
        <v>804</v>
      </c>
      <c r="B671" s="5" t="s">
        <v>178</v>
      </c>
      <c r="C671" s="6" t="n">
        <v>6</v>
      </c>
      <c r="D671" s="6" t="n">
        <v>6</v>
      </c>
      <c r="E671" s="6"/>
      <c r="F671" s="6"/>
    </row>
    <row r="672" customFormat="false" ht="15" hidden="false" customHeight="false" outlineLevel="0" collapsed="false">
      <c r="A672" s="5" t="s">
        <v>805</v>
      </c>
      <c r="B672" s="5" t="s">
        <v>178</v>
      </c>
      <c r="C672" s="6" t="n">
        <v>12</v>
      </c>
      <c r="D672" s="6" t="n">
        <v>0</v>
      </c>
      <c r="E672" s="6"/>
      <c r="F672" s="6"/>
    </row>
    <row r="673" customFormat="false" ht="15" hidden="false" customHeight="false" outlineLevel="0" collapsed="false">
      <c r="A673" s="5" t="s">
        <v>806</v>
      </c>
      <c r="B673" s="5" t="s">
        <v>178</v>
      </c>
      <c r="C673" s="6" t="n">
        <v>12</v>
      </c>
      <c r="D673" s="6" t="n">
        <v>4</v>
      </c>
      <c r="E673" s="6"/>
      <c r="F673" s="6"/>
    </row>
    <row r="674" customFormat="false" ht="15" hidden="false" customHeight="false" outlineLevel="0" collapsed="false">
      <c r="A674" s="5" t="s">
        <v>807</v>
      </c>
      <c r="B674" s="5" t="s">
        <v>178</v>
      </c>
      <c r="C674" s="6" t="n">
        <v>16</v>
      </c>
      <c r="D674" s="6" t="n">
        <v>4</v>
      </c>
      <c r="E674" s="6"/>
      <c r="F674" s="6"/>
    </row>
    <row r="675" customFormat="false" ht="15" hidden="false" customHeight="false" outlineLevel="0" collapsed="false">
      <c r="A675" s="5" t="s">
        <v>808</v>
      </c>
      <c r="B675" s="5" t="s">
        <v>178</v>
      </c>
      <c r="C675" s="6" t="n">
        <v>13</v>
      </c>
      <c r="D675" s="6" t="n">
        <v>0</v>
      </c>
      <c r="E675" s="6"/>
      <c r="F675" s="6"/>
    </row>
    <row r="676" customFormat="false" ht="15" hidden="false" customHeight="false" outlineLevel="0" collapsed="false">
      <c r="A676" s="5" t="s">
        <v>809</v>
      </c>
      <c r="B676" s="5" t="s">
        <v>178</v>
      </c>
      <c r="C676" s="6" t="n">
        <v>21</v>
      </c>
      <c r="D676" s="6" t="n">
        <v>8</v>
      </c>
      <c r="E676" s="6"/>
      <c r="F676" s="6"/>
    </row>
    <row r="677" customFormat="false" ht="15" hidden="false" customHeight="false" outlineLevel="0" collapsed="false">
      <c r="A677" s="5" t="s">
        <v>810</v>
      </c>
      <c r="B677" s="5" t="s">
        <v>178</v>
      </c>
      <c r="C677" s="6" t="n">
        <v>20</v>
      </c>
      <c r="D677" s="6" t="n">
        <v>26</v>
      </c>
      <c r="E677" s="6"/>
      <c r="F677" s="6"/>
    </row>
    <row r="678" customFormat="false" ht="15" hidden="false" customHeight="false" outlineLevel="0" collapsed="false">
      <c r="A678" s="5" t="s">
        <v>811</v>
      </c>
      <c r="B678" s="5" t="s">
        <v>178</v>
      </c>
      <c r="C678" s="6" t="n">
        <v>10</v>
      </c>
      <c r="D678" s="6" t="n">
        <v>2</v>
      </c>
      <c r="E678" s="6"/>
      <c r="F678" s="6"/>
    </row>
    <row r="679" customFormat="false" ht="15" hidden="false" customHeight="false" outlineLevel="0" collapsed="false">
      <c r="A679" s="5" t="s">
        <v>812</v>
      </c>
      <c r="B679" s="5" t="s">
        <v>813</v>
      </c>
      <c r="C679" s="6" t="n">
        <v>12</v>
      </c>
      <c r="D679" s="6" t="n">
        <v>2</v>
      </c>
      <c r="E679" s="6"/>
      <c r="F679" s="6"/>
    </row>
    <row r="680" customFormat="false" ht="15" hidden="false" customHeight="false" outlineLevel="0" collapsed="false">
      <c r="A680" s="5" t="s">
        <v>814</v>
      </c>
      <c r="B680" s="5" t="s">
        <v>813</v>
      </c>
      <c r="C680" s="6" t="n">
        <v>18</v>
      </c>
      <c r="D680" s="6"/>
      <c r="E680" s="6" t="n">
        <v>18</v>
      </c>
      <c r="F680" s="6"/>
    </row>
    <row r="681" customFormat="false" ht="15" hidden="false" customHeight="false" outlineLevel="0" collapsed="false">
      <c r="A681" s="5" t="s">
        <v>815</v>
      </c>
      <c r="B681" s="5" t="s">
        <v>816</v>
      </c>
      <c r="C681" s="6" t="n">
        <v>6</v>
      </c>
      <c r="D681" s="6" t="n">
        <v>0</v>
      </c>
      <c r="E681" s="6"/>
      <c r="F681" s="6"/>
    </row>
    <row r="682" customFormat="false" ht="15" hidden="false" customHeight="false" outlineLevel="0" collapsed="false">
      <c r="A682" s="5" t="s">
        <v>817</v>
      </c>
      <c r="B682" s="5" t="s">
        <v>816</v>
      </c>
      <c r="C682" s="6" t="n">
        <v>12</v>
      </c>
      <c r="D682" s="6" t="n">
        <v>4</v>
      </c>
      <c r="E682" s="6"/>
      <c r="F682" s="6"/>
    </row>
    <row r="683" customFormat="false" ht="15" hidden="false" customHeight="false" outlineLevel="0" collapsed="false">
      <c r="A683" s="5" t="s">
        <v>818</v>
      </c>
      <c r="B683" s="5" t="s">
        <v>816</v>
      </c>
      <c r="C683" s="6" t="n">
        <v>6</v>
      </c>
      <c r="D683" s="6" t="n">
        <v>1</v>
      </c>
      <c r="E683" s="6"/>
      <c r="F683" s="6"/>
    </row>
    <row r="684" customFormat="false" ht="15" hidden="false" customHeight="false" outlineLevel="0" collapsed="false">
      <c r="A684" s="5" t="s">
        <v>819</v>
      </c>
      <c r="B684" s="5" t="s">
        <v>816</v>
      </c>
      <c r="C684" s="6" t="n">
        <v>6</v>
      </c>
      <c r="D684" s="6" t="n">
        <v>6</v>
      </c>
      <c r="E684" s="6"/>
      <c r="F684" s="6"/>
    </row>
    <row r="685" customFormat="false" ht="15" hidden="false" customHeight="false" outlineLevel="0" collapsed="false">
      <c r="A685" s="5" t="s">
        <v>820</v>
      </c>
      <c r="B685" s="5" t="s">
        <v>816</v>
      </c>
      <c r="C685" s="6" t="n">
        <v>6</v>
      </c>
      <c r="D685" s="6" t="n">
        <v>6</v>
      </c>
      <c r="E685" s="6"/>
      <c r="F685" s="6"/>
    </row>
    <row r="686" customFormat="false" ht="15" hidden="false" customHeight="false" outlineLevel="0" collapsed="false">
      <c r="A686" s="5" t="s">
        <v>821</v>
      </c>
      <c r="B686" s="5" t="s">
        <v>46</v>
      </c>
      <c r="C686" s="6" t="n">
        <v>1.5</v>
      </c>
      <c r="D686" s="6" t="n">
        <v>12</v>
      </c>
      <c r="E686" s="6"/>
      <c r="F686" s="6"/>
    </row>
    <row r="687" customFormat="false" ht="15" hidden="false" customHeight="false" outlineLevel="0" collapsed="false">
      <c r="A687" s="5" t="s">
        <v>822</v>
      </c>
      <c r="B687" s="5" t="s">
        <v>48</v>
      </c>
      <c r="C687" s="6" t="n">
        <v>13</v>
      </c>
      <c r="D687" s="6" t="n">
        <v>20</v>
      </c>
      <c r="E687" s="6"/>
      <c r="F687" s="6"/>
    </row>
    <row r="688" customFormat="false" ht="15" hidden="false" customHeight="false" outlineLevel="0" collapsed="false">
      <c r="A688" s="5" t="s">
        <v>823</v>
      </c>
      <c r="B688" s="5" t="s">
        <v>48</v>
      </c>
      <c r="C688" s="6" t="n">
        <v>12</v>
      </c>
      <c r="D688" s="6" t="n">
        <v>0</v>
      </c>
      <c r="E688" s="6"/>
      <c r="F688" s="6"/>
    </row>
    <row r="689" customFormat="false" ht="15" hidden="false" customHeight="false" outlineLevel="0" collapsed="false">
      <c r="A689" s="5" t="s">
        <v>824</v>
      </c>
      <c r="B689" s="5" t="s">
        <v>48</v>
      </c>
      <c r="C689" s="6" t="n">
        <v>52</v>
      </c>
      <c r="D689" s="6" t="n">
        <v>26</v>
      </c>
      <c r="E689" s="6"/>
      <c r="F689" s="6"/>
    </row>
    <row r="690" customFormat="false" ht="15" hidden="false" customHeight="false" outlineLevel="0" collapsed="false">
      <c r="A690" s="5" t="s">
        <v>825</v>
      </c>
      <c r="B690" s="5" t="s">
        <v>50</v>
      </c>
      <c r="C690" s="6" t="n">
        <v>0</v>
      </c>
      <c r="D690" s="6" t="n">
        <v>0</v>
      </c>
      <c r="E690" s="6"/>
      <c r="F690" s="6"/>
    </row>
    <row r="691" customFormat="false" ht="15" hidden="false" customHeight="false" outlineLevel="0" collapsed="false">
      <c r="A691" s="5" t="s">
        <v>826</v>
      </c>
      <c r="B691" s="5" t="s">
        <v>50</v>
      </c>
      <c r="C691" s="6" t="n">
        <v>12</v>
      </c>
      <c r="D691" s="6" t="n">
        <v>12</v>
      </c>
      <c r="E691" s="6"/>
      <c r="F691" s="6"/>
    </row>
    <row r="692" customFormat="false" ht="15" hidden="false" customHeight="false" outlineLevel="0" collapsed="false">
      <c r="A692" s="5" t="s">
        <v>827</v>
      </c>
      <c r="B692" s="5" t="s">
        <v>50</v>
      </c>
      <c r="C692" s="6" t="n">
        <v>12</v>
      </c>
      <c r="D692" s="6" t="n">
        <v>0</v>
      </c>
      <c r="E692" s="6"/>
      <c r="F692" s="6"/>
    </row>
    <row r="693" customFormat="false" ht="15" hidden="false" customHeight="false" outlineLevel="0" collapsed="false">
      <c r="A693" s="5" t="s">
        <v>828</v>
      </c>
      <c r="B693" s="5" t="s">
        <v>50</v>
      </c>
      <c r="C693" s="6" t="n">
        <v>8</v>
      </c>
      <c r="D693" s="6" t="n">
        <v>8</v>
      </c>
      <c r="E693" s="6"/>
      <c r="F693" s="6"/>
    </row>
    <row r="694" customFormat="false" ht="15" hidden="false" customHeight="false" outlineLevel="0" collapsed="false">
      <c r="A694" s="5" t="s">
        <v>829</v>
      </c>
      <c r="B694" s="5" t="s">
        <v>50</v>
      </c>
      <c r="C694" s="6" t="n">
        <v>3</v>
      </c>
      <c r="D694" s="6" t="n">
        <v>12</v>
      </c>
      <c r="E694" s="6"/>
      <c r="F694" s="6"/>
    </row>
    <row r="695" customFormat="false" ht="15" hidden="false" customHeight="false" outlineLevel="0" collapsed="false">
      <c r="A695" s="5" t="s">
        <v>830</v>
      </c>
      <c r="B695" s="5" t="s">
        <v>50</v>
      </c>
      <c r="C695" s="6" t="n">
        <v>12</v>
      </c>
      <c r="D695" s="6" t="n">
        <v>0</v>
      </c>
      <c r="E695" s="6"/>
      <c r="F695" s="6"/>
    </row>
    <row r="696" customFormat="false" ht="15" hidden="false" customHeight="false" outlineLevel="0" collapsed="false">
      <c r="A696" s="5" t="s">
        <v>831</v>
      </c>
      <c r="B696" s="5" t="s">
        <v>50</v>
      </c>
      <c r="C696" s="6" t="n">
        <v>46</v>
      </c>
      <c r="D696" s="6" t="n">
        <v>0</v>
      </c>
      <c r="E696" s="6"/>
      <c r="F696" s="6"/>
    </row>
    <row r="697" customFormat="false" ht="15" hidden="false" customHeight="false" outlineLevel="0" collapsed="false">
      <c r="A697" s="5" t="s">
        <v>832</v>
      </c>
      <c r="B697" s="5" t="s">
        <v>50</v>
      </c>
      <c r="C697" s="6" t="n">
        <v>11</v>
      </c>
      <c r="D697" s="6" t="n">
        <v>6</v>
      </c>
      <c r="E697" s="6"/>
      <c r="F697" s="6"/>
    </row>
    <row r="698" customFormat="false" ht="15" hidden="false" customHeight="false" outlineLevel="0" collapsed="false">
      <c r="A698" s="5" t="s">
        <v>833</v>
      </c>
      <c r="B698" s="5" t="s">
        <v>50</v>
      </c>
      <c r="C698" s="6" t="n">
        <v>8</v>
      </c>
      <c r="D698" s="6" t="n">
        <v>6.5</v>
      </c>
      <c r="E698" s="6"/>
      <c r="F698" s="6"/>
    </row>
    <row r="699" customFormat="false" ht="15" hidden="false" customHeight="false" outlineLevel="0" collapsed="false">
      <c r="A699" s="5" t="s">
        <v>834</v>
      </c>
      <c r="B699" s="5" t="s">
        <v>50</v>
      </c>
      <c r="C699" s="6" t="n">
        <v>12</v>
      </c>
      <c r="D699" s="6" t="n">
        <v>0</v>
      </c>
      <c r="E699" s="6"/>
      <c r="F699" s="6"/>
    </row>
    <row r="700" customFormat="false" ht="15" hidden="false" customHeight="false" outlineLevel="0" collapsed="false">
      <c r="A700" s="5" t="s">
        <v>835</v>
      </c>
      <c r="B700" s="5" t="s">
        <v>50</v>
      </c>
      <c r="C700" s="6" t="n">
        <v>0</v>
      </c>
      <c r="D700" s="6" t="n">
        <v>12</v>
      </c>
      <c r="E700" s="6"/>
      <c r="F700" s="6"/>
    </row>
    <row r="701" customFormat="false" ht="15" hidden="false" customHeight="false" outlineLevel="0" collapsed="false">
      <c r="A701" s="5" t="s">
        <v>836</v>
      </c>
      <c r="B701" s="5" t="s">
        <v>50</v>
      </c>
      <c r="C701" s="6" t="n">
        <v>11</v>
      </c>
      <c r="D701" s="6" t="n">
        <v>11</v>
      </c>
      <c r="E701" s="6"/>
      <c r="F701" s="6"/>
    </row>
    <row r="702" customFormat="false" ht="15" hidden="false" customHeight="false" outlineLevel="0" collapsed="false">
      <c r="A702" s="5" t="s">
        <v>837</v>
      </c>
      <c r="B702" s="5" t="s">
        <v>50</v>
      </c>
      <c r="C702" s="6" t="n">
        <v>6</v>
      </c>
      <c r="D702" s="6" t="n">
        <v>12</v>
      </c>
      <c r="E702" s="6"/>
      <c r="F702" s="6"/>
    </row>
    <row r="703" customFormat="false" ht="15" hidden="false" customHeight="false" outlineLevel="0" collapsed="false">
      <c r="A703" s="5" t="s">
        <v>838</v>
      </c>
      <c r="B703" s="5" t="s">
        <v>50</v>
      </c>
      <c r="C703" s="6" t="n">
        <v>6</v>
      </c>
      <c r="D703" s="6" t="n">
        <v>0</v>
      </c>
      <c r="E703" s="6"/>
      <c r="F703" s="6"/>
    </row>
    <row r="704" customFormat="false" ht="15" hidden="false" customHeight="false" outlineLevel="0" collapsed="false">
      <c r="A704" s="5" t="s">
        <v>839</v>
      </c>
      <c r="B704" s="5" t="s">
        <v>50</v>
      </c>
      <c r="C704" s="6" t="n">
        <v>9</v>
      </c>
      <c r="D704" s="6" t="n">
        <v>15</v>
      </c>
      <c r="E704" s="6"/>
      <c r="F704" s="6"/>
    </row>
    <row r="705" customFormat="false" ht="15" hidden="false" customHeight="false" outlineLevel="0" collapsed="false">
      <c r="A705" s="5" t="s">
        <v>840</v>
      </c>
      <c r="B705" s="5" t="s">
        <v>50</v>
      </c>
      <c r="C705" s="6" t="n">
        <v>12</v>
      </c>
      <c r="D705" s="6" t="n">
        <v>0</v>
      </c>
      <c r="E705" s="6"/>
      <c r="F705" s="6"/>
    </row>
    <row r="706" customFormat="false" ht="15" hidden="false" customHeight="false" outlineLevel="0" collapsed="false">
      <c r="A706" s="5" t="s">
        <v>841</v>
      </c>
      <c r="B706" s="5" t="s">
        <v>50</v>
      </c>
      <c r="C706" s="6" t="n">
        <v>6</v>
      </c>
      <c r="D706" s="6" t="n">
        <v>0</v>
      </c>
      <c r="E706" s="6"/>
      <c r="F706" s="6"/>
    </row>
    <row r="707" customFormat="false" ht="15" hidden="false" customHeight="false" outlineLevel="0" collapsed="false">
      <c r="A707" s="5" t="s">
        <v>842</v>
      </c>
      <c r="B707" s="5" t="s">
        <v>182</v>
      </c>
      <c r="C707" s="6" t="n">
        <v>4</v>
      </c>
      <c r="D707" s="6" t="n">
        <v>0</v>
      </c>
      <c r="E707" s="6"/>
      <c r="F707" s="6"/>
    </row>
    <row r="708" customFormat="false" ht="15" hidden="false" customHeight="false" outlineLevel="0" collapsed="false">
      <c r="A708" s="5" t="s">
        <v>843</v>
      </c>
      <c r="B708" s="5" t="s">
        <v>182</v>
      </c>
      <c r="C708" s="6" t="n">
        <v>24</v>
      </c>
      <c r="D708" s="6" t="n">
        <v>52</v>
      </c>
      <c r="E708" s="6"/>
      <c r="F708" s="6"/>
    </row>
    <row r="709" customFormat="false" ht="15" hidden="false" customHeight="false" outlineLevel="0" collapsed="false">
      <c r="A709" s="5" t="s">
        <v>844</v>
      </c>
      <c r="B709" s="5" t="s">
        <v>845</v>
      </c>
      <c r="C709" s="6" t="n">
        <v>2</v>
      </c>
      <c r="D709" s="6" t="n">
        <v>24</v>
      </c>
      <c r="E709" s="6"/>
      <c r="F709" s="6"/>
    </row>
    <row r="710" customFormat="false" ht="15" hidden="false" customHeight="false" outlineLevel="0" collapsed="false">
      <c r="A710" s="5" t="s">
        <v>846</v>
      </c>
      <c r="B710" s="5" t="s">
        <v>845</v>
      </c>
      <c r="C710" s="6" t="n">
        <v>12</v>
      </c>
      <c r="D710" s="6" t="n">
        <v>0</v>
      </c>
      <c r="E710" s="6"/>
      <c r="F710" s="6"/>
    </row>
    <row r="711" customFormat="false" ht="15" hidden="false" customHeight="false" outlineLevel="0" collapsed="false">
      <c r="A711" s="5" t="s">
        <v>847</v>
      </c>
      <c r="B711" s="5" t="s">
        <v>845</v>
      </c>
      <c r="C711" s="6" t="n">
        <v>12</v>
      </c>
      <c r="D711" s="6" t="n">
        <v>0</v>
      </c>
      <c r="E711" s="6"/>
      <c r="F711" s="6"/>
    </row>
    <row r="712" customFormat="false" ht="15" hidden="false" customHeight="false" outlineLevel="0" collapsed="false">
      <c r="A712" s="5" t="s">
        <v>848</v>
      </c>
      <c r="B712" s="5" t="s">
        <v>184</v>
      </c>
      <c r="C712" s="6" t="n">
        <v>6</v>
      </c>
      <c r="D712" s="6" t="n">
        <v>6</v>
      </c>
      <c r="E712" s="6"/>
      <c r="F712" s="6"/>
    </row>
    <row r="713" customFormat="false" ht="15" hidden="false" customHeight="false" outlineLevel="0" collapsed="false">
      <c r="A713" s="5" t="s">
        <v>849</v>
      </c>
      <c r="B713" s="5" t="s">
        <v>184</v>
      </c>
      <c r="C713" s="6" t="n">
        <v>6</v>
      </c>
      <c r="D713" s="6" t="n">
        <v>6</v>
      </c>
      <c r="E713" s="6"/>
      <c r="F713" s="6"/>
    </row>
    <row r="714" customFormat="false" ht="15" hidden="false" customHeight="false" outlineLevel="0" collapsed="false">
      <c r="A714" s="5" t="s">
        <v>850</v>
      </c>
      <c r="B714" s="5" t="s">
        <v>184</v>
      </c>
      <c r="C714" s="6" t="n">
        <v>2</v>
      </c>
      <c r="D714" s="6" t="n">
        <v>0</v>
      </c>
      <c r="E714" s="6"/>
      <c r="F714" s="6"/>
    </row>
    <row r="715" customFormat="false" ht="15" hidden="false" customHeight="false" outlineLevel="0" collapsed="false">
      <c r="A715" s="5" t="s">
        <v>851</v>
      </c>
      <c r="B715" s="5" t="s">
        <v>852</v>
      </c>
      <c r="C715" s="6" t="n">
        <v>4</v>
      </c>
      <c r="D715" s="6" t="n">
        <v>6</v>
      </c>
      <c r="E715" s="6"/>
      <c r="F715" s="6"/>
    </row>
    <row r="716" customFormat="false" ht="15" hidden="false" customHeight="false" outlineLevel="0" collapsed="false">
      <c r="A716" s="5" t="s">
        <v>853</v>
      </c>
      <c r="B716" s="5" t="s">
        <v>186</v>
      </c>
      <c r="C716" s="6" t="n">
        <v>6</v>
      </c>
      <c r="D716" s="6" t="n">
        <v>0</v>
      </c>
      <c r="E716" s="6"/>
      <c r="F716" s="6"/>
    </row>
    <row r="717" customFormat="false" ht="15" hidden="false" customHeight="false" outlineLevel="0" collapsed="false">
      <c r="A717" s="5" t="s">
        <v>854</v>
      </c>
      <c r="B717" s="5" t="s">
        <v>186</v>
      </c>
      <c r="C717" s="6" t="n">
        <v>12</v>
      </c>
      <c r="D717" s="6" t="n">
        <v>6</v>
      </c>
      <c r="E717" s="6"/>
      <c r="F717" s="6"/>
    </row>
    <row r="718" customFormat="false" ht="15" hidden="false" customHeight="false" outlineLevel="0" collapsed="false">
      <c r="A718" s="5" t="s">
        <v>855</v>
      </c>
      <c r="B718" s="5" t="s">
        <v>186</v>
      </c>
      <c r="C718" s="6" t="n">
        <v>12</v>
      </c>
      <c r="D718" s="6" t="n">
        <v>0</v>
      </c>
      <c r="E718" s="6"/>
      <c r="F718" s="6"/>
    </row>
    <row r="719" customFormat="false" ht="15" hidden="false" customHeight="false" outlineLevel="0" collapsed="false">
      <c r="A719" s="5" t="s">
        <v>856</v>
      </c>
      <c r="B719" s="5" t="s">
        <v>186</v>
      </c>
      <c r="C719" s="6" t="n">
        <v>12</v>
      </c>
      <c r="D719" s="6" t="n">
        <v>0</v>
      </c>
      <c r="E719" s="6"/>
      <c r="F719" s="6"/>
    </row>
    <row r="720" customFormat="false" ht="15" hidden="false" customHeight="false" outlineLevel="0" collapsed="false">
      <c r="A720" s="5" t="s">
        <v>857</v>
      </c>
      <c r="B720" s="5" t="s">
        <v>186</v>
      </c>
      <c r="C720" s="6" t="n">
        <v>9</v>
      </c>
      <c r="D720" s="6" t="n">
        <v>3</v>
      </c>
      <c r="E720" s="6"/>
      <c r="F720" s="6"/>
    </row>
    <row r="721" customFormat="false" ht="15" hidden="false" customHeight="false" outlineLevel="0" collapsed="false">
      <c r="A721" s="5" t="s">
        <v>858</v>
      </c>
      <c r="B721" s="5" t="s">
        <v>186</v>
      </c>
      <c r="C721" s="6" t="n">
        <v>12</v>
      </c>
      <c r="D721" s="6" t="n">
        <v>0</v>
      </c>
      <c r="E721" s="6"/>
      <c r="F721" s="6"/>
    </row>
    <row r="722" customFormat="false" ht="15" hidden="false" customHeight="false" outlineLevel="0" collapsed="false">
      <c r="A722" s="5" t="s">
        <v>859</v>
      </c>
      <c r="B722" s="5" t="s">
        <v>186</v>
      </c>
      <c r="C722" s="6" t="n">
        <v>12</v>
      </c>
      <c r="D722" s="6" t="n">
        <v>6</v>
      </c>
      <c r="E722" s="6"/>
      <c r="F722" s="6"/>
    </row>
    <row r="723" customFormat="false" ht="15" hidden="false" customHeight="false" outlineLevel="0" collapsed="false">
      <c r="A723" s="5" t="s">
        <v>860</v>
      </c>
      <c r="B723" s="5" t="s">
        <v>186</v>
      </c>
      <c r="C723" s="6" t="n">
        <v>12</v>
      </c>
      <c r="D723" s="6" t="n">
        <v>8</v>
      </c>
      <c r="E723" s="6"/>
      <c r="F723" s="6"/>
    </row>
    <row r="724" customFormat="false" ht="15" hidden="false" customHeight="false" outlineLevel="0" collapsed="false">
      <c r="A724" s="5" t="s">
        <v>861</v>
      </c>
      <c r="B724" s="5" t="s">
        <v>186</v>
      </c>
      <c r="C724" s="6" t="n">
        <v>12</v>
      </c>
      <c r="D724" s="6" t="n">
        <v>0</v>
      </c>
      <c r="E724" s="6"/>
      <c r="F724" s="6"/>
    </row>
    <row r="725" customFormat="false" ht="15" hidden="false" customHeight="false" outlineLevel="0" collapsed="false">
      <c r="A725" s="5" t="s">
        <v>862</v>
      </c>
      <c r="B725" s="5" t="s">
        <v>186</v>
      </c>
      <c r="C725" s="6" t="n">
        <v>6</v>
      </c>
      <c r="D725" s="6" t="n">
        <v>6</v>
      </c>
      <c r="E725" s="6"/>
      <c r="F725" s="6"/>
    </row>
    <row r="726" customFormat="false" ht="15" hidden="false" customHeight="false" outlineLevel="0" collapsed="false">
      <c r="A726" s="5" t="s">
        <v>863</v>
      </c>
      <c r="B726" s="5" t="s">
        <v>186</v>
      </c>
      <c r="C726" s="6" t="n">
        <v>17</v>
      </c>
      <c r="D726" s="6" t="n">
        <v>0</v>
      </c>
      <c r="E726" s="6"/>
      <c r="F726" s="6"/>
    </row>
    <row r="727" customFormat="false" ht="15" hidden="false" customHeight="false" outlineLevel="0" collapsed="false">
      <c r="A727" s="5" t="s">
        <v>864</v>
      </c>
      <c r="B727" s="5" t="s">
        <v>186</v>
      </c>
      <c r="C727" s="6" t="n">
        <v>4</v>
      </c>
      <c r="D727" s="6" t="n">
        <v>0</v>
      </c>
      <c r="E727" s="6"/>
      <c r="F727" s="6"/>
    </row>
    <row r="728" customFormat="false" ht="15" hidden="false" customHeight="false" outlineLevel="0" collapsed="false">
      <c r="A728" s="5" t="s">
        <v>865</v>
      </c>
      <c r="B728" s="5" t="s">
        <v>186</v>
      </c>
      <c r="C728" s="6" t="n">
        <v>15</v>
      </c>
      <c r="D728" s="6" t="n">
        <v>26</v>
      </c>
      <c r="E728" s="6"/>
      <c r="F728" s="6"/>
    </row>
    <row r="729" customFormat="false" ht="15" hidden="false" customHeight="false" outlineLevel="0" collapsed="false">
      <c r="A729" s="5" t="s">
        <v>866</v>
      </c>
      <c r="B729" s="5" t="s">
        <v>52</v>
      </c>
      <c r="C729" s="6" t="n">
        <v>14</v>
      </c>
      <c r="D729" s="6" t="n">
        <v>36</v>
      </c>
      <c r="E729" s="6"/>
      <c r="F729" s="6"/>
    </row>
    <row r="730" customFormat="false" ht="15" hidden="false" customHeight="false" outlineLevel="0" collapsed="false">
      <c r="A730" s="5" t="s">
        <v>867</v>
      </c>
      <c r="B730" s="5" t="s">
        <v>52</v>
      </c>
      <c r="C730" s="6" t="n">
        <v>8</v>
      </c>
      <c r="D730" s="6" t="n">
        <v>4</v>
      </c>
      <c r="E730" s="6"/>
      <c r="F730" s="6"/>
    </row>
    <row r="731" customFormat="false" ht="15" hidden="false" customHeight="false" outlineLevel="0" collapsed="false">
      <c r="A731" s="5" t="s">
        <v>868</v>
      </c>
      <c r="B731" s="5" t="s">
        <v>52</v>
      </c>
      <c r="C731" s="6" t="n">
        <v>6</v>
      </c>
      <c r="D731" s="6" t="n">
        <v>0</v>
      </c>
      <c r="E731" s="6"/>
      <c r="F731" s="6"/>
    </row>
    <row r="732" customFormat="false" ht="15" hidden="false" customHeight="false" outlineLevel="0" collapsed="false">
      <c r="A732" s="5" t="s">
        <v>869</v>
      </c>
      <c r="B732" s="5" t="s">
        <v>870</v>
      </c>
      <c r="C732" s="6" t="n">
        <v>0</v>
      </c>
      <c r="D732" s="6"/>
      <c r="E732" s="6" t="n">
        <v>0</v>
      </c>
      <c r="F732" s="6"/>
    </row>
    <row r="733" customFormat="false" ht="15" hidden="false" customHeight="false" outlineLevel="0" collapsed="false">
      <c r="A733" s="5" t="s">
        <v>871</v>
      </c>
      <c r="B733" s="5" t="s">
        <v>870</v>
      </c>
      <c r="C733" s="6" t="n">
        <v>12</v>
      </c>
      <c r="D733" s="6" t="n">
        <v>6</v>
      </c>
      <c r="E733" s="6"/>
      <c r="F733" s="6"/>
    </row>
    <row r="734" customFormat="false" ht="15" hidden="false" customHeight="false" outlineLevel="0" collapsed="false">
      <c r="A734" s="5" t="s">
        <v>872</v>
      </c>
      <c r="B734" s="5" t="s">
        <v>870</v>
      </c>
      <c r="C734" s="6" t="n">
        <v>4</v>
      </c>
      <c r="D734" s="6" t="n">
        <v>8</v>
      </c>
      <c r="E734" s="6"/>
      <c r="F734" s="6"/>
    </row>
    <row r="735" customFormat="false" ht="15" hidden="false" customHeight="false" outlineLevel="0" collapsed="false">
      <c r="A735" s="5" t="s">
        <v>873</v>
      </c>
      <c r="B735" s="5" t="s">
        <v>870</v>
      </c>
      <c r="C735" s="6" t="n">
        <v>12</v>
      </c>
      <c r="D735" s="6" t="n">
        <v>0</v>
      </c>
      <c r="E735" s="6"/>
      <c r="F735" s="6"/>
    </row>
    <row r="736" customFormat="false" ht="15" hidden="false" customHeight="false" outlineLevel="0" collapsed="false">
      <c r="A736" s="5" t="s">
        <v>874</v>
      </c>
      <c r="B736" s="5" t="s">
        <v>54</v>
      </c>
      <c r="C736" s="6" t="n">
        <v>8</v>
      </c>
      <c r="D736" s="6" t="n">
        <v>0</v>
      </c>
      <c r="E736" s="6"/>
      <c r="F736" s="6"/>
    </row>
    <row r="737" customFormat="false" ht="15" hidden="false" customHeight="false" outlineLevel="0" collapsed="false">
      <c r="A737" s="5" t="s">
        <v>875</v>
      </c>
      <c r="B737" s="5" t="s">
        <v>54</v>
      </c>
      <c r="C737" s="6" t="n">
        <v>12</v>
      </c>
      <c r="D737" s="6" t="n">
        <v>0</v>
      </c>
      <c r="E737" s="6"/>
      <c r="F737" s="6"/>
    </row>
    <row r="738" customFormat="false" ht="15" hidden="false" customHeight="false" outlineLevel="0" collapsed="false">
      <c r="A738" s="5" t="s">
        <v>876</v>
      </c>
      <c r="B738" s="5" t="s">
        <v>54</v>
      </c>
      <c r="C738" s="6" t="n">
        <v>8</v>
      </c>
      <c r="D738" s="6" t="n">
        <v>8</v>
      </c>
      <c r="E738" s="6"/>
      <c r="F738" s="6"/>
    </row>
    <row r="739" customFormat="false" ht="15" hidden="false" customHeight="false" outlineLevel="0" collapsed="false">
      <c r="A739" s="5" t="s">
        <v>877</v>
      </c>
      <c r="B739" s="5" t="s">
        <v>54</v>
      </c>
      <c r="C739" s="6" t="n">
        <v>12</v>
      </c>
      <c r="D739" s="6" t="n">
        <v>0</v>
      </c>
      <c r="E739" s="6"/>
      <c r="F739" s="6"/>
    </row>
    <row r="740" customFormat="false" ht="15" hidden="false" customHeight="false" outlineLevel="0" collapsed="false">
      <c r="A740" s="5" t="s">
        <v>878</v>
      </c>
      <c r="B740" s="5" t="s">
        <v>54</v>
      </c>
      <c r="C740" s="6" t="n">
        <v>2</v>
      </c>
      <c r="D740" s="6" t="n">
        <v>10</v>
      </c>
      <c r="E740" s="6"/>
      <c r="F740" s="6"/>
    </row>
    <row r="741" customFormat="false" ht="15" hidden="false" customHeight="false" outlineLevel="0" collapsed="false">
      <c r="A741" s="5" t="s">
        <v>879</v>
      </c>
      <c r="B741" s="5" t="s">
        <v>54</v>
      </c>
      <c r="C741" s="6" t="n">
        <v>0</v>
      </c>
      <c r="D741" s="6" t="n">
        <v>12</v>
      </c>
      <c r="E741" s="6"/>
      <c r="F741" s="6"/>
    </row>
    <row r="742" customFormat="false" ht="15" hidden="false" customHeight="false" outlineLevel="0" collapsed="false">
      <c r="A742" s="5" t="s">
        <v>880</v>
      </c>
      <c r="B742" s="5" t="s">
        <v>54</v>
      </c>
      <c r="C742" s="6" t="n">
        <v>6</v>
      </c>
      <c r="D742" s="6" t="n">
        <v>6</v>
      </c>
      <c r="E742" s="6"/>
      <c r="F742" s="6"/>
    </row>
    <row r="743" customFormat="false" ht="15" hidden="false" customHeight="false" outlineLevel="0" collapsed="false">
      <c r="A743" s="5" t="s">
        <v>881</v>
      </c>
      <c r="B743" s="5" t="s">
        <v>54</v>
      </c>
      <c r="C743" s="6" t="n">
        <v>12</v>
      </c>
      <c r="D743" s="6" t="n">
        <v>0</v>
      </c>
      <c r="E743" s="6"/>
      <c r="F743" s="6"/>
    </row>
    <row r="744" customFormat="false" ht="15" hidden="false" customHeight="false" outlineLevel="0" collapsed="false">
      <c r="A744" s="5" t="s">
        <v>882</v>
      </c>
      <c r="B744" s="5" t="s">
        <v>54</v>
      </c>
      <c r="C744" s="6" t="n">
        <v>6</v>
      </c>
      <c r="D744" s="6" t="n">
        <v>6</v>
      </c>
      <c r="E744" s="6"/>
      <c r="F744" s="6"/>
    </row>
    <row r="745" customFormat="false" ht="15" hidden="false" customHeight="false" outlineLevel="0" collapsed="false">
      <c r="A745" s="5" t="s">
        <v>883</v>
      </c>
      <c r="B745" s="5" t="s">
        <v>54</v>
      </c>
      <c r="C745" s="6" t="n">
        <v>12</v>
      </c>
      <c r="D745" s="6" t="n">
        <v>0</v>
      </c>
      <c r="E745" s="6"/>
      <c r="F745" s="6"/>
    </row>
    <row r="746" customFormat="false" ht="15" hidden="false" customHeight="false" outlineLevel="0" collapsed="false">
      <c r="A746" s="5" t="s">
        <v>884</v>
      </c>
      <c r="B746" s="5" t="s">
        <v>54</v>
      </c>
      <c r="C746" s="6" t="n">
        <v>6</v>
      </c>
      <c r="D746" s="6" t="n">
        <v>6</v>
      </c>
      <c r="E746" s="6"/>
      <c r="F746" s="6"/>
    </row>
    <row r="747" customFormat="false" ht="15" hidden="false" customHeight="false" outlineLevel="0" collapsed="false">
      <c r="A747" s="5" t="s">
        <v>885</v>
      </c>
      <c r="B747" s="5" t="s">
        <v>54</v>
      </c>
      <c r="C747" s="6" t="n">
        <v>8</v>
      </c>
      <c r="D747" s="6" t="n">
        <v>0</v>
      </c>
      <c r="E747" s="6"/>
      <c r="F747" s="6"/>
    </row>
    <row r="748" customFormat="false" ht="15" hidden="false" customHeight="false" outlineLevel="0" collapsed="false">
      <c r="A748" s="5" t="s">
        <v>886</v>
      </c>
      <c r="B748" s="5" t="s">
        <v>54</v>
      </c>
      <c r="C748" s="6" t="n">
        <v>0</v>
      </c>
      <c r="D748" s="6" t="n">
        <v>6</v>
      </c>
      <c r="E748" s="6"/>
      <c r="F748" s="6"/>
    </row>
    <row r="749" customFormat="false" ht="15" hidden="false" customHeight="false" outlineLevel="0" collapsed="false">
      <c r="A749" s="5" t="s">
        <v>887</v>
      </c>
      <c r="B749" s="5" t="s">
        <v>54</v>
      </c>
      <c r="C749" s="6" t="n">
        <v>4</v>
      </c>
      <c r="D749" s="6" t="n">
        <v>1</v>
      </c>
      <c r="E749" s="6"/>
      <c r="F749" s="6"/>
    </row>
    <row r="750" customFormat="false" ht="15" hidden="false" customHeight="false" outlineLevel="0" collapsed="false">
      <c r="A750" s="5" t="s">
        <v>888</v>
      </c>
      <c r="B750" s="5" t="s">
        <v>54</v>
      </c>
      <c r="C750" s="6" t="n">
        <v>12</v>
      </c>
      <c r="D750" s="6" t="n">
        <v>0</v>
      </c>
      <c r="E750" s="6"/>
      <c r="F750" s="6"/>
    </row>
    <row r="751" customFormat="false" ht="15" hidden="false" customHeight="false" outlineLevel="0" collapsed="false">
      <c r="A751" s="5" t="s">
        <v>889</v>
      </c>
      <c r="B751" s="5" t="s">
        <v>54</v>
      </c>
      <c r="C751" s="6" t="n">
        <v>6</v>
      </c>
      <c r="D751" s="6" t="n">
        <v>0</v>
      </c>
      <c r="E751" s="6"/>
      <c r="F751" s="6"/>
    </row>
    <row r="752" customFormat="false" ht="15" hidden="false" customHeight="false" outlineLevel="0" collapsed="false">
      <c r="A752" s="5" t="s">
        <v>890</v>
      </c>
      <c r="B752" s="5" t="s">
        <v>54</v>
      </c>
      <c r="C752" s="6" t="n">
        <v>6</v>
      </c>
      <c r="D752" s="6" t="n">
        <v>0</v>
      </c>
      <c r="E752" s="6"/>
      <c r="F752" s="6"/>
    </row>
    <row r="753" customFormat="false" ht="15" hidden="false" customHeight="false" outlineLevel="0" collapsed="false">
      <c r="A753" s="5" t="s">
        <v>891</v>
      </c>
      <c r="B753" s="5" t="s">
        <v>54</v>
      </c>
      <c r="C753" s="6" t="n">
        <v>0</v>
      </c>
      <c r="D753" s="6"/>
      <c r="E753" s="6" t="n">
        <v>0</v>
      </c>
      <c r="F753" s="6"/>
    </row>
    <row r="754" customFormat="false" ht="15" hidden="false" customHeight="false" outlineLevel="0" collapsed="false">
      <c r="A754" s="5" t="s">
        <v>892</v>
      </c>
      <c r="B754" s="5" t="s">
        <v>54</v>
      </c>
      <c r="C754" s="6" t="n">
        <v>0</v>
      </c>
      <c r="D754" s="6"/>
      <c r="E754" s="6"/>
      <c r="F754" s="6" t="n">
        <v>0</v>
      </c>
    </row>
    <row r="755" customFormat="false" ht="15" hidden="false" customHeight="false" outlineLevel="0" collapsed="false">
      <c r="A755" s="5" t="s">
        <v>893</v>
      </c>
      <c r="B755" s="5" t="s">
        <v>54</v>
      </c>
      <c r="C755" s="6" t="n">
        <v>12</v>
      </c>
      <c r="D755" s="6" t="n">
        <v>0</v>
      </c>
      <c r="E755" s="6"/>
      <c r="F755" s="6"/>
    </row>
    <row r="756" customFormat="false" ht="15" hidden="false" customHeight="false" outlineLevel="0" collapsed="false">
      <c r="A756" s="5" t="s">
        <v>894</v>
      </c>
      <c r="B756" s="5" t="s">
        <v>54</v>
      </c>
      <c r="C756" s="6" t="n">
        <v>12</v>
      </c>
      <c r="D756" s="6" t="n">
        <v>0</v>
      </c>
      <c r="E756" s="6"/>
      <c r="F756" s="6"/>
    </row>
    <row r="757" customFormat="false" ht="15" hidden="false" customHeight="false" outlineLevel="0" collapsed="false">
      <c r="A757" s="5" t="s">
        <v>895</v>
      </c>
      <c r="B757" s="5" t="s">
        <v>54</v>
      </c>
      <c r="C757" s="6" t="n">
        <v>0</v>
      </c>
      <c r="D757" s="6" t="n">
        <v>12</v>
      </c>
      <c r="E757" s="6"/>
      <c r="F757" s="6"/>
    </row>
    <row r="758" customFormat="false" ht="15" hidden="false" customHeight="false" outlineLevel="0" collapsed="false">
      <c r="A758" s="5" t="s">
        <v>896</v>
      </c>
      <c r="B758" s="5" t="s">
        <v>54</v>
      </c>
      <c r="C758" s="6" t="n">
        <v>9.5</v>
      </c>
      <c r="D758" s="6" t="n">
        <v>6</v>
      </c>
      <c r="E758" s="6"/>
      <c r="F758" s="6"/>
    </row>
    <row r="759" customFormat="false" ht="15" hidden="false" customHeight="false" outlineLevel="0" collapsed="false">
      <c r="A759" s="5" t="s">
        <v>897</v>
      </c>
      <c r="B759" s="5" t="s">
        <v>54</v>
      </c>
      <c r="C759" s="6" t="n">
        <v>8</v>
      </c>
      <c r="D759" s="6" t="n">
        <v>4</v>
      </c>
      <c r="E759" s="6"/>
      <c r="F759" s="6"/>
    </row>
    <row r="760" customFormat="false" ht="15" hidden="false" customHeight="false" outlineLevel="0" collapsed="false">
      <c r="A760" s="5" t="s">
        <v>898</v>
      </c>
      <c r="B760" s="5" t="s">
        <v>54</v>
      </c>
      <c r="C760" s="6" t="n">
        <v>6</v>
      </c>
      <c r="D760" s="6" t="n">
        <v>6</v>
      </c>
      <c r="E760" s="6"/>
      <c r="F760" s="6"/>
    </row>
    <row r="761" customFormat="false" ht="15" hidden="false" customHeight="false" outlineLevel="0" collapsed="false">
      <c r="A761" s="5" t="s">
        <v>899</v>
      </c>
      <c r="B761" s="5" t="s">
        <v>54</v>
      </c>
      <c r="C761" s="6" t="n">
        <v>8</v>
      </c>
      <c r="D761" s="6" t="n">
        <v>12</v>
      </c>
      <c r="E761" s="6"/>
      <c r="F761" s="6"/>
    </row>
    <row r="762" customFormat="false" ht="15" hidden="false" customHeight="false" outlineLevel="0" collapsed="false">
      <c r="A762" s="5" t="s">
        <v>900</v>
      </c>
      <c r="B762" s="5" t="s">
        <v>54</v>
      </c>
      <c r="C762" s="6" t="n">
        <v>0</v>
      </c>
      <c r="D762" s="6" t="n">
        <v>12</v>
      </c>
      <c r="E762" s="6"/>
      <c r="F762" s="6"/>
    </row>
    <row r="763" customFormat="false" ht="15" hidden="false" customHeight="false" outlineLevel="0" collapsed="false">
      <c r="A763" s="5" t="s">
        <v>901</v>
      </c>
      <c r="B763" s="5" t="s">
        <v>54</v>
      </c>
      <c r="C763" s="6" t="n">
        <v>0</v>
      </c>
      <c r="D763" s="6" t="n">
        <v>0</v>
      </c>
      <c r="E763" s="6"/>
      <c r="F763" s="6"/>
    </row>
    <row r="764" customFormat="false" ht="15" hidden="false" customHeight="false" outlineLevel="0" collapsed="false">
      <c r="A764" s="5" t="s">
        <v>902</v>
      </c>
      <c r="B764" s="5" t="s">
        <v>195</v>
      </c>
      <c r="C764" s="6" t="n">
        <v>6</v>
      </c>
      <c r="D764" s="6" t="n">
        <v>12</v>
      </c>
      <c r="E764" s="6"/>
      <c r="F764" s="6"/>
    </row>
    <row r="765" customFormat="false" ht="15" hidden="false" customHeight="false" outlineLevel="0" collapsed="false">
      <c r="A765" s="5" t="s">
        <v>903</v>
      </c>
      <c r="B765" s="5" t="s">
        <v>197</v>
      </c>
      <c r="C765" s="6" t="n">
        <v>6</v>
      </c>
      <c r="D765" s="6" t="n">
        <v>4</v>
      </c>
      <c r="E765" s="6"/>
      <c r="F765" s="6"/>
    </row>
    <row r="766" customFormat="false" ht="15" hidden="false" customHeight="false" outlineLevel="0" collapsed="false">
      <c r="A766" s="5" t="s">
        <v>904</v>
      </c>
      <c r="B766" s="5" t="s">
        <v>197</v>
      </c>
      <c r="C766" s="6" t="n">
        <v>39</v>
      </c>
      <c r="D766" s="6" t="n">
        <v>13</v>
      </c>
      <c r="E766" s="6"/>
      <c r="F766" s="6"/>
    </row>
    <row r="767" customFormat="false" ht="15" hidden="false" customHeight="false" outlineLevel="0" collapsed="false">
      <c r="A767" s="5" t="s">
        <v>905</v>
      </c>
      <c r="B767" s="5" t="s">
        <v>197</v>
      </c>
      <c r="C767" s="6" t="n">
        <v>12</v>
      </c>
      <c r="D767" s="6" t="n">
        <v>4</v>
      </c>
      <c r="E767" s="6"/>
      <c r="F767" s="6"/>
    </row>
    <row r="768" customFormat="false" ht="15" hidden="false" customHeight="false" outlineLevel="0" collapsed="false">
      <c r="A768" s="5" t="s">
        <v>906</v>
      </c>
      <c r="B768" s="5" t="s">
        <v>197</v>
      </c>
      <c r="C768" s="6" t="n">
        <v>12</v>
      </c>
      <c r="D768" s="6" t="n">
        <v>0</v>
      </c>
      <c r="E768" s="6"/>
      <c r="F768" s="6"/>
    </row>
    <row r="769" customFormat="false" ht="15" hidden="false" customHeight="false" outlineLevel="0" collapsed="false">
      <c r="A769" s="5" t="s">
        <v>907</v>
      </c>
      <c r="B769" s="5" t="s">
        <v>197</v>
      </c>
      <c r="C769" s="6" t="n">
        <v>10</v>
      </c>
      <c r="D769" s="6" t="n">
        <v>6</v>
      </c>
      <c r="E769" s="6"/>
      <c r="F769" s="6"/>
    </row>
    <row r="770" customFormat="false" ht="15" hidden="false" customHeight="false" outlineLevel="0" collapsed="false">
      <c r="A770" s="5" t="s">
        <v>908</v>
      </c>
      <c r="B770" s="5" t="s">
        <v>197</v>
      </c>
      <c r="C770" s="6" t="n">
        <v>12</v>
      </c>
      <c r="D770" s="6" t="n">
        <v>4</v>
      </c>
      <c r="E770" s="6"/>
      <c r="F770" s="6"/>
    </row>
    <row r="771" customFormat="false" ht="15" hidden="false" customHeight="false" outlineLevel="0" collapsed="false">
      <c r="A771" s="5" t="s">
        <v>909</v>
      </c>
      <c r="B771" s="5" t="s">
        <v>197</v>
      </c>
      <c r="C771" s="6" t="n">
        <v>10</v>
      </c>
      <c r="D771" s="6" t="n">
        <v>12</v>
      </c>
      <c r="E771" s="6"/>
      <c r="F771" s="6"/>
    </row>
    <row r="772" customFormat="false" ht="15" hidden="false" customHeight="false" outlineLevel="0" collapsed="false">
      <c r="A772" s="5" t="s">
        <v>910</v>
      </c>
      <c r="B772" s="5" t="s">
        <v>197</v>
      </c>
      <c r="C772" s="6" t="n">
        <v>6</v>
      </c>
      <c r="D772" s="6" t="n">
        <v>6</v>
      </c>
      <c r="E772" s="6"/>
      <c r="F772" s="6"/>
    </row>
    <row r="773" customFormat="false" ht="15" hidden="false" customHeight="false" outlineLevel="0" collapsed="false">
      <c r="A773" s="5" t="s">
        <v>911</v>
      </c>
      <c r="B773" s="5" t="s">
        <v>197</v>
      </c>
      <c r="C773" s="6" t="n">
        <v>12</v>
      </c>
      <c r="D773" s="6" t="n">
        <v>0</v>
      </c>
      <c r="E773" s="6"/>
      <c r="F773" s="6"/>
    </row>
    <row r="774" customFormat="false" ht="15" hidden="false" customHeight="false" outlineLevel="0" collapsed="false">
      <c r="A774" s="5" t="s">
        <v>912</v>
      </c>
      <c r="B774" s="5" t="s">
        <v>197</v>
      </c>
      <c r="C774" s="6" t="n">
        <v>6</v>
      </c>
      <c r="D774" s="6" t="n">
        <v>10</v>
      </c>
      <c r="E774" s="6"/>
      <c r="F774" s="6"/>
    </row>
    <row r="775" customFormat="false" ht="15" hidden="false" customHeight="false" outlineLevel="0" collapsed="false">
      <c r="A775" s="5" t="s">
        <v>913</v>
      </c>
      <c r="B775" s="5" t="s">
        <v>197</v>
      </c>
      <c r="C775" s="6" t="n">
        <v>4</v>
      </c>
      <c r="D775" s="6" t="n">
        <v>1</v>
      </c>
      <c r="E775" s="6"/>
      <c r="F775" s="6"/>
    </row>
    <row r="776" customFormat="false" ht="15" hidden="false" customHeight="false" outlineLevel="0" collapsed="false">
      <c r="A776" s="5" t="s">
        <v>914</v>
      </c>
      <c r="B776" s="5" t="s">
        <v>197</v>
      </c>
      <c r="C776" s="6" t="n">
        <v>14</v>
      </c>
      <c r="D776" s="6" t="n">
        <v>0</v>
      </c>
      <c r="E776" s="6"/>
      <c r="F776" s="6"/>
    </row>
    <row r="777" customFormat="false" ht="15" hidden="false" customHeight="false" outlineLevel="0" collapsed="false">
      <c r="A777" s="5" t="s">
        <v>915</v>
      </c>
      <c r="B777" s="5" t="s">
        <v>197</v>
      </c>
      <c r="C777" s="6" t="n">
        <v>12</v>
      </c>
      <c r="D777" s="6" t="n">
        <v>2</v>
      </c>
      <c r="E777" s="6"/>
      <c r="F777" s="6"/>
    </row>
    <row r="778" customFormat="false" ht="15" hidden="false" customHeight="false" outlineLevel="0" collapsed="false">
      <c r="A778" s="5" t="s">
        <v>916</v>
      </c>
      <c r="B778" s="5" t="s">
        <v>197</v>
      </c>
      <c r="C778" s="6" t="n">
        <v>9</v>
      </c>
      <c r="D778" s="6" t="n">
        <v>18</v>
      </c>
      <c r="E778" s="6"/>
      <c r="F778" s="6"/>
    </row>
    <row r="779" customFormat="false" ht="15" hidden="false" customHeight="false" outlineLevel="0" collapsed="false">
      <c r="A779" s="5" t="s">
        <v>917</v>
      </c>
      <c r="B779" s="5" t="s">
        <v>918</v>
      </c>
      <c r="C779" s="6" t="n">
        <v>8</v>
      </c>
      <c r="D779" s="6" t="n">
        <v>0</v>
      </c>
      <c r="E779" s="6"/>
      <c r="F779" s="6"/>
    </row>
    <row r="780" customFormat="false" ht="15" hidden="false" customHeight="false" outlineLevel="0" collapsed="false">
      <c r="A780" s="5" t="s">
        <v>919</v>
      </c>
      <c r="B780" s="5" t="s">
        <v>918</v>
      </c>
      <c r="C780" s="6" t="n">
        <v>8</v>
      </c>
      <c r="D780" s="6" t="n">
        <v>4</v>
      </c>
      <c r="E780" s="6"/>
      <c r="F780" s="6"/>
    </row>
    <row r="781" customFormat="false" ht="15" hidden="false" customHeight="false" outlineLevel="0" collapsed="false">
      <c r="A781" s="5" t="s">
        <v>920</v>
      </c>
      <c r="B781" s="5" t="s">
        <v>921</v>
      </c>
      <c r="C781" s="6" t="n">
        <v>6</v>
      </c>
      <c r="D781" s="6" t="n">
        <v>6</v>
      </c>
      <c r="E781" s="6"/>
      <c r="F781" s="6"/>
    </row>
    <row r="782" customFormat="false" ht="15" hidden="false" customHeight="false" outlineLevel="0" collapsed="false">
      <c r="A782" s="5" t="s">
        <v>922</v>
      </c>
      <c r="B782" s="5" t="s">
        <v>921</v>
      </c>
      <c r="C782" s="6" t="n">
        <v>4</v>
      </c>
      <c r="D782" s="6" t="n">
        <v>9</v>
      </c>
      <c r="E782" s="6"/>
      <c r="F782" s="6"/>
    </row>
    <row r="783" customFormat="false" ht="15" hidden="false" customHeight="false" outlineLevel="0" collapsed="false">
      <c r="A783" s="5" t="s">
        <v>923</v>
      </c>
      <c r="B783" s="5" t="s">
        <v>921</v>
      </c>
      <c r="C783" s="6" t="n">
        <v>12</v>
      </c>
      <c r="D783" s="6" t="n">
        <v>4</v>
      </c>
      <c r="E783" s="6"/>
      <c r="F783" s="6"/>
    </row>
    <row r="784" customFormat="false" ht="15" hidden="false" customHeight="false" outlineLevel="0" collapsed="false">
      <c r="A784" s="5" t="s">
        <v>924</v>
      </c>
      <c r="B784" s="5" t="s">
        <v>921</v>
      </c>
      <c r="C784" s="6" t="n">
        <v>6</v>
      </c>
      <c r="D784" s="6" t="n">
        <v>12</v>
      </c>
      <c r="E784" s="6"/>
      <c r="F784" s="6"/>
    </row>
    <row r="785" customFormat="false" ht="15" hidden="false" customHeight="false" outlineLevel="0" collapsed="false">
      <c r="A785" s="5" t="s">
        <v>925</v>
      </c>
      <c r="B785" s="5" t="s">
        <v>921</v>
      </c>
      <c r="C785" s="6" t="n">
        <v>6</v>
      </c>
      <c r="D785" s="6" t="n">
        <v>0</v>
      </c>
      <c r="E785" s="6"/>
      <c r="F785" s="6"/>
    </row>
    <row r="786" customFormat="false" ht="15" hidden="false" customHeight="false" outlineLevel="0" collapsed="false">
      <c r="A786" s="5" t="s">
        <v>926</v>
      </c>
      <c r="B786" s="5" t="s">
        <v>921</v>
      </c>
      <c r="C786" s="6" t="n">
        <v>12</v>
      </c>
      <c r="D786" s="6" t="n">
        <v>4</v>
      </c>
      <c r="E786" s="6"/>
      <c r="F786" s="6"/>
    </row>
    <row r="787" customFormat="false" ht="15" hidden="false" customHeight="false" outlineLevel="0" collapsed="false">
      <c r="A787" s="5" t="s">
        <v>927</v>
      </c>
      <c r="B787" s="5" t="s">
        <v>921</v>
      </c>
      <c r="C787" s="6" t="n">
        <v>8</v>
      </c>
      <c r="D787" s="6" t="n">
        <v>3</v>
      </c>
      <c r="E787" s="6"/>
      <c r="F787" s="6"/>
    </row>
    <row r="788" customFormat="false" ht="15" hidden="false" customHeight="false" outlineLevel="0" collapsed="false">
      <c r="A788" s="5" t="s">
        <v>928</v>
      </c>
      <c r="B788" s="5" t="s">
        <v>929</v>
      </c>
      <c r="C788" s="6" t="n">
        <v>12</v>
      </c>
      <c r="D788" s="6" t="n">
        <v>12</v>
      </c>
      <c r="E788" s="6"/>
      <c r="F788" s="6"/>
    </row>
    <row r="789" customFormat="false" ht="15" hidden="false" customHeight="false" outlineLevel="0" collapsed="false">
      <c r="A789" s="5" t="s">
        <v>930</v>
      </c>
      <c r="B789" s="5" t="s">
        <v>931</v>
      </c>
      <c r="C789" s="6" t="n">
        <v>1</v>
      </c>
      <c r="D789" s="6" t="n">
        <v>0</v>
      </c>
      <c r="E789" s="6"/>
      <c r="F789" s="6"/>
    </row>
    <row r="790" customFormat="false" ht="15" hidden="false" customHeight="false" outlineLevel="0" collapsed="false">
      <c r="A790" s="5" t="s">
        <v>932</v>
      </c>
      <c r="B790" s="5" t="s">
        <v>203</v>
      </c>
      <c r="C790" s="6" t="n">
        <v>12</v>
      </c>
      <c r="D790" s="6" t="n">
        <v>6</v>
      </c>
      <c r="E790" s="6"/>
      <c r="F790" s="6"/>
    </row>
    <row r="791" customFormat="false" ht="15" hidden="false" customHeight="false" outlineLevel="0" collapsed="false">
      <c r="A791" s="5" t="s">
        <v>933</v>
      </c>
      <c r="B791" s="5" t="s">
        <v>203</v>
      </c>
      <c r="C791" s="6" t="n">
        <v>8</v>
      </c>
      <c r="D791" s="6" t="n">
        <v>0</v>
      </c>
      <c r="E791" s="6"/>
      <c r="F791" s="6"/>
    </row>
    <row r="792" customFormat="false" ht="15" hidden="false" customHeight="false" outlineLevel="0" collapsed="false">
      <c r="A792" s="5" t="s">
        <v>934</v>
      </c>
      <c r="B792" s="5" t="s">
        <v>203</v>
      </c>
      <c r="C792" s="6" t="n">
        <v>2</v>
      </c>
      <c r="D792" s="6" t="n">
        <v>0</v>
      </c>
      <c r="E792" s="6"/>
      <c r="F792" s="6"/>
    </row>
    <row r="793" customFormat="false" ht="15" hidden="false" customHeight="false" outlineLevel="0" collapsed="false">
      <c r="A793" s="5" t="s">
        <v>935</v>
      </c>
      <c r="B793" s="5" t="s">
        <v>203</v>
      </c>
      <c r="C793" s="6" t="n">
        <v>12</v>
      </c>
      <c r="D793" s="6" t="n">
        <v>26</v>
      </c>
      <c r="E793" s="6"/>
      <c r="F793" s="6"/>
    </row>
    <row r="794" customFormat="false" ht="15" hidden="false" customHeight="false" outlineLevel="0" collapsed="false">
      <c r="A794" s="5" t="s">
        <v>936</v>
      </c>
      <c r="B794" s="5" t="s">
        <v>937</v>
      </c>
      <c r="C794" s="6" t="n">
        <v>12</v>
      </c>
      <c r="D794" s="6" t="n">
        <v>0</v>
      </c>
      <c r="E794" s="6"/>
      <c r="F794" s="6"/>
    </row>
    <row r="795" customFormat="false" ht="15" hidden="false" customHeight="false" outlineLevel="0" collapsed="false">
      <c r="A795" s="5" t="s">
        <v>938</v>
      </c>
      <c r="B795" s="5" t="s">
        <v>939</v>
      </c>
      <c r="C795" s="6" t="n">
        <v>8</v>
      </c>
      <c r="D795" s="6" t="n">
        <v>0</v>
      </c>
      <c r="E795" s="6"/>
      <c r="F795" s="6"/>
    </row>
    <row r="796" customFormat="false" ht="15" hidden="false" customHeight="false" outlineLevel="0" collapsed="false">
      <c r="A796" s="5" t="s">
        <v>940</v>
      </c>
      <c r="B796" s="5" t="s">
        <v>939</v>
      </c>
      <c r="C796" s="6" t="n">
        <v>8</v>
      </c>
      <c r="D796" s="6" t="n">
        <v>0</v>
      </c>
      <c r="E796" s="6"/>
      <c r="F796" s="6"/>
    </row>
    <row r="797" customFormat="false" ht="15" hidden="false" customHeight="false" outlineLevel="0" collapsed="false">
      <c r="A797" s="5" t="s">
        <v>941</v>
      </c>
      <c r="B797" s="5" t="s">
        <v>939</v>
      </c>
      <c r="C797" s="6" t="n">
        <v>8</v>
      </c>
      <c r="D797" s="6" t="n">
        <v>8</v>
      </c>
      <c r="E797" s="6"/>
      <c r="F797" s="6"/>
    </row>
    <row r="798" customFormat="false" ht="15" hidden="false" customHeight="false" outlineLevel="0" collapsed="false">
      <c r="A798" s="5" t="s">
        <v>942</v>
      </c>
      <c r="B798" s="5" t="s">
        <v>939</v>
      </c>
      <c r="C798" s="6" t="n">
        <v>4</v>
      </c>
      <c r="D798" s="6" t="n">
        <v>2</v>
      </c>
      <c r="E798" s="6"/>
      <c r="F798" s="6"/>
    </row>
    <row r="799" customFormat="false" ht="15" hidden="false" customHeight="false" outlineLevel="0" collapsed="false">
      <c r="A799" s="5" t="s">
        <v>943</v>
      </c>
      <c r="B799" s="5" t="s">
        <v>206</v>
      </c>
      <c r="C799" s="6" t="n">
        <v>6</v>
      </c>
      <c r="D799" s="6"/>
      <c r="E799" s="6" t="n">
        <v>2</v>
      </c>
      <c r="F799" s="6"/>
    </row>
    <row r="800" customFormat="false" ht="15" hidden="false" customHeight="false" outlineLevel="0" collapsed="false">
      <c r="A800" s="5" t="s">
        <v>944</v>
      </c>
      <c r="B800" s="5" t="s">
        <v>206</v>
      </c>
      <c r="C800" s="6" t="n">
        <v>12</v>
      </c>
      <c r="D800" s="6" t="n">
        <v>0</v>
      </c>
      <c r="E800" s="6"/>
      <c r="F800" s="6"/>
    </row>
    <row r="801" customFormat="false" ht="15" hidden="false" customHeight="false" outlineLevel="0" collapsed="false">
      <c r="A801" s="5" t="s">
        <v>945</v>
      </c>
      <c r="B801" s="5" t="s">
        <v>206</v>
      </c>
      <c r="C801" s="6" t="n">
        <v>6</v>
      </c>
      <c r="D801" s="6" t="n">
        <v>12</v>
      </c>
      <c r="E801" s="6"/>
      <c r="F801" s="6"/>
    </row>
    <row r="802" customFormat="false" ht="15" hidden="false" customHeight="false" outlineLevel="0" collapsed="false">
      <c r="A802" s="5" t="s">
        <v>946</v>
      </c>
      <c r="B802" s="5" t="s">
        <v>206</v>
      </c>
      <c r="C802" s="6" t="n">
        <v>6</v>
      </c>
      <c r="D802" s="6" t="n">
        <v>30</v>
      </c>
      <c r="E802" s="6"/>
      <c r="F802" s="6"/>
    </row>
    <row r="803" customFormat="false" ht="15" hidden="false" customHeight="false" outlineLevel="0" collapsed="false">
      <c r="A803" s="5" t="s">
        <v>947</v>
      </c>
      <c r="B803" s="5" t="s">
        <v>206</v>
      </c>
      <c r="C803" s="6" t="n">
        <v>4</v>
      </c>
      <c r="D803" s="6" t="n">
        <v>8</v>
      </c>
      <c r="E803" s="6"/>
      <c r="F803" s="6"/>
    </row>
    <row r="804" customFormat="false" ht="15" hidden="false" customHeight="false" outlineLevel="0" collapsed="false">
      <c r="A804" s="5" t="s">
        <v>948</v>
      </c>
      <c r="B804" s="5" t="s">
        <v>206</v>
      </c>
      <c r="C804" s="6" t="n">
        <v>0</v>
      </c>
      <c r="D804" s="6" t="n">
        <v>12</v>
      </c>
      <c r="E804" s="6"/>
      <c r="F804" s="6"/>
    </row>
    <row r="805" customFormat="false" ht="15" hidden="false" customHeight="false" outlineLevel="0" collapsed="false">
      <c r="A805" s="5" t="s">
        <v>949</v>
      </c>
      <c r="B805" s="5" t="s">
        <v>206</v>
      </c>
      <c r="C805" s="6" t="n">
        <v>16</v>
      </c>
      <c r="D805" s="6" t="n">
        <v>0</v>
      </c>
      <c r="E805" s="6"/>
      <c r="F805" s="6"/>
    </row>
    <row r="806" customFormat="false" ht="15" hidden="false" customHeight="false" outlineLevel="0" collapsed="false">
      <c r="A806" s="5" t="s">
        <v>950</v>
      </c>
      <c r="B806" s="5" t="s">
        <v>206</v>
      </c>
      <c r="C806" s="6" t="n">
        <v>6</v>
      </c>
      <c r="D806" s="6" t="n">
        <v>11</v>
      </c>
      <c r="E806" s="6"/>
      <c r="F806" s="6"/>
    </row>
    <row r="807" customFormat="false" ht="15" hidden="false" customHeight="false" outlineLevel="0" collapsed="false">
      <c r="A807" s="5" t="s">
        <v>951</v>
      </c>
      <c r="B807" s="5" t="s">
        <v>952</v>
      </c>
      <c r="C807" s="6" t="n">
        <v>12</v>
      </c>
      <c r="D807" s="6" t="n">
        <v>6</v>
      </c>
      <c r="E807" s="6"/>
      <c r="F807" s="6"/>
    </row>
    <row r="808" customFormat="false" ht="15" hidden="false" customHeight="false" outlineLevel="0" collapsed="false">
      <c r="A808" s="5" t="s">
        <v>953</v>
      </c>
      <c r="B808" s="5" t="s">
        <v>952</v>
      </c>
      <c r="C808" s="6" t="n">
        <v>2</v>
      </c>
      <c r="D808" s="6" t="n">
        <v>16</v>
      </c>
      <c r="E808" s="6"/>
      <c r="F808" s="6"/>
    </row>
    <row r="809" customFormat="false" ht="15" hidden="false" customHeight="false" outlineLevel="0" collapsed="false">
      <c r="A809" s="5" t="s">
        <v>954</v>
      </c>
      <c r="B809" s="5" t="s">
        <v>952</v>
      </c>
      <c r="C809" s="6" t="n">
        <v>10.5</v>
      </c>
      <c r="D809" s="6" t="n">
        <v>27.5</v>
      </c>
      <c r="E809" s="6"/>
      <c r="F809" s="6"/>
    </row>
    <row r="810" customFormat="false" ht="15" hidden="false" customHeight="false" outlineLevel="0" collapsed="false">
      <c r="A810" s="5" t="s">
        <v>955</v>
      </c>
      <c r="B810" s="5" t="s">
        <v>952</v>
      </c>
      <c r="C810" s="6" t="n">
        <v>12</v>
      </c>
      <c r="D810" s="6" t="n">
        <v>4</v>
      </c>
      <c r="E810" s="6"/>
      <c r="F810" s="6"/>
    </row>
    <row r="811" customFormat="false" ht="15" hidden="false" customHeight="false" outlineLevel="0" collapsed="false">
      <c r="A811" s="5" t="s">
        <v>956</v>
      </c>
      <c r="B811" s="5" t="s">
        <v>209</v>
      </c>
      <c r="C811" s="6" t="n">
        <v>6</v>
      </c>
      <c r="D811" s="6" t="n">
        <v>4</v>
      </c>
      <c r="E811" s="6"/>
      <c r="F811" s="6"/>
    </row>
    <row r="812" customFormat="false" ht="15" hidden="false" customHeight="false" outlineLevel="0" collapsed="false">
      <c r="A812" s="5" t="s">
        <v>957</v>
      </c>
      <c r="B812" s="5" t="s">
        <v>209</v>
      </c>
      <c r="C812" s="6" t="n">
        <v>5</v>
      </c>
      <c r="D812" s="6" t="n">
        <v>10</v>
      </c>
      <c r="E812" s="6"/>
      <c r="F812" s="6"/>
    </row>
    <row r="813" customFormat="false" ht="15" hidden="false" customHeight="false" outlineLevel="0" collapsed="false">
      <c r="A813" s="5" t="s">
        <v>958</v>
      </c>
      <c r="B813" s="5" t="s">
        <v>209</v>
      </c>
      <c r="C813" s="6" t="n">
        <v>12</v>
      </c>
      <c r="D813" s="6" t="n">
        <v>8</v>
      </c>
      <c r="E813" s="6"/>
      <c r="F813" s="6"/>
    </row>
    <row r="814" customFormat="false" ht="15" hidden="false" customHeight="false" outlineLevel="0" collapsed="false">
      <c r="A814" s="5" t="s">
        <v>959</v>
      </c>
      <c r="B814" s="5" t="s">
        <v>209</v>
      </c>
      <c r="C814" s="6" t="n">
        <v>6</v>
      </c>
      <c r="D814" s="6"/>
      <c r="E814" s="6" t="n">
        <v>2</v>
      </c>
      <c r="F814" s="6"/>
    </row>
    <row r="815" customFormat="false" ht="15" hidden="false" customHeight="false" outlineLevel="0" collapsed="false">
      <c r="A815" s="5" t="s">
        <v>960</v>
      </c>
      <c r="B815" s="5" t="s">
        <v>209</v>
      </c>
      <c r="C815" s="6" t="n">
        <v>6</v>
      </c>
      <c r="D815" s="6" t="n">
        <v>6</v>
      </c>
      <c r="E815" s="6"/>
      <c r="F815" s="6"/>
    </row>
    <row r="816" customFormat="false" ht="15" hidden="false" customHeight="false" outlineLevel="0" collapsed="false">
      <c r="A816" s="5" t="s">
        <v>961</v>
      </c>
      <c r="B816" s="5" t="s">
        <v>211</v>
      </c>
      <c r="C816" s="6" t="n">
        <v>12</v>
      </c>
      <c r="D816" s="6" t="n">
        <v>12</v>
      </c>
      <c r="E816" s="6"/>
      <c r="F816" s="6"/>
    </row>
    <row r="817" customFormat="false" ht="15" hidden="false" customHeight="false" outlineLevel="0" collapsed="false">
      <c r="A817" s="5" t="s">
        <v>962</v>
      </c>
      <c r="B817" s="5" t="s">
        <v>211</v>
      </c>
      <c r="C817" s="6" t="n">
        <v>6</v>
      </c>
      <c r="D817" s="6" t="n">
        <v>12</v>
      </c>
      <c r="E817" s="6"/>
      <c r="F817" s="6"/>
    </row>
    <row r="818" customFormat="false" ht="15" hidden="false" customHeight="false" outlineLevel="0" collapsed="false">
      <c r="A818" s="5" t="s">
        <v>963</v>
      </c>
      <c r="B818" s="5" t="s">
        <v>211</v>
      </c>
      <c r="C818" s="6" t="n">
        <v>0</v>
      </c>
      <c r="D818" s="6" t="n">
        <v>12</v>
      </c>
      <c r="E818" s="6"/>
      <c r="F818" s="6"/>
    </row>
    <row r="819" customFormat="false" ht="15" hidden="false" customHeight="false" outlineLevel="0" collapsed="false">
      <c r="A819" s="5" t="s">
        <v>964</v>
      </c>
      <c r="B819" s="5" t="s">
        <v>211</v>
      </c>
      <c r="C819" s="6" t="n">
        <v>6</v>
      </c>
      <c r="D819" s="6" t="n">
        <v>12</v>
      </c>
      <c r="E819" s="6"/>
      <c r="F819" s="6"/>
    </row>
    <row r="820" customFormat="false" ht="15" hidden="false" customHeight="false" outlineLevel="0" collapsed="false">
      <c r="A820" s="5" t="s">
        <v>965</v>
      </c>
      <c r="B820" s="5" t="s">
        <v>211</v>
      </c>
      <c r="C820" s="6" t="n">
        <v>6</v>
      </c>
      <c r="D820" s="6" t="n">
        <v>6</v>
      </c>
      <c r="E820" s="6"/>
      <c r="F820" s="6"/>
    </row>
    <row r="821" customFormat="false" ht="15" hidden="false" customHeight="false" outlineLevel="0" collapsed="false">
      <c r="A821" s="5" t="s">
        <v>966</v>
      </c>
      <c r="B821" s="5" t="s">
        <v>211</v>
      </c>
      <c r="C821" s="6" t="n">
        <v>8</v>
      </c>
      <c r="D821" s="6" t="n">
        <v>4</v>
      </c>
      <c r="E821" s="6"/>
      <c r="F821" s="6"/>
    </row>
    <row r="822" customFormat="false" ht="15" hidden="false" customHeight="false" outlineLevel="0" collapsed="false">
      <c r="A822" s="5" t="s">
        <v>967</v>
      </c>
      <c r="B822" s="5" t="s">
        <v>211</v>
      </c>
      <c r="C822" s="6" t="n">
        <v>6</v>
      </c>
      <c r="D822" s="6" t="n">
        <v>12</v>
      </c>
      <c r="E822" s="6"/>
      <c r="F822" s="6"/>
    </row>
    <row r="823" customFormat="false" ht="15" hidden="false" customHeight="false" outlineLevel="0" collapsed="false">
      <c r="A823" s="5" t="s">
        <v>968</v>
      </c>
      <c r="B823" s="5" t="s">
        <v>213</v>
      </c>
      <c r="C823" s="6" t="n">
        <v>12</v>
      </c>
      <c r="D823" s="6" t="n">
        <v>52</v>
      </c>
      <c r="E823" s="6"/>
      <c r="F823" s="6"/>
    </row>
    <row r="824" customFormat="false" ht="15" hidden="false" customHeight="false" outlineLevel="0" collapsed="false">
      <c r="A824" s="5" t="s">
        <v>969</v>
      </c>
      <c r="B824" s="5" t="s">
        <v>215</v>
      </c>
      <c r="C824" s="6" t="n">
        <v>12</v>
      </c>
      <c r="D824" s="6" t="n">
        <v>12</v>
      </c>
      <c r="E824" s="6"/>
      <c r="F824" s="6"/>
    </row>
    <row r="825" customFormat="false" ht="15" hidden="false" customHeight="false" outlineLevel="0" collapsed="false">
      <c r="A825" s="5" t="s">
        <v>970</v>
      </c>
      <c r="B825" s="5" t="s">
        <v>215</v>
      </c>
      <c r="C825" s="6" t="n">
        <v>8</v>
      </c>
      <c r="D825" s="6" t="n">
        <v>6</v>
      </c>
      <c r="E825" s="6"/>
      <c r="F825" s="6"/>
    </row>
    <row r="826" customFormat="false" ht="15" hidden="false" customHeight="false" outlineLevel="0" collapsed="false">
      <c r="A826" s="5" t="s">
        <v>971</v>
      </c>
      <c r="B826" s="5" t="s">
        <v>215</v>
      </c>
      <c r="C826" s="6" t="n">
        <v>12</v>
      </c>
      <c r="D826" s="6" t="n">
        <v>0</v>
      </c>
      <c r="E826" s="6"/>
      <c r="F826" s="6"/>
    </row>
    <row r="827" customFormat="false" ht="15" hidden="false" customHeight="false" outlineLevel="0" collapsed="false">
      <c r="A827" s="5" t="s">
        <v>972</v>
      </c>
      <c r="B827" s="5" t="s">
        <v>215</v>
      </c>
      <c r="C827" s="6" t="n">
        <v>8</v>
      </c>
      <c r="D827" s="6" t="n">
        <v>4</v>
      </c>
      <c r="E827" s="6"/>
      <c r="F827" s="6"/>
    </row>
    <row r="828" customFormat="false" ht="15" hidden="false" customHeight="false" outlineLevel="0" collapsed="false">
      <c r="A828" s="5" t="s">
        <v>973</v>
      </c>
      <c r="B828" s="5" t="s">
        <v>215</v>
      </c>
      <c r="C828" s="6" t="n">
        <v>2</v>
      </c>
      <c r="D828" s="6" t="n">
        <v>8</v>
      </c>
      <c r="E828" s="6"/>
      <c r="F828" s="6"/>
    </row>
    <row r="829" customFormat="false" ht="15" hidden="false" customHeight="false" outlineLevel="0" collapsed="false">
      <c r="A829" s="5" t="s">
        <v>974</v>
      </c>
      <c r="B829" s="5" t="s">
        <v>215</v>
      </c>
      <c r="C829" s="6" t="n">
        <v>4</v>
      </c>
      <c r="D829" s="6" t="n">
        <v>12</v>
      </c>
      <c r="E829" s="6"/>
      <c r="F829" s="6"/>
    </row>
    <row r="830" customFormat="false" ht="15" hidden="false" customHeight="false" outlineLevel="0" collapsed="false">
      <c r="A830" s="5" t="s">
        <v>975</v>
      </c>
      <c r="B830" s="5" t="s">
        <v>215</v>
      </c>
      <c r="C830" s="6" t="n">
        <v>1</v>
      </c>
      <c r="D830" s="6" t="n">
        <v>8</v>
      </c>
      <c r="E830" s="6"/>
      <c r="F830" s="6"/>
    </row>
    <row r="831" customFormat="false" ht="15" hidden="false" customHeight="false" outlineLevel="0" collapsed="false">
      <c r="A831" s="5" t="s">
        <v>976</v>
      </c>
      <c r="B831" s="5" t="s">
        <v>215</v>
      </c>
      <c r="C831" s="6" t="n">
        <v>12</v>
      </c>
      <c r="D831" s="6" t="n">
        <v>0</v>
      </c>
      <c r="E831" s="6"/>
      <c r="F831" s="6"/>
    </row>
    <row r="832" customFormat="false" ht="15" hidden="false" customHeight="false" outlineLevel="0" collapsed="false">
      <c r="A832" s="5" t="s">
        <v>977</v>
      </c>
      <c r="B832" s="5" t="s">
        <v>978</v>
      </c>
      <c r="C832" s="6" t="n">
        <v>12</v>
      </c>
      <c r="D832" s="6" t="n">
        <v>0</v>
      </c>
      <c r="E832" s="6"/>
      <c r="F832" s="6"/>
    </row>
    <row r="833" customFormat="false" ht="15" hidden="false" customHeight="false" outlineLevel="0" collapsed="false">
      <c r="A833" s="5" t="s">
        <v>979</v>
      </c>
      <c r="B833" s="5" t="s">
        <v>978</v>
      </c>
      <c r="C833" s="6" t="n">
        <v>12</v>
      </c>
      <c r="D833" s="6" t="n">
        <v>0</v>
      </c>
      <c r="E833" s="6"/>
      <c r="F833" s="6"/>
    </row>
    <row r="834" customFormat="false" ht="15" hidden="false" customHeight="false" outlineLevel="0" collapsed="false">
      <c r="A834" s="5" t="s">
        <v>980</v>
      </c>
      <c r="B834" s="5" t="s">
        <v>978</v>
      </c>
      <c r="C834" s="6" t="n">
        <v>16</v>
      </c>
      <c r="D834" s="6" t="n">
        <v>2</v>
      </c>
      <c r="E834" s="6"/>
      <c r="F834" s="6"/>
    </row>
    <row r="835" customFormat="false" ht="15" hidden="false" customHeight="false" outlineLevel="0" collapsed="false">
      <c r="A835" s="5" t="s">
        <v>981</v>
      </c>
      <c r="B835" s="5" t="s">
        <v>978</v>
      </c>
      <c r="C835" s="6" t="n">
        <v>4</v>
      </c>
      <c r="D835" s="6" t="n">
        <v>0</v>
      </c>
      <c r="E835" s="6"/>
      <c r="F835" s="6"/>
    </row>
    <row r="836" customFormat="false" ht="15" hidden="false" customHeight="false" outlineLevel="0" collapsed="false">
      <c r="A836" s="5" t="s">
        <v>982</v>
      </c>
      <c r="B836" s="5" t="s">
        <v>978</v>
      </c>
      <c r="C836" s="6" t="n">
        <v>10</v>
      </c>
      <c r="D836" s="6" t="n">
        <v>0</v>
      </c>
      <c r="E836" s="6"/>
      <c r="F836" s="6"/>
    </row>
    <row r="837" customFormat="false" ht="15" hidden="false" customHeight="false" outlineLevel="0" collapsed="false">
      <c r="A837" s="5" t="s">
        <v>983</v>
      </c>
      <c r="B837" s="5" t="s">
        <v>978</v>
      </c>
      <c r="C837" s="6" t="n">
        <v>2</v>
      </c>
      <c r="D837" s="6" t="n">
        <v>6</v>
      </c>
      <c r="E837" s="6"/>
      <c r="F837" s="6"/>
    </row>
    <row r="838" customFormat="false" ht="15" hidden="false" customHeight="false" outlineLevel="0" collapsed="false">
      <c r="A838" s="5" t="s">
        <v>984</v>
      </c>
      <c r="B838" s="5" t="s">
        <v>978</v>
      </c>
      <c r="C838" s="6" t="n">
        <v>6</v>
      </c>
      <c r="D838" s="6" t="n">
        <v>12</v>
      </c>
      <c r="E838" s="6"/>
      <c r="F838" s="6"/>
    </row>
    <row r="839" customFormat="false" ht="15" hidden="false" customHeight="false" outlineLevel="0" collapsed="false">
      <c r="A839" s="5" t="s">
        <v>985</v>
      </c>
      <c r="B839" s="5" t="s">
        <v>978</v>
      </c>
      <c r="C839" s="6" t="n">
        <v>12</v>
      </c>
      <c r="D839" s="6" t="n">
        <v>0</v>
      </c>
      <c r="E839" s="6"/>
      <c r="F839" s="6"/>
    </row>
    <row r="840" customFormat="false" ht="15" hidden="false" customHeight="false" outlineLevel="0" collapsed="false">
      <c r="A840" s="5" t="s">
        <v>986</v>
      </c>
      <c r="B840" s="5" t="s">
        <v>978</v>
      </c>
      <c r="C840" s="6" t="n">
        <v>2</v>
      </c>
      <c r="D840" s="6" t="n">
        <v>12</v>
      </c>
      <c r="E840" s="6"/>
      <c r="F840" s="6"/>
    </row>
    <row r="841" customFormat="false" ht="15" hidden="false" customHeight="false" outlineLevel="0" collapsed="false">
      <c r="A841" s="5" t="s">
        <v>987</v>
      </c>
      <c r="B841" s="5" t="s">
        <v>978</v>
      </c>
      <c r="C841" s="6" t="n">
        <v>4</v>
      </c>
      <c r="D841" s="6" t="n">
        <v>0</v>
      </c>
      <c r="E841" s="6"/>
      <c r="F841" s="6"/>
    </row>
    <row r="842" customFormat="false" ht="15" hidden="false" customHeight="false" outlineLevel="0" collapsed="false">
      <c r="A842" s="5" t="s">
        <v>988</v>
      </c>
      <c r="B842" s="5" t="s">
        <v>56</v>
      </c>
      <c r="C842" s="6" t="n">
        <v>6</v>
      </c>
      <c r="D842" s="6" t="n">
        <v>6</v>
      </c>
      <c r="E842" s="6"/>
      <c r="F842" s="6"/>
    </row>
    <row r="843" customFormat="false" ht="15" hidden="false" customHeight="false" outlineLevel="0" collapsed="false">
      <c r="A843" s="5" t="s">
        <v>989</v>
      </c>
      <c r="B843" s="5" t="s">
        <v>56</v>
      </c>
      <c r="C843" s="6" t="n">
        <v>6</v>
      </c>
      <c r="D843" s="6" t="n">
        <v>6</v>
      </c>
      <c r="E843" s="6"/>
      <c r="F843" s="6"/>
    </row>
    <row r="844" customFormat="false" ht="15" hidden="false" customHeight="false" outlineLevel="0" collapsed="false">
      <c r="A844" s="5" t="s">
        <v>990</v>
      </c>
      <c r="B844" s="5" t="s">
        <v>56</v>
      </c>
      <c r="C844" s="6" t="n">
        <v>6</v>
      </c>
      <c r="D844" s="6" t="n">
        <v>6</v>
      </c>
      <c r="E844" s="6"/>
      <c r="F844" s="6"/>
    </row>
    <row r="845" customFormat="false" ht="15" hidden="false" customHeight="false" outlineLevel="0" collapsed="false">
      <c r="A845" s="5" t="s">
        <v>991</v>
      </c>
      <c r="B845" s="5" t="s">
        <v>56</v>
      </c>
      <c r="C845" s="6" t="n">
        <v>12</v>
      </c>
      <c r="D845" s="6"/>
      <c r="E845" s="6" t="n">
        <v>2</v>
      </c>
      <c r="F845" s="6"/>
    </row>
    <row r="846" customFormat="false" ht="15" hidden="false" customHeight="false" outlineLevel="0" collapsed="false">
      <c r="A846" s="5" t="s">
        <v>992</v>
      </c>
      <c r="B846" s="5" t="s">
        <v>56</v>
      </c>
      <c r="C846" s="6" t="n">
        <v>12</v>
      </c>
      <c r="D846" s="6" t="n">
        <v>12</v>
      </c>
      <c r="E846" s="6"/>
      <c r="F846" s="6"/>
    </row>
    <row r="847" customFormat="false" ht="15" hidden="false" customHeight="false" outlineLevel="0" collapsed="false">
      <c r="A847" s="5" t="s">
        <v>993</v>
      </c>
      <c r="B847" s="5" t="s">
        <v>56</v>
      </c>
      <c r="C847" s="6" t="n">
        <v>7</v>
      </c>
      <c r="D847" s="6" t="n">
        <v>0</v>
      </c>
      <c r="E847" s="6"/>
      <c r="F847" s="6"/>
    </row>
    <row r="848" customFormat="false" ht="15" hidden="false" customHeight="false" outlineLevel="0" collapsed="false">
      <c r="A848" s="5" t="s">
        <v>994</v>
      </c>
      <c r="B848" s="5" t="s">
        <v>56</v>
      </c>
      <c r="C848" s="6" t="n">
        <v>9</v>
      </c>
      <c r="D848" s="6" t="n">
        <v>0</v>
      </c>
      <c r="E848" s="6"/>
      <c r="F848" s="6"/>
    </row>
    <row r="849" customFormat="false" ht="15" hidden="false" customHeight="false" outlineLevel="0" collapsed="false">
      <c r="A849" s="5" t="s">
        <v>995</v>
      </c>
      <c r="B849" s="5" t="s">
        <v>56</v>
      </c>
      <c r="C849" s="6" t="n">
        <v>10</v>
      </c>
      <c r="D849" s="6" t="n">
        <v>2</v>
      </c>
      <c r="E849" s="6"/>
      <c r="F849" s="6"/>
    </row>
    <row r="850" customFormat="false" ht="15" hidden="false" customHeight="false" outlineLevel="0" collapsed="false">
      <c r="A850" s="5" t="s">
        <v>996</v>
      </c>
      <c r="B850" s="5" t="s">
        <v>56</v>
      </c>
      <c r="C850" s="6" t="n">
        <v>1</v>
      </c>
      <c r="D850" s="6" t="n">
        <v>12</v>
      </c>
      <c r="E850" s="6"/>
      <c r="F850" s="6"/>
    </row>
    <row r="851" customFormat="false" ht="15" hidden="false" customHeight="false" outlineLevel="0" collapsed="false">
      <c r="A851" s="5" t="s">
        <v>997</v>
      </c>
      <c r="B851" s="5" t="s">
        <v>56</v>
      </c>
      <c r="C851" s="6" t="n">
        <v>12</v>
      </c>
      <c r="D851" s="6" t="n">
        <v>0</v>
      </c>
      <c r="E851" s="6"/>
      <c r="F851" s="6"/>
    </row>
    <row r="852" customFormat="false" ht="15" hidden="false" customHeight="false" outlineLevel="0" collapsed="false">
      <c r="A852" s="5" t="s">
        <v>998</v>
      </c>
      <c r="B852" s="5" t="s">
        <v>999</v>
      </c>
      <c r="C852" s="6" t="n">
        <v>4</v>
      </c>
      <c r="D852" s="6" t="n">
        <v>0</v>
      </c>
      <c r="E852" s="6"/>
      <c r="F852" s="6"/>
    </row>
    <row r="853" customFormat="false" ht="15" hidden="false" customHeight="false" outlineLevel="0" collapsed="false">
      <c r="A853" s="5" t="s">
        <v>1000</v>
      </c>
      <c r="B853" s="5" t="s">
        <v>999</v>
      </c>
      <c r="C853" s="6" t="n">
        <v>4</v>
      </c>
      <c r="D853" s="6" t="n">
        <v>0</v>
      </c>
      <c r="E853" s="6"/>
      <c r="F853" s="6"/>
    </row>
    <row r="854" customFormat="false" ht="15" hidden="false" customHeight="false" outlineLevel="0" collapsed="false">
      <c r="A854" s="5" t="s">
        <v>1001</v>
      </c>
      <c r="B854" s="5" t="s">
        <v>999</v>
      </c>
      <c r="C854" s="6" t="n">
        <v>6</v>
      </c>
      <c r="D854" s="6" t="n">
        <v>6</v>
      </c>
      <c r="E854" s="6"/>
      <c r="F854" s="6"/>
    </row>
    <row r="855" customFormat="false" ht="15" hidden="false" customHeight="false" outlineLevel="0" collapsed="false">
      <c r="A855" s="5" t="s">
        <v>1002</v>
      </c>
      <c r="B855" s="5" t="s">
        <v>999</v>
      </c>
      <c r="C855" s="6" t="n">
        <v>12</v>
      </c>
      <c r="D855" s="6" t="n">
        <v>0</v>
      </c>
      <c r="E855" s="6"/>
      <c r="F855" s="6"/>
    </row>
    <row r="856" customFormat="false" ht="15" hidden="false" customHeight="false" outlineLevel="0" collapsed="false">
      <c r="A856" s="5" t="s">
        <v>1003</v>
      </c>
      <c r="B856" s="5" t="s">
        <v>999</v>
      </c>
      <c r="C856" s="6" t="n">
        <v>12</v>
      </c>
      <c r="D856" s="6" t="n">
        <v>12</v>
      </c>
      <c r="E856" s="6"/>
      <c r="F856" s="6"/>
    </row>
    <row r="857" customFormat="false" ht="15" hidden="false" customHeight="false" outlineLevel="0" collapsed="false">
      <c r="A857" s="5" t="s">
        <v>1004</v>
      </c>
      <c r="B857" s="5" t="s">
        <v>225</v>
      </c>
      <c r="C857" s="6" t="n">
        <v>9</v>
      </c>
      <c r="D857" s="6" t="n">
        <v>6</v>
      </c>
      <c r="E857" s="6"/>
      <c r="F857" s="6"/>
    </row>
    <row r="858" customFormat="false" ht="15" hidden="false" customHeight="false" outlineLevel="0" collapsed="false">
      <c r="A858" s="5" t="s">
        <v>1005</v>
      </c>
      <c r="B858" s="5" t="s">
        <v>225</v>
      </c>
      <c r="C858" s="6" t="n">
        <v>6</v>
      </c>
      <c r="D858" s="6" t="n">
        <v>6</v>
      </c>
      <c r="E858" s="6"/>
      <c r="F858" s="6"/>
    </row>
    <row r="859" customFormat="false" ht="15" hidden="false" customHeight="false" outlineLevel="0" collapsed="false">
      <c r="A859" s="5" t="s">
        <v>1006</v>
      </c>
      <c r="B859" s="5" t="s">
        <v>225</v>
      </c>
      <c r="C859" s="6" t="n">
        <v>6</v>
      </c>
      <c r="D859" s="6" t="n">
        <v>7.5</v>
      </c>
      <c r="E859" s="6"/>
      <c r="F859" s="6"/>
    </row>
    <row r="860" customFormat="false" ht="15" hidden="false" customHeight="false" outlineLevel="0" collapsed="false">
      <c r="A860" s="5" t="s">
        <v>1007</v>
      </c>
      <c r="B860" s="5" t="s">
        <v>227</v>
      </c>
      <c r="C860" s="6" t="n">
        <v>26</v>
      </c>
      <c r="D860" s="6" t="n">
        <v>0</v>
      </c>
      <c r="E860" s="6"/>
      <c r="F860" s="6"/>
    </row>
    <row r="861" customFormat="false" ht="15" hidden="false" customHeight="false" outlineLevel="0" collapsed="false">
      <c r="A861" s="5" t="s">
        <v>1008</v>
      </c>
      <c r="B861" s="5" t="s">
        <v>227</v>
      </c>
      <c r="C861" s="6" t="n">
        <v>9</v>
      </c>
      <c r="D861" s="6" t="n">
        <v>3</v>
      </c>
      <c r="E861" s="6"/>
      <c r="F861" s="6"/>
    </row>
    <row r="862" customFormat="false" ht="15" hidden="false" customHeight="false" outlineLevel="0" collapsed="false">
      <c r="A862" s="5" t="s">
        <v>1009</v>
      </c>
      <c r="B862" s="5" t="s">
        <v>227</v>
      </c>
      <c r="C862" s="6" t="n">
        <v>13</v>
      </c>
      <c r="D862" s="6" t="n">
        <v>20</v>
      </c>
      <c r="E862" s="6"/>
      <c r="F862" s="6"/>
    </row>
    <row r="863" customFormat="false" ht="15" hidden="false" customHeight="false" outlineLevel="0" collapsed="false">
      <c r="A863" s="5" t="s">
        <v>1010</v>
      </c>
      <c r="B863" s="5" t="s">
        <v>227</v>
      </c>
      <c r="C863" s="6" t="n">
        <v>16</v>
      </c>
      <c r="D863" s="6" t="n">
        <v>0</v>
      </c>
      <c r="E863" s="6"/>
      <c r="F863" s="6"/>
    </row>
    <row r="864" customFormat="false" ht="15" hidden="false" customHeight="false" outlineLevel="0" collapsed="false">
      <c r="A864" s="5" t="s">
        <v>1011</v>
      </c>
      <c r="B864" s="5" t="s">
        <v>227</v>
      </c>
      <c r="C864" s="6" t="n">
        <v>2</v>
      </c>
      <c r="D864" s="6" t="n">
        <v>6</v>
      </c>
      <c r="E864" s="6"/>
      <c r="F864" s="6"/>
    </row>
    <row r="865" customFormat="false" ht="15" hidden="false" customHeight="false" outlineLevel="0" collapsed="false">
      <c r="A865" s="5" t="s">
        <v>1012</v>
      </c>
      <c r="B865" s="5" t="s">
        <v>230</v>
      </c>
      <c r="C865" s="6" t="n">
        <v>15</v>
      </c>
      <c r="D865" s="6" t="n">
        <v>20</v>
      </c>
      <c r="E865" s="6"/>
      <c r="F865" s="6"/>
    </row>
    <row r="866" customFormat="false" ht="15" hidden="false" customHeight="false" outlineLevel="0" collapsed="false">
      <c r="A866" s="5" t="s">
        <v>1013</v>
      </c>
      <c r="B866" s="5" t="s">
        <v>230</v>
      </c>
      <c r="C866" s="6" t="n">
        <v>15</v>
      </c>
      <c r="D866" s="6" t="n">
        <v>2.5</v>
      </c>
      <c r="E866" s="6"/>
      <c r="F866" s="6"/>
    </row>
    <row r="867" customFormat="false" ht="15" hidden="false" customHeight="false" outlineLevel="0" collapsed="false">
      <c r="A867" s="5" t="s">
        <v>1014</v>
      </c>
      <c r="B867" s="5" t="s">
        <v>230</v>
      </c>
      <c r="C867" s="6" t="n">
        <v>12</v>
      </c>
      <c r="D867" s="6" t="n">
        <v>0</v>
      </c>
      <c r="E867" s="6"/>
      <c r="F867" s="6"/>
    </row>
    <row r="868" customFormat="false" ht="15" hidden="false" customHeight="false" outlineLevel="0" collapsed="false">
      <c r="A868" s="5" t="s">
        <v>1015</v>
      </c>
      <c r="B868" s="5" t="s">
        <v>230</v>
      </c>
      <c r="C868" s="6" t="n">
        <v>24</v>
      </c>
      <c r="D868" s="6" t="n">
        <v>8</v>
      </c>
      <c r="E868" s="6"/>
      <c r="F868" s="6"/>
    </row>
    <row r="869" customFormat="false" ht="15" hidden="false" customHeight="false" outlineLevel="0" collapsed="false">
      <c r="A869" s="5" t="s">
        <v>1016</v>
      </c>
      <c r="B869" s="5" t="s">
        <v>230</v>
      </c>
      <c r="C869" s="6" t="n">
        <v>15</v>
      </c>
      <c r="D869" s="6" t="n">
        <v>0</v>
      </c>
      <c r="E869" s="6"/>
      <c r="F869" s="6"/>
    </row>
    <row r="870" customFormat="false" ht="15" hidden="false" customHeight="false" outlineLevel="0" collapsed="false">
      <c r="A870" s="5" t="s">
        <v>1017</v>
      </c>
      <c r="B870" s="5" t="s">
        <v>230</v>
      </c>
      <c r="C870" s="6" t="n">
        <v>17</v>
      </c>
      <c r="D870" s="6" t="n">
        <v>0</v>
      </c>
      <c r="E870" s="6"/>
      <c r="F870" s="6"/>
    </row>
    <row r="871" customFormat="false" ht="15" hidden="false" customHeight="false" outlineLevel="0" collapsed="false">
      <c r="A871" s="5" t="s">
        <v>1018</v>
      </c>
      <c r="B871" s="5" t="s">
        <v>1019</v>
      </c>
      <c r="C871" s="6" t="n">
        <v>12</v>
      </c>
      <c r="D871" s="6" t="n">
        <v>10</v>
      </c>
      <c r="E871" s="6"/>
      <c r="F871" s="6"/>
    </row>
    <row r="872" customFormat="false" ht="15" hidden="false" customHeight="false" outlineLevel="0" collapsed="false">
      <c r="A872" s="5" t="s">
        <v>1020</v>
      </c>
      <c r="B872" s="5" t="s">
        <v>232</v>
      </c>
      <c r="C872" s="6" t="n">
        <v>12</v>
      </c>
      <c r="D872" s="6" t="n">
        <v>8</v>
      </c>
      <c r="E872" s="6"/>
      <c r="F872" s="6"/>
    </row>
    <row r="873" customFormat="false" ht="15" hidden="false" customHeight="false" outlineLevel="0" collapsed="false">
      <c r="A873" s="5" t="s">
        <v>1021</v>
      </c>
      <c r="B873" s="5" t="s">
        <v>232</v>
      </c>
      <c r="C873" s="6" t="n">
        <v>16</v>
      </c>
      <c r="D873" s="6" t="n">
        <v>1.5</v>
      </c>
      <c r="E873" s="6"/>
      <c r="F873" s="6"/>
    </row>
    <row r="874" customFormat="false" ht="15" hidden="false" customHeight="false" outlineLevel="0" collapsed="false">
      <c r="A874" s="5" t="s">
        <v>1022</v>
      </c>
      <c r="B874" s="5" t="s">
        <v>232</v>
      </c>
      <c r="C874" s="6" t="n">
        <v>12</v>
      </c>
      <c r="D874" s="6" t="n">
        <v>0</v>
      </c>
      <c r="E874" s="6"/>
      <c r="F874" s="6"/>
    </row>
    <row r="875" customFormat="false" ht="15" hidden="false" customHeight="false" outlineLevel="0" collapsed="false">
      <c r="A875" s="5" t="s">
        <v>1023</v>
      </c>
      <c r="B875" s="5" t="s">
        <v>232</v>
      </c>
      <c r="C875" s="6" t="n">
        <v>16</v>
      </c>
      <c r="D875" s="6" t="n">
        <v>0</v>
      </c>
      <c r="E875" s="6"/>
      <c r="F875" s="6"/>
    </row>
    <row r="876" customFormat="false" ht="15" hidden="false" customHeight="false" outlineLevel="0" collapsed="false">
      <c r="A876" s="5" t="s">
        <v>1024</v>
      </c>
      <c r="B876" s="5" t="s">
        <v>232</v>
      </c>
      <c r="C876" s="6" t="n">
        <v>12</v>
      </c>
      <c r="D876" s="6"/>
      <c r="E876" s="6" t="n">
        <v>12</v>
      </c>
      <c r="F876" s="6"/>
    </row>
    <row r="877" customFormat="false" ht="15" hidden="false" customHeight="false" outlineLevel="0" collapsed="false">
      <c r="A877" s="5" t="s">
        <v>1025</v>
      </c>
      <c r="B877" s="5" t="s">
        <v>232</v>
      </c>
      <c r="C877" s="6" t="n">
        <v>10</v>
      </c>
      <c r="D877" s="6" t="n">
        <v>8</v>
      </c>
      <c r="E877" s="6"/>
      <c r="F877" s="6"/>
    </row>
    <row r="878" customFormat="false" ht="15" hidden="false" customHeight="false" outlineLevel="0" collapsed="false">
      <c r="A878" s="5" t="s">
        <v>1026</v>
      </c>
      <c r="B878" s="5" t="s">
        <v>232</v>
      </c>
      <c r="C878" s="6" t="n">
        <v>5</v>
      </c>
      <c r="D878" s="6" t="n">
        <v>0</v>
      </c>
      <c r="E878" s="6"/>
      <c r="F878" s="6"/>
    </row>
    <row r="879" customFormat="false" ht="15" hidden="false" customHeight="false" outlineLevel="0" collapsed="false">
      <c r="A879" s="5" t="s">
        <v>1027</v>
      </c>
      <c r="B879" s="5" t="s">
        <v>232</v>
      </c>
      <c r="C879" s="6" t="n">
        <v>3</v>
      </c>
      <c r="D879" s="6" t="n">
        <v>3</v>
      </c>
      <c r="E879" s="6"/>
      <c r="F879" s="6"/>
    </row>
    <row r="880" customFormat="false" ht="15" hidden="false" customHeight="false" outlineLevel="0" collapsed="false">
      <c r="A880" s="5" t="s">
        <v>1028</v>
      </c>
      <c r="B880" s="5" t="s">
        <v>232</v>
      </c>
      <c r="C880" s="6" t="n">
        <v>26</v>
      </c>
      <c r="D880" s="6" t="n">
        <v>0</v>
      </c>
      <c r="E880" s="6"/>
      <c r="F880" s="6"/>
    </row>
    <row r="881" customFormat="false" ht="15" hidden="false" customHeight="false" outlineLevel="0" collapsed="false">
      <c r="A881" s="5" t="s">
        <v>1029</v>
      </c>
      <c r="B881" s="5" t="s">
        <v>232</v>
      </c>
      <c r="C881" s="6" t="n">
        <v>12</v>
      </c>
      <c r="D881" s="6" t="n">
        <v>0</v>
      </c>
      <c r="E881" s="6"/>
      <c r="F881" s="6"/>
    </row>
    <row r="882" customFormat="false" ht="15" hidden="false" customHeight="false" outlineLevel="0" collapsed="false">
      <c r="A882" s="5" t="s">
        <v>1030</v>
      </c>
      <c r="B882" s="5" t="s">
        <v>232</v>
      </c>
      <c r="C882" s="6" t="n">
        <v>18.5</v>
      </c>
      <c r="D882" s="6" t="n">
        <v>32.5</v>
      </c>
      <c r="E882" s="6"/>
      <c r="F882" s="6"/>
    </row>
    <row r="883" customFormat="false" ht="15" hidden="false" customHeight="false" outlineLevel="0" collapsed="false">
      <c r="A883" s="5" t="s">
        <v>1031</v>
      </c>
      <c r="B883" s="5" t="s">
        <v>232</v>
      </c>
      <c r="C883" s="6" t="n">
        <v>6</v>
      </c>
      <c r="D883" s="6" t="n">
        <v>12</v>
      </c>
      <c r="E883" s="6"/>
      <c r="F883" s="6"/>
    </row>
    <row r="884" customFormat="false" ht="15" hidden="false" customHeight="false" outlineLevel="0" collapsed="false">
      <c r="A884" s="5" t="s">
        <v>1032</v>
      </c>
      <c r="B884" s="5" t="s">
        <v>232</v>
      </c>
      <c r="C884" s="6" t="n">
        <v>12</v>
      </c>
      <c r="D884" s="6" t="n">
        <v>0</v>
      </c>
      <c r="E884" s="6"/>
      <c r="F884" s="6"/>
    </row>
    <row r="885" customFormat="false" ht="15" hidden="false" customHeight="false" outlineLevel="0" collapsed="false">
      <c r="A885" s="5" t="s">
        <v>1033</v>
      </c>
      <c r="B885" s="5" t="s">
        <v>232</v>
      </c>
      <c r="C885" s="6" t="n">
        <v>12</v>
      </c>
      <c r="D885" s="6" t="n">
        <v>0</v>
      </c>
      <c r="E885" s="6"/>
      <c r="F885" s="6"/>
    </row>
    <row r="886" customFormat="false" ht="15" hidden="false" customHeight="false" outlineLevel="0" collapsed="false">
      <c r="A886" s="5" t="s">
        <v>1034</v>
      </c>
      <c r="B886" s="5" t="s">
        <v>232</v>
      </c>
      <c r="C886" s="6" t="n">
        <v>1.5</v>
      </c>
      <c r="D886" s="6" t="n">
        <v>1</v>
      </c>
      <c r="E886" s="6"/>
      <c r="F886" s="6"/>
    </row>
    <row r="887" customFormat="false" ht="15" hidden="false" customHeight="false" outlineLevel="0" collapsed="false">
      <c r="A887" s="5" t="s">
        <v>1035</v>
      </c>
      <c r="B887" s="5" t="s">
        <v>232</v>
      </c>
      <c r="C887" s="6" t="n">
        <v>16</v>
      </c>
      <c r="D887" s="6" t="n">
        <v>0</v>
      </c>
      <c r="E887" s="6"/>
      <c r="F887" s="6"/>
    </row>
    <row r="888" customFormat="false" ht="15" hidden="false" customHeight="false" outlineLevel="0" collapsed="false">
      <c r="A888" s="5" t="s">
        <v>1036</v>
      </c>
      <c r="B888" s="5" t="s">
        <v>232</v>
      </c>
      <c r="C888" s="6" t="n">
        <v>52</v>
      </c>
      <c r="D888" s="6" t="n">
        <v>0</v>
      </c>
      <c r="E888" s="6"/>
      <c r="F888" s="6"/>
    </row>
    <row r="889" customFormat="false" ht="15" hidden="false" customHeight="false" outlineLevel="0" collapsed="false">
      <c r="A889" s="5" t="s">
        <v>1037</v>
      </c>
      <c r="B889" s="5" t="s">
        <v>232</v>
      </c>
      <c r="C889" s="6" t="n">
        <v>14</v>
      </c>
      <c r="D889" s="6" t="n">
        <v>0</v>
      </c>
      <c r="E889" s="6"/>
      <c r="F889" s="6"/>
    </row>
    <row r="890" customFormat="false" ht="15" hidden="false" customHeight="false" outlineLevel="0" collapsed="false">
      <c r="A890" s="5" t="s">
        <v>1038</v>
      </c>
      <c r="B890" s="5" t="s">
        <v>232</v>
      </c>
      <c r="C890" s="6" t="n">
        <v>3</v>
      </c>
      <c r="D890" s="6" t="n">
        <v>0</v>
      </c>
      <c r="E890" s="6"/>
      <c r="F890" s="6"/>
    </row>
    <row r="891" customFormat="false" ht="15" hidden="false" customHeight="false" outlineLevel="0" collapsed="false">
      <c r="A891" s="5" t="s">
        <v>1039</v>
      </c>
      <c r="B891" s="5" t="s">
        <v>232</v>
      </c>
      <c r="C891" s="6" t="n">
        <v>12</v>
      </c>
      <c r="D891" s="6" t="n">
        <v>0</v>
      </c>
      <c r="E891" s="6"/>
      <c r="F891" s="6"/>
    </row>
    <row r="892" customFormat="false" ht="15" hidden="false" customHeight="false" outlineLevel="0" collapsed="false">
      <c r="A892" s="5" t="s">
        <v>1040</v>
      </c>
      <c r="B892" s="5" t="s">
        <v>232</v>
      </c>
      <c r="C892" s="6" t="n">
        <v>16</v>
      </c>
      <c r="D892" s="6" t="n">
        <v>4</v>
      </c>
      <c r="E892" s="6"/>
      <c r="F892" s="6"/>
    </row>
    <row r="893" customFormat="false" ht="15" hidden="false" customHeight="false" outlineLevel="0" collapsed="false">
      <c r="A893" s="5" t="s">
        <v>1041</v>
      </c>
      <c r="B893" s="5" t="s">
        <v>232</v>
      </c>
      <c r="C893" s="6" t="n">
        <v>4</v>
      </c>
      <c r="D893" s="6" t="n">
        <v>12</v>
      </c>
      <c r="E893" s="6"/>
      <c r="F893" s="6"/>
    </row>
    <row r="894" customFormat="false" ht="15" hidden="false" customHeight="false" outlineLevel="0" collapsed="false">
      <c r="A894" s="5" t="s">
        <v>1042</v>
      </c>
      <c r="B894" s="5" t="s">
        <v>232</v>
      </c>
      <c r="C894" s="6" t="n">
        <v>12</v>
      </c>
      <c r="D894" s="6" t="n">
        <v>12</v>
      </c>
      <c r="E894" s="6"/>
      <c r="F894" s="6"/>
    </row>
    <row r="895" customFormat="false" ht="15" hidden="false" customHeight="false" outlineLevel="0" collapsed="false">
      <c r="A895" s="5" t="s">
        <v>1043</v>
      </c>
      <c r="B895" s="5" t="s">
        <v>232</v>
      </c>
      <c r="C895" s="6" t="n">
        <v>4</v>
      </c>
      <c r="D895" s="6" t="n">
        <v>12</v>
      </c>
      <c r="E895" s="6"/>
      <c r="F895" s="6"/>
    </row>
    <row r="896" customFormat="false" ht="15" hidden="false" customHeight="false" outlineLevel="0" collapsed="false">
      <c r="A896" s="5" t="s">
        <v>1044</v>
      </c>
      <c r="B896" s="5" t="s">
        <v>232</v>
      </c>
      <c r="C896" s="6" t="n">
        <v>20</v>
      </c>
      <c r="D896" s="6" t="n">
        <v>0</v>
      </c>
      <c r="E896" s="6"/>
      <c r="F896" s="6"/>
    </row>
    <row r="897" customFormat="false" ht="15" hidden="false" customHeight="false" outlineLevel="0" collapsed="false">
      <c r="A897" s="5" t="s">
        <v>1045</v>
      </c>
      <c r="B897" s="5" t="s">
        <v>232</v>
      </c>
      <c r="C897" s="6" t="n">
        <v>4</v>
      </c>
      <c r="D897" s="6" t="n">
        <v>0</v>
      </c>
      <c r="E897" s="6"/>
      <c r="F897" s="6"/>
    </row>
    <row r="898" customFormat="false" ht="15" hidden="false" customHeight="false" outlineLevel="0" collapsed="false">
      <c r="A898" s="5" t="s">
        <v>1046</v>
      </c>
      <c r="B898" s="5" t="s">
        <v>232</v>
      </c>
      <c r="C898" s="6" t="n">
        <v>4</v>
      </c>
      <c r="D898" s="6" t="n">
        <v>8</v>
      </c>
      <c r="E898" s="6"/>
      <c r="F898" s="6"/>
    </row>
    <row r="899" customFormat="false" ht="15" hidden="false" customHeight="false" outlineLevel="0" collapsed="false">
      <c r="A899" s="5" t="s">
        <v>1047</v>
      </c>
      <c r="B899" s="5" t="s">
        <v>232</v>
      </c>
      <c r="C899" s="6" t="n">
        <v>12</v>
      </c>
      <c r="D899" s="6" t="n">
        <v>12</v>
      </c>
      <c r="E899" s="6"/>
      <c r="F899" s="6"/>
    </row>
    <row r="900" customFormat="false" ht="15" hidden="false" customHeight="false" outlineLevel="0" collapsed="false">
      <c r="A900" s="5" t="s">
        <v>1048</v>
      </c>
      <c r="B900" s="5" t="s">
        <v>232</v>
      </c>
      <c r="C900" s="6" t="n">
        <v>12</v>
      </c>
      <c r="D900" s="6" t="n">
        <v>4</v>
      </c>
      <c r="E900" s="6"/>
      <c r="F900" s="6"/>
    </row>
    <row r="901" customFormat="false" ht="15" hidden="false" customHeight="false" outlineLevel="0" collapsed="false">
      <c r="A901" s="5" t="s">
        <v>1049</v>
      </c>
      <c r="B901" s="5" t="s">
        <v>232</v>
      </c>
      <c r="C901" s="6" t="n">
        <v>16</v>
      </c>
      <c r="D901" s="6" t="n">
        <v>0</v>
      </c>
      <c r="E901" s="6"/>
      <c r="F901" s="6"/>
    </row>
    <row r="902" customFormat="false" ht="15" hidden="false" customHeight="false" outlineLevel="0" collapsed="false">
      <c r="A902" s="5" t="s">
        <v>1050</v>
      </c>
      <c r="B902" s="5" t="s">
        <v>232</v>
      </c>
      <c r="C902" s="6" t="n">
        <v>6</v>
      </c>
      <c r="D902" s="6" t="n">
        <v>6</v>
      </c>
      <c r="E902" s="6"/>
      <c r="F902" s="6"/>
    </row>
    <row r="903" customFormat="false" ht="15" hidden="false" customHeight="false" outlineLevel="0" collapsed="false">
      <c r="A903" s="5" t="s">
        <v>1051</v>
      </c>
      <c r="B903" s="5" t="s">
        <v>232</v>
      </c>
      <c r="C903" s="6" t="n">
        <v>12</v>
      </c>
      <c r="D903" s="6" t="n">
        <v>0</v>
      </c>
      <c r="E903" s="6"/>
      <c r="F903" s="6"/>
    </row>
    <row r="904" customFormat="false" ht="15" hidden="false" customHeight="false" outlineLevel="0" collapsed="false">
      <c r="A904" s="5" t="s">
        <v>1052</v>
      </c>
      <c r="B904" s="5" t="s">
        <v>232</v>
      </c>
      <c r="C904" s="6" t="n">
        <v>2</v>
      </c>
      <c r="D904" s="6" t="n">
        <v>4</v>
      </c>
      <c r="E904" s="6"/>
      <c r="F904" s="6"/>
    </row>
    <row r="905" customFormat="false" ht="15" hidden="false" customHeight="false" outlineLevel="0" collapsed="false">
      <c r="A905" s="5" t="s">
        <v>1053</v>
      </c>
      <c r="B905" s="5" t="s">
        <v>232</v>
      </c>
      <c r="C905" s="6" t="n">
        <v>9</v>
      </c>
      <c r="D905" s="6" t="n">
        <v>6</v>
      </c>
      <c r="E905" s="6"/>
      <c r="F905" s="6"/>
    </row>
    <row r="906" customFormat="false" ht="15" hidden="false" customHeight="false" outlineLevel="0" collapsed="false">
      <c r="A906" s="5" t="s">
        <v>1054</v>
      </c>
      <c r="B906" s="5" t="s">
        <v>232</v>
      </c>
      <c r="C906" s="6" t="n">
        <v>10</v>
      </c>
      <c r="D906" s="6" t="n">
        <v>2</v>
      </c>
      <c r="E906" s="6"/>
      <c r="F906" s="6"/>
    </row>
    <row r="907" customFormat="false" ht="15" hidden="false" customHeight="false" outlineLevel="0" collapsed="false">
      <c r="A907" s="5" t="s">
        <v>1055</v>
      </c>
      <c r="B907" s="5" t="s">
        <v>232</v>
      </c>
      <c r="C907" s="6" t="n">
        <v>8</v>
      </c>
      <c r="D907" s="6" t="n">
        <v>12</v>
      </c>
      <c r="E907" s="6"/>
      <c r="F907" s="6"/>
    </row>
    <row r="908" customFormat="false" ht="15" hidden="false" customHeight="false" outlineLevel="0" collapsed="false">
      <c r="A908" s="5" t="s">
        <v>1056</v>
      </c>
      <c r="B908" s="5" t="s">
        <v>232</v>
      </c>
      <c r="C908" s="6" t="n">
        <v>12</v>
      </c>
      <c r="D908" s="6" t="n">
        <v>4</v>
      </c>
      <c r="E908" s="6"/>
      <c r="F908" s="6"/>
    </row>
    <row r="909" customFormat="false" ht="15" hidden="false" customHeight="false" outlineLevel="0" collapsed="false">
      <c r="A909" s="5" t="s">
        <v>1057</v>
      </c>
      <c r="B909" s="5" t="s">
        <v>232</v>
      </c>
      <c r="C909" s="6" t="n">
        <v>10</v>
      </c>
      <c r="D909" s="6" t="n">
        <v>4</v>
      </c>
      <c r="E909" s="6"/>
      <c r="F909" s="6"/>
    </row>
    <row r="910" customFormat="false" ht="15" hidden="false" customHeight="false" outlineLevel="0" collapsed="false">
      <c r="A910" s="5" t="s">
        <v>1058</v>
      </c>
      <c r="B910" s="5" t="s">
        <v>232</v>
      </c>
      <c r="C910" s="6" t="n">
        <v>18</v>
      </c>
      <c r="D910" s="6" t="n">
        <v>0</v>
      </c>
      <c r="E910" s="6"/>
      <c r="F910" s="6"/>
    </row>
    <row r="911" customFormat="false" ht="15" hidden="false" customHeight="false" outlineLevel="0" collapsed="false">
      <c r="A911" s="5" t="s">
        <v>1059</v>
      </c>
      <c r="B911" s="5" t="s">
        <v>232</v>
      </c>
      <c r="C911" s="6" t="n">
        <v>16</v>
      </c>
      <c r="D911" s="6" t="n">
        <v>0</v>
      </c>
      <c r="E911" s="6"/>
      <c r="F911" s="6"/>
    </row>
    <row r="912" customFormat="false" ht="15" hidden="false" customHeight="false" outlineLevel="0" collapsed="false">
      <c r="A912" s="5" t="s">
        <v>1060</v>
      </c>
      <c r="B912" s="5" t="s">
        <v>232</v>
      </c>
      <c r="C912" s="6" t="n">
        <v>12</v>
      </c>
      <c r="D912" s="6" t="n">
        <v>0</v>
      </c>
      <c r="E912" s="6"/>
      <c r="F912" s="6"/>
    </row>
    <row r="913" customFormat="false" ht="15" hidden="false" customHeight="false" outlineLevel="0" collapsed="false">
      <c r="A913" s="5" t="s">
        <v>1061</v>
      </c>
      <c r="B913" s="5" t="s">
        <v>1062</v>
      </c>
      <c r="C913" s="6" t="n">
        <v>2</v>
      </c>
      <c r="D913" s="6" t="n">
        <v>10</v>
      </c>
      <c r="E913" s="6"/>
      <c r="F913" s="6"/>
    </row>
    <row r="914" customFormat="false" ht="15" hidden="false" customHeight="false" outlineLevel="0" collapsed="false">
      <c r="A914" s="5" t="s">
        <v>1063</v>
      </c>
      <c r="B914" s="5" t="s">
        <v>1064</v>
      </c>
      <c r="C914" s="6" t="n">
        <v>6</v>
      </c>
      <c r="D914" s="6" t="n">
        <v>4</v>
      </c>
      <c r="E914" s="6"/>
      <c r="F914" s="6"/>
    </row>
    <row r="915" customFormat="false" ht="15" hidden="false" customHeight="false" outlineLevel="0" collapsed="false">
      <c r="A915" s="5" t="s">
        <v>1065</v>
      </c>
      <c r="B915" s="5" t="s">
        <v>1064</v>
      </c>
      <c r="C915" s="6" t="n">
        <v>2</v>
      </c>
      <c r="D915" s="6" t="n">
        <v>10</v>
      </c>
      <c r="E915" s="6"/>
      <c r="F915" s="6"/>
    </row>
    <row r="916" customFormat="false" ht="15" hidden="false" customHeight="false" outlineLevel="0" collapsed="false">
      <c r="A916" s="5" t="s">
        <v>1066</v>
      </c>
      <c r="B916" s="5" t="s">
        <v>1064</v>
      </c>
      <c r="C916" s="6" t="n">
        <v>4</v>
      </c>
      <c r="D916" s="6" t="n">
        <v>12.5</v>
      </c>
      <c r="E916" s="6"/>
      <c r="F916" s="6"/>
    </row>
    <row r="917" customFormat="false" ht="15" hidden="false" customHeight="false" outlineLevel="0" collapsed="false">
      <c r="A917" s="5" t="s">
        <v>1067</v>
      </c>
      <c r="B917" s="5" t="s">
        <v>236</v>
      </c>
      <c r="C917" s="6" t="n">
        <v>4</v>
      </c>
      <c r="D917" s="6" t="n">
        <v>8</v>
      </c>
      <c r="E917" s="6"/>
      <c r="F917" s="6"/>
    </row>
    <row r="918" customFormat="false" ht="15" hidden="false" customHeight="false" outlineLevel="0" collapsed="false">
      <c r="A918" s="5" t="s">
        <v>1068</v>
      </c>
      <c r="B918" s="5" t="s">
        <v>236</v>
      </c>
      <c r="C918" s="6" t="n">
        <v>16</v>
      </c>
      <c r="D918" s="6" t="n">
        <v>0</v>
      </c>
      <c r="E918" s="6"/>
      <c r="F918" s="6"/>
    </row>
    <row r="919" customFormat="false" ht="15" hidden="false" customHeight="false" outlineLevel="0" collapsed="false">
      <c r="A919" s="5" t="s">
        <v>1069</v>
      </c>
      <c r="B919" s="5" t="s">
        <v>236</v>
      </c>
      <c r="C919" s="6" t="n">
        <v>8</v>
      </c>
      <c r="D919" s="6"/>
      <c r="E919" s="6" t="n">
        <v>12</v>
      </c>
      <c r="F919" s="6"/>
    </row>
    <row r="920" customFormat="false" ht="15" hidden="false" customHeight="false" outlineLevel="0" collapsed="false">
      <c r="A920" s="5" t="s">
        <v>1070</v>
      </c>
      <c r="B920" s="5" t="s">
        <v>236</v>
      </c>
      <c r="C920" s="6" t="n">
        <v>6</v>
      </c>
      <c r="D920" s="6" t="n">
        <v>12</v>
      </c>
      <c r="E920" s="6"/>
      <c r="F920" s="6"/>
    </row>
    <row r="921" customFormat="false" ht="15" hidden="false" customHeight="false" outlineLevel="0" collapsed="false">
      <c r="A921" s="5" t="s">
        <v>1071</v>
      </c>
      <c r="B921" s="5" t="s">
        <v>236</v>
      </c>
      <c r="C921" s="6" t="n">
        <v>12</v>
      </c>
      <c r="D921" s="6" t="n">
        <v>0</v>
      </c>
      <c r="E921" s="6"/>
      <c r="F921" s="6"/>
    </row>
    <row r="922" customFormat="false" ht="15" hidden="false" customHeight="false" outlineLevel="0" collapsed="false">
      <c r="A922" s="5" t="s">
        <v>1072</v>
      </c>
      <c r="B922" s="5" t="s">
        <v>236</v>
      </c>
      <c r="C922" s="6" t="n">
        <v>12</v>
      </c>
      <c r="D922" s="6" t="n">
        <v>40</v>
      </c>
      <c r="E922" s="6"/>
      <c r="F922" s="6"/>
    </row>
    <row r="923" customFormat="false" ht="15" hidden="false" customHeight="false" outlineLevel="0" collapsed="false">
      <c r="A923" s="5" t="s">
        <v>1073</v>
      </c>
      <c r="B923" s="5" t="s">
        <v>236</v>
      </c>
      <c r="C923" s="6" t="n">
        <v>12</v>
      </c>
      <c r="D923" s="6" t="n">
        <v>0</v>
      </c>
      <c r="E923" s="6"/>
      <c r="F923" s="6"/>
    </row>
    <row r="924" customFormat="false" ht="15" hidden="false" customHeight="false" outlineLevel="0" collapsed="false">
      <c r="A924" s="5" t="s">
        <v>1074</v>
      </c>
      <c r="B924" s="5" t="s">
        <v>236</v>
      </c>
      <c r="C924" s="6" t="n">
        <v>8</v>
      </c>
      <c r="D924" s="6" t="n">
        <v>12</v>
      </c>
      <c r="E924" s="6"/>
      <c r="F924" s="6"/>
    </row>
    <row r="925" customFormat="false" ht="15" hidden="false" customHeight="false" outlineLevel="0" collapsed="false">
      <c r="A925" s="5" t="s">
        <v>1075</v>
      </c>
      <c r="B925" s="5" t="s">
        <v>236</v>
      </c>
      <c r="C925" s="6" t="n">
        <v>2</v>
      </c>
      <c r="D925" s="6" t="n">
        <v>10</v>
      </c>
      <c r="E925" s="6"/>
      <c r="F925" s="6"/>
    </row>
    <row r="926" customFormat="false" ht="15" hidden="false" customHeight="false" outlineLevel="0" collapsed="false">
      <c r="A926" s="5" t="s">
        <v>1076</v>
      </c>
      <c r="B926" s="5" t="s">
        <v>236</v>
      </c>
      <c r="C926" s="6" t="n">
        <v>13</v>
      </c>
      <c r="D926" s="6" t="n">
        <v>13</v>
      </c>
      <c r="E926" s="6"/>
      <c r="F926" s="6"/>
    </row>
    <row r="927" customFormat="false" ht="15" hidden="false" customHeight="false" outlineLevel="0" collapsed="false">
      <c r="A927" s="5" t="s">
        <v>1077</v>
      </c>
      <c r="B927" s="5" t="s">
        <v>236</v>
      </c>
      <c r="C927" s="6" t="n">
        <v>16</v>
      </c>
      <c r="D927" s="6" t="n">
        <v>0</v>
      </c>
      <c r="E927" s="6"/>
      <c r="F927" s="6"/>
    </row>
    <row r="928" customFormat="false" ht="15" hidden="false" customHeight="false" outlineLevel="0" collapsed="false">
      <c r="A928" s="5" t="s">
        <v>1078</v>
      </c>
      <c r="B928" s="5" t="s">
        <v>236</v>
      </c>
      <c r="C928" s="6" t="n">
        <v>12</v>
      </c>
      <c r="D928" s="6" t="n">
        <v>12</v>
      </c>
      <c r="E928" s="6"/>
      <c r="F928" s="6"/>
    </row>
    <row r="929" customFormat="false" ht="15" hidden="false" customHeight="false" outlineLevel="0" collapsed="false">
      <c r="A929" s="5" t="s">
        <v>1079</v>
      </c>
      <c r="B929" s="5" t="s">
        <v>236</v>
      </c>
      <c r="C929" s="6" t="n">
        <v>6</v>
      </c>
      <c r="D929" s="6" t="n">
        <v>6</v>
      </c>
      <c r="E929" s="6"/>
      <c r="F929" s="6"/>
    </row>
    <row r="930" customFormat="false" ht="15" hidden="false" customHeight="false" outlineLevel="0" collapsed="false">
      <c r="A930" s="5" t="s">
        <v>1080</v>
      </c>
      <c r="B930" s="5" t="s">
        <v>58</v>
      </c>
      <c r="C930" s="6" t="n">
        <v>0</v>
      </c>
      <c r="D930" s="6" t="n">
        <v>6</v>
      </c>
      <c r="E930" s="6"/>
      <c r="F930" s="6"/>
    </row>
    <row r="931" customFormat="false" ht="15" hidden="false" customHeight="false" outlineLevel="0" collapsed="false">
      <c r="A931" s="5" t="s">
        <v>1081</v>
      </c>
      <c r="B931" s="5" t="s">
        <v>58</v>
      </c>
      <c r="C931" s="6" t="n">
        <v>6</v>
      </c>
      <c r="D931" s="6" t="n">
        <v>0</v>
      </c>
      <c r="E931" s="6"/>
      <c r="F931" s="6"/>
    </row>
    <row r="932" customFormat="false" ht="15" hidden="false" customHeight="false" outlineLevel="0" collapsed="false">
      <c r="A932" s="5" t="s">
        <v>1082</v>
      </c>
      <c r="B932" s="5" t="s">
        <v>58</v>
      </c>
      <c r="C932" s="6" t="n">
        <v>6</v>
      </c>
      <c r="D932" s="6" t="n">
        <v>6</v>
      </c>
      <c r="E932" s="6"/>
      <c r="F932" s="6"/>
    </row>
    <row r="933" customFormat="false" ht="15" hidden="false" customHeight="false" outlineLevel="0" collapsed="false">
      <c r="A933" s="5" t="s">
        <v>1083</v>
      </c>
      <c r="B933" s="5" t="s">
        <v>58</v>
      </c>
      <c r="C933" s="6" t="n">
        <v>12</v>
      </c>
      <c r="D933" s="6" t="n">
        <v>0</v>
      </c>
      <c r="E933" s="6"/>
      <c r="F933" s="6"/>
    </row>
    <row r="934" customFormat="false" ht="15" hidden="false" customHeight="false" outlineLevel="0" collapsed="false">
      <c r="A934" s="5" t="s">
        <v>1084</v>
      </c>
      <c r="B934" s="5" t="s">
        <v>58</v>
      </c>
      <c r="C934" s="6" t="n">
        <v>6</v>
      </c>
      <c r="D934" s="6" t="n">
        <v>5</v>
      </c>
      <c r="E934" s="6"/>
      <c r="F934" s="6"/>
    </row>
    <row r="935" customFormat="false" ht="15" hidden="false" customHeight="false" outlineLevel="0" collapsed="false">
      <c r="A935" s="5" t="s">
        <v>1085</v>
      </c>
      <c r="B935" s="5" t="s">
        <v>58</v>
      </c>
      <c r="C935" s="6" t="n">
        <v>12</v>
      </c>
      <c r="D935" s="6" t="n">
        <v>0</v>
      </c>
      <c r="E935" s="6"/>
      <c r="F935" s="6"/>
    </row>
    <row r="936" customFormat="false" ht="15" hidden="false" customHeight="false" outlineLevel="0" collapsed="false">
      <c r="A936" s="5" t="s">
        <v>1086</v>
      </c>
      <c r="B936" s="5" t="s">
        <v>58</v>
      </c>
      <c r="C936" s="6" t="n">
        <v>3</v>
      </c>
      <c r="D936" s="6" t="n">
        <v>7.5</v>
      </c>
      <c r="E936" s="6"/>
      <c r="F936" s="6"/>
    </row>
    <row r="937" customFormat="false" ht="15" hidden="false" customHeight="false" outlineLevel="0" collapsed="false">
      <c r="A937" s="5" t="s">
        <v>1087</v>
      </c>
      <c r="B937" s="5" t="s">
        <v>58</v>
      </c>
      <c r="C937" s="6" t="n">
        <v>6</v>
      </c>
      <c r="D937" s="6" t="n">
        <v>4</v>
      </c>
      <c r="E937" s="6"/>
      <c r="F937" s="6"/>
    </row>
    <row r="938" customFormat="false" ht="15" hidden="false" customHeight="false" outlineLevel="0" collapsed="false">
      <c r="A938" s="5" t="s">
        <v>1088</v>
      </c>
      <c r="B938" s="5" t="s">
        <v>58</v>
      </c>
      <c r="C938" s="6" t="n">
        <v>6</v>
      </c>
      <c r="D938" s="6" t="n">
        <v>8</v>
      </c>
      <c r="E938" s="6"/>
      <c r="F938" s="6"/>
    </row>
    <row r="939" customFormat="false" ht="15" hidden="false" customHeight="false" outlineLevel="0" collapsed="false">
      <c r="A939" s="5" t="s">
        <v>1089</v>
      </c>
      <c r="B939" s="5" t="s">
        <v>58</v>
      </c>
      <c r="C939" s="6" t="n">
        <v>6</v>
      </c>
      <c r="D939" s="6" t="n">
        <v>8</v>
      </c>
      <c r="E939" s="6"/>
      <c r="F939" s="6"/>
    </row>
    <row r="940" customFormat="false" ht="15" hidden="false" customHeight="false" outlineLevel="0" collapsed="false">
      <c r="A940" s="5" t="s">
        <v>1090</v>
      </c>
      <c r="B940" s="5" t="s">
        <v>58</v>
      </c>
      <c r="C940" s="6" t="n">
        <v>6</v>
      </c>
      <c r="D940" s="6" t="n">
        <v>6</v>
      </c>
      <c r="E940" s="6"/>
      <c r="F940" s="6"/>
    </row>
    <row r="941" customFormat="false" ht="15" hidden="false" customHeight="false" outlineLevel="0" collapsed="false">
      <c r="A941" s="5" t="s">
        <v>1091</v>
      </c>
      <c r="B941" s="5" t="s">
        <v>58</v>
      </c>
      <c r="C941" s="6" t="n">
        <v>12</v>
      </c>
      <c r="D941" s="6" t="n">
        <v>7</v>
      </c>
      <c r="E941" s="6"/>
      <c r="F941" s="6"/>
    </row>
    <row r="942" customFormat="false" ht="15" hidden="false" customHeight="false" outlineLevel="0" collapsed="false">
      <c r="A942" s="5" t="s">
        <v>1092</v>
      </c>
      <c r="B942" s="5" t="s">
        <v>58</v>
      </c>
      <c r="C942" s="6" t="n">
        <v>16</v>
      </c>
      <c r="D942" s="6" t="n">
        <v>0</v>
      </c>
      <c r="E942" s="6"/>
      <c r="F942" s="6"/>
    </row>
    <row r="943" customFormat="false" ht="15" hidden="false" customHeight="false" outlineLevel="0" collapsed="false">
      <c r="A943" s="5" t="s">
        <v>1093</v>
      </c>
      <c r="B943" s="5" t="s">
        <v>58</v>
      </c>
      <c r="C943" s="6" t="n">
        <v>12</v>
      </c>
      <c r="D943" s="6" t="n">
        <v>0</v>
      </c>
      <c r="E943" s="6"/>
      <c r="F943" s="6"/>
    </row>
    <row r="944" customFormat="false" ht="15" hidden="false" customHeight="false" outlineLevel="0" collapsed="false">
      <c r="A944" s="5" t="s">
        <v>1094</v>
      </c>
      <c r="B944" s="5" t="s">
        <v>58</v>
      </c>
      <c r="C944" s="6" t="n">
        <v>12</v>
      </c>
      <c r="D944" s="6" t="n">
        <v>5</v>
      </c>
      <c r="E944" s="6"/>
      <c r="F944" s="6"/>
    </row>
    <row r="945" customFormat="false" ht="15" hidden="false" customHeight="false" outlineLevel="0" collapsed="false">
      <c r="A945" s="5" t="s">
        <v>1095</v>
      </c>
      <c r="B945" s="5" t="s">
        <v>58</v>
      </c>
      <c r="C945" s="6" t="n">
        <v>4</v>
      </c>
      <c r="D945" s="6" t="n">
        <v>4</v>
      </c>
      <c r="E945" s="6"/>
      <c r="F945" s="6"/>
    </row>
    <row r="946" customFormat="false" ht="15" hidden="false" customHeight="false" outlineLevel="0" collapsed="false">
      <c r="A946" s="5" t="s">
        <v>1096</v>
      </c>
      <c r="B946" s="5" t="s">
        <v>58</v>
      </c>
      <c r="C946" s="6" t="n">
        <v>6</v>
      </c>
      <c r="D946" s="6" t="n">
        <v>6</v>
      </c>
      <c r="E946" s="6"/>
      <c r="F946" s="6"/>
    </row>
    <row r="947" customFormat="false" ht="15" hidden="false" customHeight="false" outlineLevel="0" collapsed="false">
      <c r="A947" s="5" t="s">
        <v>1097</v>
      </c>
      <c r="B947" s="5" t="s">
        <v>243</v>
      </c>
      <c r="C947" s="6" t="n">
        <v>52</v>
      </c>
      <c r="D947" s="6" t="n">
        <v>0</v>
      </c>
      <c r="E947" s="6"/>
      <c r="F947" s="6"/>
    </row>
    <row r="948" customFormat="false" ht="15" hidden="false" customHeight="false" outlineLevel="0" collapsed="false">
      <c r="A948" s="5" t="s">
        <v>1098</v>
      </c>
      <c r="B948" s="5" t="s">
        <v>243</v>
      </c>
      <c r="C948" s="6" t="n">
        <v>12</v>
      </c>
      <c r="D948" s="6" t="n">
        <v>0</v>
      </c>
      <c r="E948" s="6"/>
      <c r="F948" s="6"/>
    </row>
    <row r="949" customFormat="false" ht="15" hidden="false" customHeight="false" outlineLevel="0" collapsed="false">
      <c r="A949" s="5" t="s">
        <v>1099</v>
      </c>
      <c r="B949" s="5" t="s">
        <v>243</v>
      </c>
      <c r="C949" s="6" t="n">
        <v>7</v>
      </c>
      <c r="D949" s="6" t="n">
        <v>7</v>
      </c>
      <c r="E949" s="6"/>
      <c r="F949" s="6"/>
    </row>
    <row r="950" customFormat="false" ht="15" hidden="false" customHeight="false" outlineLevel="0" collapsed="false">
      <c r="A950" s="5" t="s">
        <v>1100</v>
      </c>
      <c r="B950" s="5" t="s">
        <v>243</v>
      </c>
      <c r="C950" s="6" t="n">
        <v>5</v>
      </c>
      <c r="D950" s="6" t="n">
        <v>0</v>
      </c>
      <c r="E950" s="6"/>
      <c r="F950" s="6"/>
    </row>
    <row r="951" customFormat="false" ht="15" hidden="false" customHeight="false" outlineLevel="0" collapsed="false">
      <c r="A951" s="5" t="s">
        <v>1101</v>
      </c>
      <c r="B951" s="5" t="s">
        <v>243</v>
      </c>
      <c r="C951" s="6" t="n">
        <v>13</v>
      </c>
      <c r="D951" s="6" t="n">
        <v>15</v>
      </c>
      <c r="E951" s="6"/>
      <c r="F951" s="6"/>
    </row>
    <row r="952" customFormat="false" ht="15" hidden="false" customHeight="false" outlineLevel="0" collapsed="false">
      <c r="A952" s="5" t="s">
        <v>1102</v>
      </c>
      <c r="B952" s="5" t="s">
        <v>243</v>
      </c>
      <c r="C952" s="6" t="n">
        <v>12</v>
      </c>
      <c r="D952" s="6" t="n">
        <v>12</v>
      </c>
      <c r="E952" s="6"/>
      <c r="F952" s="6"/>
    </row>
    <row r="953" customFormat="false" ht="15" hidden="false" customHeight="false" outlineLevel="0" collapsed="false">
      <c r="A953" s="5" t="s">
        <v>1103</v>
      </c>
      <c r="B953" s="5" t="s">
        <v>243</v>
      </c>
      <c r="C953" s="6" t="n">
        <v>10</v>
      </c>
      <c r="D953" s="6" t="n">
        <v>16</v>
      </c>
      <c r="E953" s="6"/>
      <c r="F953" s="6"/>
    </row>
    <row r="954" customFormat="false" ht="15" hidden="false" customHeight="false" outlineLevel="0" collapsed="false">
      <c r="A954" s="5" t="s">
        <v>1104</v>
      </c>
      <c r="B954" s="5" t="s">
        <v>243</v>
      </c>
      <c r="C954" s="6" t="n">
        <v>6</v>
      </c>
      <c r="D954" s="6" t="n">
        <v>23</v>
      </c>
      <c r="E954" s="6"/>
      <c r="F954" s="6"/>
    </row>
    <row r="955" customFormat="false" ht="15" hidden="false" customHeight="false" outlineLevel="0" collapsed="false">
      <c r="A955" s="5" t="s">
        <v>1105</v>
      </c>
      <c r="B955" s="5" t="s">
        <v>245</v>
      </c>
      <c r="C955" s="6" t="n">
        <v>6</v>
      </c>
      <c r="D955" s="6" t="n">
        <v>0</v>
      </c>
      <c r="E955" s="6"/>
      <c r="F955" s="6"/>
    </row>
    <row r="956" customFormat="false" ht="15" hidden="false" customHeight="false" outlineLevel="0" collapsed="false">
      <c r="A956" s="5" t="s">
        <v>1106</v>
      </c>
      <c r="B956" s="5" t="s">
        <v>245</v>
      </c>
      <c r="C956" s="6" t="n">
        <v>12</v>
      </c>
      <c r="D956" s="6" t="n">
        <v>2</v>
      </c>
      <c r="E956" s="6"/>
      <c r="F956" s="6"/>
    </row>
    <row r="957" customFormat="false" ht="15" hidden="false" customHeight="false" outlineLevel="0" collapsed="false">
      <c r="A957" s="5" t="s">
        <v>1107</v>
      </c>
      <c r="B957" s="5" t="s">
        <v>245</v>
      </c>
      <c r="C957" s="6" t="n">
        <v>4</v>
      </c>
      <c r="D957" s="6" t="n">
        <v>2</v>
      </c>
      <c r="E957" s="6"/>
      <c r="F957" s="6"/>
    </row>
    <row r="958" customFormat="false" ht="15" hidden="false" customHeight="false" outlineLevel="0" collapsed="false">
      <c r="A958" s="5" t="s">
        <v>1108</v>
      </c>
      <c r="B958" s="5" t="s">
        <v>245</v>
      </c>
      <c r="C958" s="6" t="n">
        <v>12</v>
      </c>
      <c r="D958" s="6" t="n">
        <v>16</v>
      </c>
      <c r="E958" s="6"/>
      <c r="F958" s="6"/>
    </row>
    <row r="959" customFormat="false" ht="15" hidden="false" customHeight="false" outlineLevel="0" collapsed="false">
      <c r="A959" s="5" t="s">
        <v>1109</v>
      </c>
      <c r="B959" s="5" t="s">
        <v>245</v>
      </c>
      <c r="C959" s="6" t="n">
        <v>4</v>
      </c>
      <c r="D959" s="6" t="n">
        <v>2</v>
      </c>
      <c r="E959" s="6"/>
      <c r="F959" s="6"/>
    </row>
    <row r="960" customFormat="false" ht="15" hidden="false" customHeight="false" outlineLevel="0" collapsed="false">
      <c r="A960" s="5" t="s">
        <v>1110</v>
      </c>
      <c r="B960" s="5" t="s">
        <v>245</v>
      </c>
      <c r="C960" s="6" t="n">
        <v>10</v>
      </c>
      <c r="D960" s="6" t="n">
        <v>0</v>
      </c>
      <c r="E960" s="6"/>
      <c r="F960" s="6"/>
    </row>
    <row r="961" customFormat="false" ht="15" hidden="false" customHeight="false" outlineLevel="0" collapsed="false">
      <c r="A961" s="5" t="s">
        <v>1111</v>
      </c>
      <c r="B961" s="5" t="s">
        <v>245</v>
      </c>
      <c r="C961" s="6" t="n">
        <v>2</v>
      </c>
      <c r="D961" s="6" t="n">
        <v>12</v>
      </c>
      <c r="E961" s="6"/>
      <c r="F961" s="6"/>
    </row>
    <row r="962" customFormat="false" ht="15" hidden="false" customHeight="false" outlineLevel="0" collapsed="false">
      <c r="A962" s="5" t="s">
        <v>1112</v>
      </c>
      <c r="B962" s="5" t="s">
        <v>245</v>
      </c>
      <c r="C962" s="6" t="n">
        <v>52</v>
      </c>
      <c r="D962" s="6" t="n">
        <v>0</v>
      </c>
      <c r="E962" s="6"/>
      <c r="F962" s="6"/>
    </row>
    <row r="963" customFormat="false" ht="15" hidden="false" customHeight="false" outlineLevel="0" collapsed="false">
      <c r="A963" s="5" t="s">
        <v>1113</v>
      </c>
      <c r="B963" s="5" t="s">
        <v>245</v>
      </c>
      <c r="C963" s="6" t="n">
        <v>16</v>
      </c>
      <c r="D963" s="6" t="n">
        <v>0</v>
      </c>
      <c r="E963" s="6"/>
      <c r="F963" s="6"/>
    </row>
    <row r="964" customFormat="false" ht="15" hidden="false" customHeight="false" outlineLevel="0" collapsed="false">
      <c r="A964" s="5" t="s">
        <v>1114</v>
      </c>
      <c r="B964" s="5" t="s">
        <v>245</v>
      </c>
      <c r="C964" s="6" t="n">
        <v>7.5</v>
      </c>
      <c r="D964" s="6" t="n">
        <v>16</v>
      </c>
      <c r="E964" s="6"/>
      <c r="F964" s="6"/>
    </row>
    <row r="965" customFormat="false" ht="15" hidden="false" customHeight="false" outlineLevel="0" collapsed="false">
      <c r="A965" s="5" t="s">
        <v>1115</v>
      </c>
      <c r="B965" s="5" t="s">
        <v>245</v>
      </c>
      <c r="C965" s="6" t="n">
        <v>2</v>
      </c>
      <c r="D965" s="6" t="n">
        <v>12</v>
      </c>
      <c r="E965" s="6"/>
      <c r="F965" s="6"/>
    </row>
    <row r="966" customFormat="false" ht="15" hidden="false" customHeight="false" outlineLevel="0" collapsed="false">
      <c r="A966" s="5" t="s">
        <v>1116</v>
      </c>
      <c r="B966" s="5" t="s">
        <v>245</v>
      </c>
      <c r="C966" s="6" t="n">
        <v>4.5</v>
      </c>
      <c r="D966" s="6" t="n">
        <v>6</v>
      </c>
      <c r="E966" s="6"/>
      <c r="F966" s="6"/>
    </row>
    <row r="967" customFormat="false" ht="15" hidden="false" customHeight="false" outlineLevel="0" collapsed="false">
      <c r="A967" s="5" t="s">
        <v>1117</v>
      </c>
      <c r="B967" s="5" t="s">
        <v>245</v>
      </c>
      <c r="C967" s="6" t="n">
        <v>2</v>
      </c>
      <c r="D967" s="6" t="n">
        <v>8</v>
      </c>
      <c r="E967" s="6"/>
      <c r="F967" s="6"/>
    </row>
    <row r="968" customFormat="false" ht="15" hidden="false" customHeight="false" outlineLevel="0" collapsed="false">
      <c r="A968" s="5" t="s">
        <v>1118</v>
      </c>
      <c r="B968" s="5" t="s">
        <v>1119</v>
      </c>
      <c r="C968" s="6" t="n">
        <v>8</v>
      </c>
      <c r="D968" s="6" t="n">
        <v>12</v>
      </c>
      <c r="E968" s="6"/>
      <c r="F968" s="6"/>
    </row>
    <row r="969" customFormat="false" ht="15" hidden="false" customHeight="false" outlineLevel="0" collapsed="false">
      <c r="A969" s="5" t="s">
        <v>1120</v>
      </c>
      <c r="B969" s="5" t="s">
        <v>249</v>
      </c>
      <c r="C969" s="6" t="n">
        <v>4</v>
      </c>
      <c r="D969" s="6" t="n">
        <v>4</v>
      </c>
      <c r="E969" s="6"/>
      <c r="F969" s="6"/>
    </row>
    <row r="970" customFormat="false" ht="15" hidden="false" customHeight="false" outlineLevel="0" collapsed="false">
      <c r="A970" s="5" t="s">
        <v>1121</v>
      </c>
      <c r="B970" s="5" t="s">
        <v>249</v>
      </c>
      <c r="C970" s="6" t="n">
        <v>16</v>
      </c>
      <c r="D970" s="6" t="n">
        <v>26</v>
      </c>
      <c r="E970" s="6"/>
      <c r="F970" s="6"/>
    </row>
    <row r="971" customFormat="false" ht="15" hidden="false" customHeight="false" outlineLevel="0" collapsed="false">
      <c r="A971" s="5" t="s">
        <v>1122</v>
      </c>
      <c r="B971" s="5" t="s">
        <v>249</v>
      </c>
      <c r="C971" s="6" t="n">
        <v>24</v>
      </c>
      <c r="D971" s="6" t="n">
        <v>12</v>
      </c>
      <c r="E971" s="6"/>
      <c r="F971" s="6"/>
    </row>
    <row r="972" customFormat="false" ht="15" hidden="false" customHeight="false" outlineLevel="0" collapsed="false">
      <c r="A972" s="5" t="s">
        <v>1123</v>
      </c>
      <c r="B972" s="5" t="s">
        <v>249</v>
      </c>
      <c r="C972" s="6" t="n">
        <v>6</v>
      </c>
      <c r="D972" s="6" t="n">
        <v>10</v>
      </c>
      <c r="E972" s="6"/>
      <c r="F972" s="6"/>
    </row>
    <row r="973" customFormat="false" ht="15" hidden="false" customHeight="false" outlineLevel="0" collapsed="false">
      <c r="A973" s="5" t="s">
        <v>1124</v>
      </c>
      <c r="B973" s="5" t="s">
        <v>249</v>
      </c>
      <c r="C973" s="6" t="n">
        <v>16</v>
      </c>
      <c r="D973" s="6" t="n">
        <v>0</v>
      </c>
      <c r="E973" s="6"/>
      <c r="F973" s="6"/>
    </row>
    <row r="974" customFormat="false" ht="15" hidden="false" customHeight="false" outlineLevel="0" collapsed="false">
      <c r="A974" s="5" t="s">
        <v>1125</v>
      </c>
      <c r="B974" s="5" t="s">
        <v>249</v>
      </c>
      <c r="C974" s="6" t="n">
        <v>4</v>
      </c>
      <c r="D974" s="6" t="n">
        <v>0</v>
      </c>
      <c r="E974" s="6"/>
      <c r="F974" s="6"/>
    </row>
    <row r="975" customFormat="false" ht="15" hidden="false" customHeight="false" outlineLevel="0" collapsed="false">
      <c r="A975" s="5" t="s">
        <v>1126</v>
      </c>
      <c r="B975" s="5" t="s">
        <v>249</v>
      </c>
      <c r="C975" s="6" t="n">
        <v>3</v>
      </c>
      <c r="D975" s="6" t="n">
        <v>2</v>
      </c>
      <c r="E975" s="6"/>
      <c r="F975" s="6"/>
    </row>
    <row r="976" customFormat="false" ht="15" hidden="false" customHeight="false" outlineLevel="0" collapsed="false">
      <c r="A976" s="5" t="s">
        <v>1127</v>
      </c>
      <c r="B976" s="5" t="s">
        <v>249</v>
      </c>
      <c r="C976" s="6" t="n">
        <v>12</v>
      </c>
      <c r="D976" s="6" t="n">
        <v>0</v>
      </c>
      <c r="E976" s="6"/>
      <c r="F976" s="6"/>
    </row>
    <row r="977" customFormat="false" ht="15" hidden="false" customHeight="false" outlineLevel="0" collapsed="false">
      <c r="A977" s="5" t="s">
        <v>1128</v>
      </c>
      <c r="B977" s="5" t="s">
        <v>249</v>
      </c>
      <c r="C977" s="6" t="n">
        <v>8</v>
      </c>
      <c r="D977" s="6" t="n">
        <v>10</v>
      </c>
      <c r="E977" s="6"/>
      <c r="F977" s="6"/>
    </row>
    <row r="978" customFormat="false" ht="15" hidden="false" customHeight="false" outlineLevel="0" collapsed="false">
      <c r="A978" s="5" t="s">
        <v>1129</v>
      </c>
      <c r="B978" s="5" t="s">
        <v>249</v>
      </c>
      <c r="C978" s="6" t="n">
        <v>12</v>
      </c>
      <c r="D978" s="6" t="n">
        <v>0</v>
      </c>
      <c r="E978" s="6"/>
      <c r="F978" s="6"/>
    </row>
    <row r="979" customFormat="false" ht="15" hidden="false" customHeight="false" outlineLevel="0" collapsed="false">
      <c r="A979" s="5" t="s">
        <v>1130</v>
      </c>
      <c r="B979" s="5" t="s">
        <v>249</v>
      </c>
      <c r="C979" s="6" t="n">
        <v>6</v>
      </c>
      <c r="D979" s="6" t="n">
        <v>6</v>
      </c>
      <c r="E979" s="6"/>
      <c r="F979" s="6"/>
    </row>
    <row r="980" customFormat="false" ht="15" hidden="false" customHeight="false" outlineLevel="0" collapsed="false">
      <c r="A980" s="5" t="s">
        <v>1131</v>
      </c>
      <c r="B980" s="5" t="s">
        <v>249</v>
      </c>
      <c r="C980" s="6" t="n">
        <v>20</v>
      </c>
      <c r="D980" s="6" t="n">
        <v>6</v>
      </c>
      <c r="E980" s="6"/>
      <c r="F980" s="6"/>
    </row>
    <row r="981" customFormat="false" ht="15" hidden="false" customHeight="false" outlineLevel="0" collapsed="false">
      <c r="A981" s="5" t="s">
        <v>1132</v>
      </c>
      <c r="B981" s="5" t="s">
        <v>249</v>
      </c>
      <c r="C981" s="6" t="n">
        <v>6</v>
      </c>
      <c r="D981" s="6" t="n">
        <v>0</v>
      </c>
      <c r="E981" s="6"/>
      <c r="F981" s="6"/>
    </row>
    <row r="982" customFormat="false" ht="15" hidden="false" customHeight="false" outlineLevel="0" collapsed="false">
      <c r="A982" s="5" t="s">
        <v>1133</v>
      </c>
      <c r="B982" s="5" t="s">
        <v>249</v>
      </c>
      <c r="C982" s="6" t="n">
        <v>18</v>
      </c>
      <c r="D982" s="6" t="n">
        <v>0</v>
      </c>
      <c r="E982" s="6"/>
      <c r="F982" s="6"/>
    </row>
    <row r="983" customFormat="false" ht="15" hidden="false" customHeight="false" outlineLevel="0" collapsed="false">
      <c r="A983" s="5" t="s">
        <v>1134</v>
      </c>
      <c r="B983" s="5" t="s">
        <v>249</v>
      </c>
      <c r="C983" s="6" t="n">
        <v>12</v>
      </c>
      <c r="D983" s="6" t="n">
        <v>0</v>
      </c>
      <c r="E983" s="6"/>
      <c r="F983" s="6"/>
    </row>
    <row r="984" customFormat="false" ht="15" hidden="false" customHeight="false" outlineLevel="0" collapsed="false">
      <c r="A984" s="5" t="s">
        <v>1135</v>
      </c>
      <c r="B984" s="5" t="s">
        <v>249</v>
      </c>
      <c r="C984" s="6" t="n">
        <v>16</v>
      </c>
      <c r="D984" s="6" t="n">
        <v>0</v>
      </c>
      <c r="E984" s="6"/>
      <c r="F984" s="6"/>
    </row>
    <row r="985" customFormat="false" ht="15" hidden="false" customHeight="false" outlineLevel="0" collapsed="false">
      <c r="A985" s="5" t="s">
        <v>1136</v>
      </c>
      <c r="B985" s="5" t="s">
        <v>249</v>
      </c>
      <c r="C985" s="6" t="n">
        <v>18</v>
      </c>
      <c r="D985" s="6" t="n">
        <v>0</v>
      </c>
      <c r="E985" s="6"/>
      <c r="F985" s="6"/>
    </row>
    <row r="986" customFormat="false" ht="15" hidden="false" customHeight="false" outlineLevel="0" collapsed="false">
      <c r="A986" s="5" t="s">
        <v>1137</v>
      </c>
      <c r="B986" s="5" t="s">
        <v>249</v>
      </c>
      <c r="C986" s="6" t="n">
        <v>12</v>
      </c>
      <c r="D986" s="6" t="n">
        <v>0</v>
      </c>
      <c r="E986" s="6"/>
      <c r="F986" s="6"/>
    </row>
    <row r="987" customFormat="false" ht="15" hidden="false" customHeight="false" outlineLevel="0" collapsed="false">
      <c r="A987" s="5" t="s">
        <v>1138</v>
      </c>
      <c r="B987" s="5" t="s">
        <v>249</v>
      </c>
      <c r="C987" s="6" t="n">
        <v>12</v>
      </c>
      <c r="D987" s="6" t="n">
        <v>29</v>
      </c>
      <c r="E987" s="6"/>
      <c r="F987" s="6"/>
    </row>
    <row r="988" customFormat="false" ht="15" hidden="false" customHeight="false" outlineLevel="0" collapsed="false">
      <c r="A988" s="5" t="s">
        <v>1139</v>
      </c>
      <c r="B988" s="5" t="s">
        <v>249</v>
      </c>
      <c r="C988" s="6" t="n">
        <v>0</v>
      </c>
      <c r="D988" s="6"/>
      <c r="E988" s="6" t="n">
        <v>0</v>
      </c>
      <c r="F988" s="6"/>
    </row>
    <row r="989" customFormat="false" ht="15" hidden="false" customHeight="false" outlineLevel="0" collapsed="false">
      <c r="A989" s="5" t="s">
        <v>1140</v>
      </c>
      <c r="B989" s="5" t="s">
        <v>249</v>
      </c>
      <c r="C989" s="6" t="n">
        <v>6</v>
      </c>
      <c r="D989" s="6" t="n">
        <v>6</v>
      </c>
      <c r="E989" s="6"/>
      <c r="F989" s="6"/>
    </row>
    <row r="990" customFormat="false" ht="15" hidden="false" customHeight="false" outlineLevel="0" collapsed="false">
      <c r="A990" s="5" t="s">
        <v>1141</v>
      </c>
      <c r="B990" s="5" t="s">
        <v>249</v>
      </c>
      <c r="C990" s="6" t="n">
        <v>17</v>
      </c>
      <c r="D990" s="6" t="n">
        <v>0</v>
      </c>
      <c r="E990" s="6"/>
      <c r="F990" s="6"/>
    </row>
    <row r="991" customFormat="false" ht="15" hidden="false" customHeight="false" outlineLevel="0" collapsed="false">
      <c r="A991" s="5" t="s">
        <v>1142</v>
      </c>
      <c r="B991" s="5" t="s">
        <v>249</v>
      </c>
      <c r="C991" s="6" t="n">
        <v>12</v>
      </c>
      <c r="D991" s="6" t="n">
        <v>4</v>
      </c>
      <c r="E991" s="6"/>
      <c r="F991" s="6"/>
    </row>
    <row r="992" customFormat="false" ht="15" hidden="false" customHeight="false" outlineLevel="0" collapsed="false">
      <c r="A992" s="5" t="s">
        <v>1143</v>
      </c>
      <c r="B992" s="5" t="s">
        <v>249</v>
      </c>
      <c r="C992" s="6" t="n">
        <v>16</v>
      </c>
      <c r="D992" s="6" t="n">
        <v>10</v>
      </c>
      <c r="E992" s="6"/>
      <c r="F992" s="6"/>
    </row>
    <row r="993" customFormat="false" ht="15" hidden="false" customHeight="false" outlineLevel="0" collapsed="false">
      <c r="A993" s="5" t="s">
        <v>1144</v>
      </c>
      <c r="B993" s="5" t="s">
        <v>249</v>
      </c>
      <c r="C993" s="6" t="n">
        <v>52</v>
      </c>
      <c r="D993" s="6" t="n">
        <v>0</v>
      </c>
      <c r="E993" s="6"/>
      <c r="F993" s="6"/>
    </row>
    <row r="994" customFormat="false" ht="15" hidden="false" customHeight="false" outlineLevel="0" collapsed="false">
      <c r="A994" s="5" t="s">
        <v>1145</v>
      </c>
      <c r="B994" s="5" t="s">
        <v>249</v>
      </c>
      <c r="C994" s="6" t="n">
        <v>26</v>
      </c>
      <c r="D994" s="6" t="n">
        <v>52</v>
      </c>
      <c r="E994" s="6"/>
      <c r="F994" s="6"/>
    </row>
    <row r="995" customFormat="false" ht="15" hidden="false" customHeight="false" outlineLevel="0" collapsed="false">
      <c r="A995" s="5" t="s">
        <v>1146</v>
      </c>
      <c r="B995" s="5" t="s">
        <v>1147</v>
      </c>
      <c r="C995" s="6" t="n">
        <v>4</v>
      </c>
      <c r="D995" s="6" t="n">
        <v>3</v>
      </c>
      <c r="E995" s="6"/>
      <c r="F995" s="6"/>
    </row>
    <row r="996" customFormat="false" ht="15" hidden="false" customHeight="false" outlineLevel="0" collapsed="false">
      <c r="A996" s="5" t="s">
        <v>1148</v>
      </c>
      <c r="B996" s="5" t="s">
        <v>252</v>
      </c>
      <c r="C996" s="6" t="n">
        <v>3</v>
      </c>
      <c r="D996" s="6" t="n">
        <v>0</v>
      </c>
      <c r="E996" s="6"/>
      <c r="F996" s="6"/>
    </row>
    <row r="997" customFormat="false" ht="15" hidden="false" customHeight="false" outlineLevel="0" collapsed="false">
      <c r="A997" s="5" t="s">
        <v>1149</v>
      </c>
      <c r="B997" s="5" t="s">
        <v>252</v>
      </c>
      <c r="C997" s="6" t="n">
        <v>4</v>
      </c>
      <c r="D997" s="6" t="n">
        <v>2</v>
      </c>
      <c r="E997" s="6"/>
      <c r="F997" s="6"/>
    </row>
    <row r="998" customFormat="false" ht="15" hidden="false" customHeight="false" outlineLevel="0" collapsed="false">
      <c r="A998" s="5" t="s">
        <v>1150</v>
      </c>
      <c r="B998" s="5" t="s">
        <v>252</v>
      </c>
      <c r="C998" s="6" t="n">
        <v>18</v>
      </c>
      <c r="D998" s="6" t="n">
        <v>0</v>
      </c>
      <c r="E998" s="6"/>
      <c r="F998" s="6"/>
    </row>
    <row r="999" customFormat="false" ht="15" hidden="false" customHeight="false" outlineLevel="0" collapsed="false">
      <c r="A999" s="5" t="s">
        <v>1151</v>
      </c>
      <c r="B999" s="5" t="s">
        <v>1152</v>
      </c>
      <c r="C999" s="6" t="n">
        <v>12</v>
      </c>
      <c r="D999" s="6" t="n">
        <v>12</v>
      </c>
      <c r="E999" s="6"/>
      <c r="F999" s="6"/>
    </row>
    <row r="1000" customFormat="false" ht="15" hidden="false" customHeight="false" outlineLevel="0" collapsed="false">
      <c r="A1000" s="5" t="s">
        <v>1153</v>
      </c>
      <c r="B1000" s="5" t="s">
        <v>254</v>
      </c>
      <c r="C1000" s="6" t="n">
        <v>4</v>
      </c>
      <c r="D1000" s="6" t="n">
        <v>0</v>
      </c>
      <c r="E1000" s="6"/>
      <c r="F1000" s="6"/>
    </row>
    <row r="1001" customFormat="false" ht="15" hidden="false" customHeight="false" outlineLevel="0" collapsed="false">
      <c r="A1001" s="5" t="s">
        <v>1154</v>
      </c>
      <c r="B1001" s="5" t="s">
        <v>254</v>
      </c>
      <c r="C1001" s="6" t="n">
        <v>12</v>
      </c>
      <c r="D1001" s="6" t="n">
        <v>12</v>
      </c>
      <c r="E1001" s="6"/>
      <c r="F1001" s="6"/>
    </row>
    <row r="1002" customFormat="false" ht="15" hidden="false" customHeight="false" outlineLevel="0" collapsed="false">
      <c r="A1002" s="5" t="s">
        <v>1155</v>
      </c>
      <c r="B1002" s="5" t="s">
        <v>254</v>
      </c>
      <c r="C1002" s="6" t="n">
        <v>16</v>
      </c>
      <c r="D1002" s="6" t="n">
        <v>4</v>
      </c>
      <c r="E1002" s="6"/>
      <c r="F1002" s="6"/>
    </row>
    <row r="1003" customFormat="false" ht="15" hidden="false" customHeight="false" outlineLevel="0" collapsed="false">
      <c r="A1003" s="5" t="s">
        <v>1156</v>
      </c>
      <c r="B1003" s="5" t="s">
        <v>254</v>
      </c>
      <c r="C1003" s="6" t="n">
        <v>2</v>
      </c>
      <c r="D1003" s="6" t="n">
        <v>0</v>
      </c>
      <c r="E1003" s="6"/>
      <c r="F1003" s="6"/>
    </row>
    <row r="1004" customFormat="false" ht="15" hidden="false" customHeight="false" outlineLevel="0" collapsed="false">
      <c r="A1004" s="5" t="s">
        <v>1157</v>
      </c>
      <c r="B1004" s="5" t="s">
        <v>254</v>
      </c>
      <c r="C1004" s="6" t="n">
        <v>26</v>
      </c>
      <c r="D1004" s="6"/>
      <c r="E1004" s="6" t="n">
        <v>6</v>
      </c>
      <c r="F1004" s="6"/>
    </row>
    <row r="1005" customFormat="false" ht="15" hidden="false" customHeight="false" outlineLevel="0" collapsed="false">
      <c r="A1005" s="5" t="s">
        <v>1158</v>
      </c>
      <c r="B1005" s="5" t="s">
        <v>254</v>
      </c>
      <c r="C1005" s="6" t="n">
        <v>12</v>
      </c>
      <c r="D1005" s="6" t="n">
        <v>10</v>
      </c>
      <c r="E1005" s="6"/>
      <c r="F1005" s="6"/>
    </row>
    <row r="1006" customFormat="false" ht="15" hidden="false" customHeight="false" outlineLevel="0" collapsed="false">
      <c r="A1006" s="5" t="s">
        <v>1159</v>
      </c>
      <c r="B1006" s="5" t="s">
        <v>254</v>
      </c>
      <c r="C1006" s="6" t="n">
        <v>12</v>
      </c>
      <c r="D1006" s="6" t="n">
        <v>0</v>
      </c>
      <c r="E1006" s="6"/>
      <c r="F1006" s="6"/>
    </row>
    <row r="1007" customFormat="false" ht="15" hidden="false" customHeight="false" outlineLevel="0" collapsed="false">
      <c r="A1007" s="5" t="s">
        <v>1160</v>
      </c>
      <c r="B1007" s="5" t="s">
        <v>254</v>
      </c>
      <c r="C1007" s="6" t="n">
        <v>10</v>
      </c>
      <c r="D1007" s="6" t="n">
        <v>2.5</v>
      </c>
      <c r="E1007" s="6"/>
      <c r="F1007" s="6"/>
    </row>
    <row r="1008" customFormat="false" ht="15" hidden="false" customHeight="false" outlineLevel="0" collapsed="false">
      <c r="A1008" s="5" t="s">
        <v>1161</v>
      </c>
      <c r="B1008" s="5" t="s">
        <v>254</v>
      </c>
      <c r="C1008" s="6" t="n">
        <v>4</v>
      </c>
      <c r="D1008" s="6" t="n">
        <v>6</v>
      </c>
      <c r="E1008" s="6"/>
      <c r="F1008" s="6"/>
    </row>
    <row r="1009" customFormat="false" ht="15" hidden="false" customHeight="false" outlineLevel="0" collapsed="false">
      <c r="A1009" s="5" t="s">
        <v>1162</v>
      </c>
      <c r="B1009" s="5" t="s">
        <v>254</v>
      </c>
      <c r="C1009" s="6" t="n">
        <v>4</v>
      </c>
      <c r="D1009" s="6" t="n">
        <v>12</v>
      </c>
      <c r="E1009" s="6"/>
      <c r="F1009" s="6"/>
    </row>
    <row r="1010" customFormat="false" ht="15" hidden="false" customHeight="false" outlineLevel="0" collapsed="false">
      <c r="A1010" s="5" t="s">
        <v>1163</v>
      </c>
      <c r="B1010" s="5" t="s">
        <v>1164</v>
      </c>
      <c r="C1010" s="6" t="n">
        <v>1</v>
      </c>
      <c r="D1010" s="6" t="n">
        <v>12</v>
      </c>
      <c r="E1010" s="6"/>
      <c r="F1010" s="6"/>
    </row>
    <row r="1011" customFormat="false" ht="15" hidden="false" customHeight="false" outlineLevel="0" collapsed="false">
      <c r="A1011" s="5" t="s">
        <v>1165</v>
      </c>
      <c r="B1011" s="5" t="s">
        <v>1164</v>
      </c>
      <c r="C1011" s="6" t="n">
        <v>20</v>
      </c>
      <c r="D1011" s="6" t="n">
        <v>0</v>
      </c>
      <c r="E1011" s="6"/>
      <c r="F1011" s="6"/>
    </row>
    <row r="1012" customFormat="false" ht="15" hidden="false" customHeight="false" outlineLevel="0" collapsed="false">
      <c r="A1012" s="5" t="s">
        <v>1166</v>
      </c>
      <c r="B1012" s="5" t="s">
        <v>1164</v>
      </c>
      <c r="C1012" s="6" t="n">
        <v>12</v>
      </c>
      <c r="D1012" s="6" t="n">
        <v>0</v>
      </c>
      <c r="E1012" s="6"/>
      <c r="F1012" s="6"/>
    </row>
    <row r="1013" customFormat="false" ht="15" hidden="false" customHeight="false" outlineLevel="0" collapsed="false">
      <c r="A1013" s="5" t="s">
        <v>1167</v>
      </c>
      <c r="B1013" s="5" t="s">
        <v>1164</v>
      </c>
      <c r="C1013" s="6" t="n">
        <v>12</v>
      </c>
      <c r="D1013" s="6" t="n">
        <v>3</v>
      </c>
      <c r="E1013" s="6"/>
      <c r="F1013" s="6"/>
    </row>
    <row r="1014" customFormat="false" ht="15" hidden="false" customHeight="false" outlineLevel="0" collapsed="false">
      <c r="A1014" s="5" t="s">
        <v>1168</v>
      </c>
      <c r="B1014" s="5" t="s">
        <v>1169</v>
      </c>
      <c r="C1014" s="6" t="n">
        <v>6</v>
      </c>
      <c r="D1014" s="6" t="n">
        <v>0</v>
      </c>
      <c r="E1014" s="6"/>
      <c r="F1014" s="6"/>
    </row>
    <row r="1015" customFormat="false" ht="15" hidden="false" customHeight="false" outlineLevel="0" collapsed="false">
      <c r="A1015" s="5" t="s">
        <v>1170</v>
      </c>
      <c r="B1015" s="5" t="s">
        <v>1169</v>
      </c>
      <c r="C1015" s="6" t="n">
        <v>12</v>
      </c>
      <c r="D1015" s="6" t="n">
        <v>4</v>
      </c>
      <c r="E1015" s="6"/>
      <c r="F1015" s="6"/>
    </row>
    <row r="1016" customFormat="false" ht="15" hidden="false" customHeight="false" outlineLevel="0" collapsed="false">
      <c r="A1016" s="5" t="s">
        <v>1171</v>
      </c>
      <c r="B1016" s="5" t="s">
        <v>1172</v>
      </c>
      <c r="C1016" s="6" t="n">
        <v>12</v>
      </c>
      <c r="D1016" s="6" t="n">
        <v>0</v>
      </c>
      <c r="E1016" s="6"/>
      <c r="F1016" s="6"/>
    </row>
    <row r="1017" customFormat="false" ht="15" hidden="false" customHeight="false" outlineLevel="0" collapsed="false">
      <c r="A1017" s="5" t="s">
        <v>1173</v>
      </c>
      <c r="B1017" s="5" t="s">
        <v>1172</v>
      </c>
      <c r="C1017" s="6" t="n">
        <v>20</v>
      </c>
      <c r="D1017" s="6" t="n">
        <v>12</v>
      </c>
      <c r="E1017" s="6"/>
      <c r="F1017" s="6"/>
    </row>
    <row r="1018" customFormat="false" ht="15" hidden="false" customHeight="false" outlineLevel="0" collapsed="false">
      <c r="A1018" s="5" t="s">
        <v>1174</v>
      </c>
      <c r="B1018" s="5" t="s">
        <v>1172</v>
      </c>
      <c r="C1018" s="6" t="n">
        <v>12</v>
      </c>
      <c r="D1018" s="6" t="n">
        <v>0</v>
      </c>
      <c r="E1018" s="6"/>
      <c r="F1018" s="6"/>
    </row>
    <row r="1019" customFormat="false" ht="15" hidden="false" customHeight="false" outlineLevel="0" collapsed="false">
      <c r="A1019" s="5" t="s">
        <v>1175</v>
      </c>
      <c r="B1019" s="5" t="s">
        <v>1172</v>
      </c>
      <c r="C1019" s="6" t="n">
        <v>2</v>
      </c>
      <c r="D1019" s="6" t="n">
        <v>12</v>
      </c>
      <c r="E1019" s="6"/>
      <c r="F1019" s="6"/>
    </row>
    <row r="1020" customFormat="false" ht="15" hidden="false" customHeight="false" outlineLevel="0" collapsed="false">
      <c r="A1020" s="5" t="s">
        <v>1176</v>
      </c>
      <c r="B1020" s="5" t="s">
        <v>1172</v>
      </c>
      <c r="C1020" s="6" t="n">
        <v>16</v>
      </c>
      <c r="D1020" s="6" t="n">
        <v>16</v>
      </c>
      <c r="E1020" s="6"/>
      <c r="F1020" s="6"/>
    </row>
    <row r="1021" customFormat="false" ht="15" hidden="false" customHeight="false" outlineLevel="0" collapsed="false">
      <c r="A1021" s="5" t="s">
        <v>1177</v>
      </c>
      <c r="B1021" s="5" t="s">
        <v>1172</v>
      </c>
      <c r="C1021" s="6" t="n">
        <v>20</v>
      </c>
      <c r="D1021" s="6" t="n">
        <v>20</v>
      </c>
      <c r="E1021" s="6"/>
      <c r="F1021" s="6"/>
    </row>
    <row r="1022" customFormat="false" ht="15" hidden="false" customHeight="false" outlineLevel="0" collapsed="false">
      <c r="A1022" s="5" t="s">
        <v>1178</v>
      </c>
      <c r="B1022" s="5" t="s">
        <v>1172</v>
      </c>
      <c r="C1022" s="6" t="n">
        <v>18</v>
      </c>
      <c r="D1022" s="6" t="n">
        <v>0</v>
      </c>
      <c r="E1022" s="6"/>
      <c r="F1022" s="6"/>
    </row>
    <row r="1023" customFormat="false" ht="15" hidden="false" customHeight="false" outlineLevel="0" collapsed="false">
      <c r="A1023" s="5" t="s">
        <v>1179</v>
      </c>
      <c r="B1023" s="5" t="s">
        <v>60</v>
      </c>
      <c r="C1023" s="6" t="n">
        <v>12</v>
      </c>
      <c r="D1023" s="6" t="n">
        <v>0</v>
      </c>
      <c r="E1023" s="6"/>
      <c r="F1023" s="6"/>
    </row>
    <row r="1024" customFormat="false" ht="15" hidden="false" customHeight="false" outlineLevel="0" collapsed="false">
      <c r="A1024" s="5" t="s">
        <v>1180</v>
      </c>
      <c r="B1024" s="5" t="s">
        <v>60</v>
      </c>
      <c r="C1024" s="6" t="n">
        <v>6</v>
      </c>
      <c r="D1024" s="6" t="n">
        <v>0</v>
      </c>
      <c r="E1024" s="6"/>
      <c r="F1024" s="6"/>
    </row>
    <row r="1025" customFormat="false" ht="15" hidden="false" customHeight="false" outlineLevel="0" collapsed="false">
      <c r="A1025" s="5" t="s">
        <v>1181</v>
      </c>
      <c r="B1025" s="5" t="s">
        <v>1182</v>
      </c>
      <c r="C1025" s="6" t="n">
        <v>52</v>
      </c>
      <c r="D1025" s="6" t="n">
        <v>40</v>
      </c>
      <c r="E1025" s="6"/>
      <c r="F1025" s="6"/>
    </row>
    <row r="1026" customFormat="false" ht="15" hidden="false" customHeight="false" outlineLevel="0" collapsed="false">
      <c r="A1026" s="5" t="s">
        <v>1183</v>
      </c>
      <c r="B1026" s="5" t="s">
        <v>1182</v>
      </c>
      <c r="C1026" s="6" t="n">
        <v>10</v>
      </c>
      <c r="D1026" s="6" t="n">
        <v>2</v>
      </c>
      <c r="E1026" s="6"/>
      <c r="F1026" s="6"/>
    </row>
    <row r="1027" customFormat="false" ht="15" hidden="false" customHeight="false" outlineLevel="0" collapsed="false">
      <c r="A1027" s="5" t="s">
        <v>1184</v>
      </c>
      <c r="B1027" s="5" t="s">
        <v>1182</v>
      </c>
      <c r="C1027" s="6" t="n">
        <v>15</v>
      </c>
      <c r="D1027" s="6" t="n">
        <v>0</v>
      </c>
      <c r="E1027" s="6"/>
      <c r="F1027" s="6"/>
    </row>
    <row r="1028" customFormat="false" ht="15" hidden="false" customHeight="false" outlineLevel="0" collapsed="false">
      <c r="A1028" s="5" t="s">
        <v>1185</v>
      </c>
      <c r="B1028" s="5" t="s">
        <v>256</v>
      </c>
      <c r="C1028" s="6" t="n">
        <v>0</v>
      </c>
      <c r="D1028" s="6" t="n">
        <v>6</v>
      </c>
      <c r="E1028" s="6"/>
      <c r="F1028" s="6"/>
    </row>
    <row r="1029" customFormat="false" ht="15" hidden="false" customHeight="false" outlineLevel="0" collapsed="false">
      <c r="A1029" s="5" t="s">
        <v>1186</v>
      </c>
      <c r="B1029" s="5" t="s">
        <v>256</v>
      </c>
      <c r="C1029" s="6" t="n">
        <v>6</v>
      </c>
      <c r="D1029" s="6" t="n">
        <v>0</v>
      </c>
      <c r="E1029" s="6"/>
      <c r="F1029" s="6"/>
    </row>
    <row r="1030" customFormat="false" ht="15" hidden="false" customHeight="false" outlineLevel="0" collapsed="false">
      <c r="A1030" s="5" t="s">
        <v>1187</v>
      </c>
      <c r="B1030" s="5" t="s">
        <v>256</v>
      </c>
      <c r="C1030" s="6" t="n">
        <v>20.5</v>
      </c>
      <c r="D1030" s="6" t="n">
        <v>13</v>
      </c>
      <c r="E1030" s="6"/>
      <c r="F1030" s="6"/>
    </row>
    <row r="1031" customFormat="false" ht="15" hidden="false" customHeight="false" outlineLevel="0" collapsed="false">
      <c r="A1031" s="5" t="s">
        <v>1188</v>
      </c>
      <c r="B1031" s="5" t="s">
        <v>1189</v>
      </c>
      <c r="C1031" s="6" t="n">
        <v>0</v>
      </c>
      <c r="D1031" s="6" t="n">
        <v>16</v>
      </c>
      <c r="E1031" s="6"/>
      <c r="F1031" s="6"/>
    </row>
    <row r="1032" customFormat="false" ht="15" hidden="false" customHeight="false" outlineLevel="0" collapsed="false">
      <c r="A1032" s="5" t="s">
        <v>1190</v>
      </c>
      <c r="B1032" s="5" t="s">
        <v>258</v>
      </c>
      <c r="C1032" s="6" t="n">
        <v>4</v>
      </c>
      <c r="D1032" s="6" t="n">
        <v>8</v>
      </c>
      <c r="E1032" s="6"/>
      <c r="F1032" s="6"/>
    </row>
    <row r="1033" customFormat="false" ht="15" hidden="false" customHeight="false" outlineLevel="0" collapsed="false">
      <c r="A1033" s="5" t="s">
        <v>1191</v>
      </c>
      <c r="B1033" s="5" t="s">
        <v>258</v>
      </c>
      <c r="C1033" s="6" t="n">
        <v>12</v>
      </c>
      <c r="D1033" s="6" t="n">
        <v>12</v>
      </c>
      <c r="E1033" s="6"/>
      <c r="F1033" s="6"/>
    </row>
    <row r="1034" customFormat="false" ht="15" hidden="false" customHeight="false" outlineLevel="0" collapsed="false">
      <c r="A1034" s="5" t="s">
        <v>1192</v>
      </c>
      <c r="B1034" s="5" t="s">
        <v>258</v>
      </c>
      <c r="C1034" s="6" t="n">
        <v>7</v>
      </c>
      <c r="D1034" s="6" t="n">
        <v>5</v>
      </c>
      <c r="E1034" s="6"/>
      <c r="F1034" s="6"/>
    </row>
    <row r="1035" customFormat="false" ht="15" hidden="false" customHeight="false" outlineLevel="0" collapsed="false">
      <c r="A1035" s="5" t="s">
        <v>1193</v>
      </c>
      <c r="B1035" s="5" t="s">
        <v>258</v>
      </c>
      <c r="C1035" s="6" t="n">
        <v>6</v>
      </c>
      <c r="D1035" s="6" t="n">
        <v>18</v>
      </c>
      <c r="E1035" s="6"/>
      <c r="F1035" s="6"/>
    </row>
    <row r="1036" customFormat="false" ht="15" hidden="false" customHeight="false" outlineLevel="0" collapsed="false">
      <c r="A1036" s="5" t="s">
        <v>1194</v>
      </c>
      <c r="B1036" s="5" t="s">
        <v>258</v>
      </c>
      <c r="C1036" s="6" t="n">
        <v>16</v>
      </c>
      <c r="D1036" s="6" t="n">
        <v>12</v>
      </c>
      <c r="E1036" s="6"/>
      <c r="F1036" s="6"/>
    </row>
    <row r="1037" customFormat="false" ht="15" hidden="false" customHeight="false" outlineLevel="0" collapsed="false">
      <c r="A1037" s="5" t="s">
        <v>1195</v>
      </c>
      <c r="B1037" s="5" t="s">
        <v>258</v>
      </c>
      <c r="C1037" s="6" t="n">
        <v>4</v>
      </c>
      <c r="D1037" s="6" t="n">
        <v>6</v>
      </c>
      <c r="E1037" s="6"/>
      <c r="F1037" s="6"/>
    </row>
    <row r="1038" customFormat="false" ht="15" hidden="false" customHeight="false" outlineLevel="0" collapsed="false">
      <c r="A1038" s="5" t="s">
        <v>1196</v>
      </c>
      <c r="B1038" s="5" t="s">
        <v>258</v>
      </c>
      <c r="C1038" s="6" t="n">
        <v>0</v>
      </c>
      <c r="D1038" s="6" t="n">
        <v>12</v>
      </c>
      <c r="E1038" s="6"/>
      <c r="F1038" s="6"/>
    </row>
    <row r="1039" customFormat="false" ht="15" hidden="false" customHeight="false" outlineLevel="0" collapsed="false">
      <c r="A1039" s="5" t="s">
        <v>1197</v>
      </c>
      <c r="B1039" s="5" t="s">
        <v>258</v>
      </c>
      <c r="C1039" s="6" t="n">
        <v>24</v>
      </c>
      <c r="D1039" s="6" t="n">
        <v>0</v>
      </c>
      <c r="E1039" s="6"/>
      <c r="F1039" s="6"/>
    </row>
    <row r="1040" customFormat="false" ht="15" hidden="false" customHeight="false" outlineLevel="0" collapsed="false">
      <c r="A1040" s="5" t="s">
        <v>1198</v>
      </c>
      <c r="B1040" s="5" t="s">
        <v>258</v>
      </c>
      <c r="C1040" s="6" t="n">
        <v>12</v>
      </c>
      <c r="D1040" s="6" t="n">
        <v>26</v>
      </c>
      <c r="E1040" s="6"/>
      <c r="F1040" s="6"/>
    </row>
    <row r="1041" customFormat="false" ht="15" hidden="false" customHeight="false" outlineLevel="0" collapsed="false">
      <c r="A1041" s="5" t="s">
        <v>1199</v>
      </c>
      <c r="B1041" s="5" t="s">
        <v>258</v>
      </c>
      <c r="C1041" s="6" t="n">
        <v>16</v>
      </c>
      <c r="D1041" s="6" t="n">
        <v>12</v>
      </c>
      <c r="E1041" s="6"/>
      <c r="F1041" s="6"/>
    </row>
    <row r="1042" customFormat="false" ht="15" hidden="false" customHeight="false" outlineLevel="0" collapsed="false">
      <c r="A1042" s="5" t="s">
        <v>1200</v>
      </c>
      <c r="B1042" s="5" t="s">
        <v>258</v>
      </c>
      <c r="C1042" s="6" t="n">
        <v>6</v>
      </c>
      <c r="D1042" s="6" t="n">
        <v>0</v>
      </c>
      <c r="E1042" s="6"/>
      <c r="F1042" s="6"/>
    </row>
    <row r="1043" customFormat="false" ht="15" hidden="false" customHeight="false" outlineLevel="0" collapsed="false">
      <c r="A1043" s="5" t="s">
        <v>1201</v>
      </c>
      <c r="B1043" s="5" t="s">
        <v>1202</v>
      </c>
      <c r="C1043" s="6" t="n">
        <v>2</v>
      </c>
      <c r="D1043" s="6" t="n">
        <v>10</v>
      </c>
      <c r="E1043" s="6"/>
      <c r="F1043" s="6"/>
    </row>
    <row r="1044" customFormat="false" ht="15" hidden="false" customHeight="false" outlineLevel="0" collapsed="false">
      <c r="A1044" s="5" t="s">
        <v>1203</v>
      </c>
      <c r="B1044" s="5" t="s">
        <v>1202</v>
      </c>
      <c r="C1044" s="6" t="n">
        <v>10</v>
      </c>
      <c r="D1044" s="6" t="n">
        <v>16</v>
      </c>
      <c r="E1044" s="6"/>
      <c r="F1044" s="6"/>
    </row>
    <row r="1045" customFormat="false" ht="15" hidden="false" customHeight="false" outlineLevel="0" collapsed="false">
      <c r="A1045" s="5" t="s">
        <v>1204</v>
      </c>
      <c r="B1045" s="5" t="s">
        <v>1202</v>
      </c>
      <c r="C1045" s="6" t="n">
        <v>6</v>
      </c>
      <c r="D1045" s="6" t="n">
        <v>0</v>
      </c>
      <c r="E1045" s="6"/>
      <c r="F1045" s="6"/>
    </row>
    <row r="1046" customFormat="false" ht="15" hidden="false" customHeight="false" outlineLevel="0" collapsed="false">
      <c r="A1046" s="5" t="s">
        <v>1205</v>
      </c>
      <c r="B1046" s="5" t="s">
        <v>1202</v>
      </c>
      <c r="C1046" s="6" t="n">
        <v>6</v>
      </c>
      <c r="D1046" s="6" t="n">
        <v>6</v>
      </c>
      <c r="E1046" s="6"/>
      <c r="F1046" s="6"/>
    </row>
    <row r="1047" customFormat="false" ht="15" hidden="false" customHeight="false" outlineLevel="0" collapsed="false">
      <c r="A1047" s="5" t="s">
        <v>1206</v>
      </c>
      <c r="B1047" s="5" t="s">
        <v>264</v>
      </c>
      <c r="C1047" s="6" t="n">
        <v>8</v>
      </c>
      <c r="D1047" s="6" t="n">
        <v>4</v>
      </c>
      <c r="E1047" s="6"/>
      <c r="F1047" s="6"/>
    </row>
    <row r="1048" customFormat="false" ht="15" hidden="false" customHeight="false" outlineLevel="0" collapsed="false">
      <c r="A1048" s="5" t="s">
        <v>1207</v>
      </c>
      <c r="B1048" s="5" t="s">
        <v>264</v>
      </c>
      <c r="C1048" s="6" t="n">
        <v>24</v>
      </c>
      <c r="D1048" s="6" t="n">
        <v>20</v>
      </c>
      <c r="E1048" s="6"/>
      <c r="F1048" s="6"/>
    </row>
    <row r="1049" customFormat="false" ht="15" hidden="false" customHeight="false" outlineLevel="0" collapsed="false">
      <c r="A1049" s="5" t="s">
        <v>1208</v>
      </c>
      <c r="B1049" s="5" t="s">
        <v>264</v>
      </c>
      <c r="C1049" s="6" t="n">
        <v>26</v>
      </c>
      <c r="D1049" s="6" t="n">
        <v>13</v>
      </c>
      <c r="E1049" s="6"/>
      <c r="F1049" s="6"/>
    </row>
    <row r="1050" customFormat="false" ht="15" hidden="false" customHeight="false" outlineLevel="0" collapsed="false">
      <c r="A1050" s="5" t="s">
        <v>1209</v>
      </c>
      <c r="B1050" s="5" t="s">
        <v>264</v>
      </c>
      <c r="C1050" s="6" t="n">
        <v>26</v>
      </c>
      <c r="D1050" s="6" t="n">
        <v>26</v>
      </c>
      <c r="E1050" s="6"/>
      <c r="F1050" s="6"/>
    </row>
    <row r="1051" customFormat="false" ht="15" hidden="false" customHeight="false" outlineLevel="0" collapsed="false">
      <c r="A1051" s="5" t="s">
        <v>1210</v>
      </c>
      <c r="B1051" s="5" t="s">
        <v>264</v>
      </c>
      <c r="C1051" s="6" t="n">
        <v>12</v>
      </c>
      <c r="D1051" s="6" t="n">
        <v>0</v>
      </c>
      <c r="E1051" s="6"/>
      <c r="F1051" s="6"/>
    </row>
    <row r="1052" customFormat="false" ht="15" hidden="false" customHeight="false" outlineLevel="0" collapsed="false">
      <c r="A1052" s="5" t="s">
        <v>1211</v>
      </c>
      <c r="B1052" s="5" t="s">
        <v>264</v>
      </c>
      <c r="C1052" s="6" t="n">
        <v>10.5</v>
      </c>
      <c r="D1052" s="6" t="n">
        <v>0</v>
      </c>
      <c r="E1052" s="6"/>
      <c r="F1052" s="6"/>
    </row>
    <row r="1053" customFormat="false" ht="15" hidden="false" customHeight="false" outlineLevel="0" collapsed="false">
      <c r="A1053" s="5" t="s">
        <v>1212</v>
      </c>
      <c r="B1053" s="5" t="s">
        <v>266</v>
      </c>
      <c r="C1053" s="6" t="n">
        <v>8</v>
      </c>
      <c r="D1053" s="6"/>
      <c r="E1053" s="6" t="n">
        <v>2</v>
      </c>
      <c r="F1053" s="6"/>
    </row>
    <row r="1054" customFormat="false" ht="15" hidden="false" customHeight="false" outlineLevel="0" collapsed="false">
      <c r="A1054" s="5" t="s">
        <v>1213</v>
      </c>
      <c r="B1054" s="5" t="s">
        <v>266</v>
      </c>
      <c r="C1054" s="6" t="n">
        <v>13</v>
      </c>
      <c r="D1054" s="6" t="n">
        <v>1.5</v>
      </c>
      <c r="E1054" s="6"/>
      <c r="F1054" s="6"/>
    </row>
    <row r="1055" customFormat="false" ht="15" hidden="false" customHeight="false" outlineLevel="0" collapsed="false">
      <c r="A1055" s="5" t="s">
        <v>1214</v>
      </c>
      <c r="B1055" s="5" t="s">
        <v>266</v>
      </c>
      <c r="C1055" s="6" t="n">
        <v>16</v>
      </c>
      <c r="D1055" s="6" t="n">
        <v>24</v>
      </c>
      <c r="E1055" s="6"/>
      <c r="F1055" s="6"/>
    </row>
    <row r="1056" customFormat="false" ht="15" hidden="false" customHeight="false" outlineLevel="0" collapsed="false">
      <c r="A1056" s="5" t="s">
        <v>1215</v>
      </c>
      <c r="B1056" s="5" t="s">
        <v>266</v>
      </c>
      <c r="C1056" s="6" t="n">
        <v>12</v>
      </c>
      <c r="D1056" s="6" t="n">
        <v>26</v>
      </c>
      <c r="E1056" s="6"/>
      <c r="F1056" s="6"/>
    </row>
    <row r="1057" customFormat="false" ht="15" hidden="false" customHeight="false" outlineLevel="0" collapsed="false">
      <c r="A1057" s="5" t="s">
        <v>1216</v>
      </c>
      <c r="B1057" s="5" t="s">
        <v>266</v>
      </c>
      <c r="C1057" s="6" t="n">
        <v>8</v>
      </c>
      <c r="D1057" s="6" t="n">
        <v>12</v>
      </c>
      <c r="E1057" s="6"/>
      <c r="F1057" s="6"/>
    </row>
    <row r="1058" customFormat="false" ht="15" hidden="false" customHeight="false" outlineLevel="0" collapsed="false">
      <c r="A1058" s="5" t="s">
        <v>1217</v>
      </c>
      <c r="B1058" s="5" t="s">
        <v>62</v>
      </c>
      <c r="C1058" s="6" t="n">
        <v>26</v>
      </c>
      <c r="D1058" s="6" t="n">
        <v>0</v>
      </c>
      <c r="E1058" s="6"/>
      <c r="F1058" s="6"/>
    </row>
    <row r="1059" customFormat="false" ht="15" hidden="false" customHeight="false" outlineLevel="0" collapsed="false">
      <c r="A1059" s="5" t="s">
        <v>1218</v>
      </c>
      <c r="B1059" s="5" t="s">
        <v>62</v>
      </c>
      <c r="C1059" s="6" t="n">
        <v>8</v>
      </c>
      <c r="D1059" s="6" t="n">
        <v>0</v>
      </c>
      <c r="E1059" s="6"/>
      <c r="F1059" s="6"/>
    </row>
    <row r="1060" customFormat="false" ht="15" hidden="false" customHeight="false" outlineLevel="0" collapsed="false">
      <c r="A1060" s="5" t="s">
        <v>1219</v>
      </c>
      <c r="B1060" s="5" t="s">
        <v>268</v>
      </c>
      <c r="C1060" s="6" t="n">
        <v>6</v>
      </c>
      <c r="D1060" s="6" t="n">
        <v>12</v>
      </c>
      <c r="E1060" s="6"/>
      <c r="F1060" s="6"/>
    </row>
    <row r="1061" customFormat="false" ht="15" hidden="false" customHeight="false" outlineLevel="0" collapsed="false">
      <c r="A1061" s="5" t="s">
        <v>1220</v>
      </c>
      <c r="B1061" s="5" t="s">
        <v>268</v>
      </c>
      <c r="C1061" s="6" t="n">
        <v>8</v>
      </c>
      <c r="D1061" s="6" t="n">
        <v>0</v>
      </c>
      <c r="E1061" s="6"/>
      <c r="F1061" s="6"/>
    </row>
    <row r="1062" customFormat="false" ht="15" hidden="false" customHeight="false" outlineLevel="0" collapsed="false">
      <c r="A1062" s="5" t="s">
        <v>1221</v>
      </c>
      <c r="B1062" s="5" t="s">
        <v>268</v>
      </c>
      <c r="C1062" s="6" t="n">
        <v>8</v>
      </c>
      <c r="D1062" s="6" t="n">
        <v>0</v>
      </c>
      <c r="E1062" s="6"/>
      <c r="F1062" s="6"/>
    </row>
    <row r="1063" customFormat="false" ht="15" hidden="false" customHeight="false" outlineLevel="0" collapsed="false">
      <c r="A1063" s="5" t="s">
        <v>1222</v>
      </c>
      <c r="B1063" s="5" t="s">
        <v>268</v>
      </c>
      <c r="C1063" s="6" t="n">
        <v>16</v>
      </c>
      <c r="D1063" s="6" t="n">
        <v>4</v>
      </c>
      <c r="E1063" s="6"/>
      <c r="F1063" s="6"/>
    </row>
    <row r="1064" customFormat="false" ht="15" hidden="false" customHeight="false" outlineLevel="0" collapsed="false">
      <c r="A1064" s="5" t="s">
        <v>1223</v>
      </c>
      <c r="B1064" s="5" t="s">
        <v>268</v>
      </c>
      <c r="C1064" s="6" t="n">
        <v>6</v>
      </c>
      <c r="D1064" s="6" t="n">
        <v>6</v>
      </c>
      <c r="E1064" s="6"/>
      <c r="F1064" s="6"/>
    </row>
    <row r="1065" customFormat="false" ht="15" hidden="false" customHeight="false" outlineLevel="0" collapsed="false">
      <c r="A1065" s="5" t="s">
        <v>1224</v>
      </c>
      <c r="B1065" s="5" t="s">
        <v>1225</v>
      </c>
      <c r="C1065" s="6" t="n">
        <v>12</v>
      </c>
      <c r="D1065" s="6" t="n">
        <v>0</v>
      </c>
      <c r="E1065" s="6"/>
      <c r="F1065" s="6"/>
    </row>
    <row r="1066" customFormat="false" ht="15" hidden="false" customHeight="false" outlineLevel="0" collapsed="false">
      <c r="A1066" s="5" t="s">
        <v>1226</v>
      </c>
      <c r="B1066" s="5" t="s">
        <v>1225</v>
      </c>
      <c r="C1066" s="6" t="n">
        <v>8</v>
      </c>
      <c r="D1066" s="6" t="n">
        <v>0</v>
      </c>
      <c r="E1066" s="6"/>
      <c r="F1066" s="6"/>
    </row>
    <row r="1067" customFormat="false" ht="15" hidden="false" customHeight="false" outlineLevel="0" collapsed="false">
      <c r="A1067" s="5" t="s">
        <v>1227</v>
      </c>
      <c r="B1067" s="5" t="s">
        <v>1225</v>
      </c>
      <c r="C1067" s="6" t="n">
        <v>11</v>
      </c>
      <c r="D1067" s="6" t="n">
        <v>12</v>
      </c>
      <c r="E1067" s="6"/>
      <c r="F1067" s="6"/>
    </row>
    <row r="1068" customFormat="false" ht="15" hidden="false" customHeight="false" outlineLevel="0" collapsed="false">
      <c r="A1068" s="5" t="s">
        <v>1228</v>
      </c>
      <c r="B1068" s="5" t="s">
        <v>274</v>
      </c>
      <c r="C1068" s="6" t="n">
        <v>5</v>
      </c>
      <c r="D1068" s="6" t="n">
        <v>0</v>
      </c>
      <c r="E1068" s="6"/>
      <c r="F1068" s="6"/>
    </row>
    <row r="1069" customFormat="false" ht="15" hidden="false" customHeight="false" outlineLevel="0" collapsed="false">
      <c r="A1069" s="5" t="s">
        <v>1229</v>
      </c>
      <c r="B1069" s="5" t="s">
        <v>274</v>
      </c>
      <c r="C1069" s="6" t="n">
        <v>6</v>
      </c>
      <c r="D1069" s="6" t="n">
        <v>6</v>
      </c>
      <c r="E1069" s="6"/>
      <c r="F1069" s="6"/>
    </row>
    <row r="1070" customFormat="false" ht="15" hidden="false" customHeight="false" outlineLevel="0" collapsed="false">
      <c r="A1070" s="5" t="s">
        <v>1230</v>
      </c>
      <c r="B1070" s="5" t="s">
        <v>274</v>
      </c>
      <c r="C1070" s="6" t="n">
        <v>52</v>
      </c>
      <c r="D1070" s="6" t="n">
        <v>0</v>
      </c>
      <c r="E1070" s="6"/>
      <c r="F1070" s="6"/>
    </row>
    <row r="1071" customFormat="false" ht="15" hidden="false" customHeight="false" outlineLevel="0" collapsed="false">
      <c r="A1071" s="5" t="s">
        <v>1231</v>
      </c>
      <c r="B1071" s="5" t="s">
        <v>1232</v>
      </c>
      <c r="C1071" s="6" t="n">
        <v>6</v>
      </c>
      <c r="D1071" s="6" t="n">
        <v>6</v>
      </c>
      <c r="E1071" s="6"/>
      <c r="F1071" s="6"/>
    </row>
    <row r="1072" customFormat="false" ht="15" hidden="false" customHeight="false" outlineLevel="0" collapsed="false">
      <c r="A1072" s="5" t="s">
        <v>1233</v>
      </c>
      <c r="B1072" s="5" t="s">
        <v>1232</v>
      </c>
      <c r="C1072" s="6" t="n">
        <v>26</v>
      </c>
      <c r="D1072" s="6" t="n">
        <v>26</v>
      </c>
      <c r="E1072" s="6"/>
      <c r="F1072" s="6"/>
    </row>
    <row r="1073" customFormat="false" ht="15" hidden="false" customHeight="false" outlineLevel="0" collapsed="false">
      <c r="A1073" s="5" t="s">
        <v>1234</v>
      </c>
      <c r="B1073" s="5" t="s">
        <v>1232</v>
      </c>
      <c r="C1073" s="6" t="n">
        <v>12</v>
      </c>
      <c r="D1073" s="6" t="n">
        <v>0</v>
      </c>
      <c r="E1073" s="6"/>
      <c r="F1073" s="6"/>
    </row>
    <row r="1074" customFormat="false" ht="15" hidden="false" customHeight="false" outlineLevel="0" collapsed="false">
      <c r="A1074" s="5" t="s">
        <v>1235</v>
      </c>
      <c r="B1074" s="5" t="s">
        <v>1232</v>
      </c>
      <c r="C1074" s="6" t="n">
        <v>12</v>
      </c>
      <c r="D1074" s="6" t="n">
        <v>12</v>
      </c>
      <c r="E1074" s="6"/>
      <c r="F1074" s="6"/>
    </row>
    <row r="1075" customFormat="false" ht="15" hidden="false" customHeight="false" outlineLevel="0" collapsed="false">
      <c r="A1075" s="5" t="s">
        <v>1236</v>
      </c>
      <c r="B1075" s="5" t="s">
        <v>1232</v>
      </c>
      <c r="C1075" s="6" t="n">
        <v>15</v>
      </c>
      <c r="D1075" s="6" t="n">
        <v>0</v>
      </c>
      <c r="E1075" s="6"/>
      <c r="F1075" s="6"/>
    </row>
    <row r="1076" customFormat="false" ht="15" hidden="false" customHeight="false" outlineLevel="0" collapsed="false">
      <c r="A1076" s="5" t="s">
        <v>1237</v>
      </c>
      <c r="B1076" s="5" t="s">
        <v>1232</v>
      </c>
      <c r="C1076" s="6" t="n">
        <v>0</v>
      </c>
      <c r="D1076" s="6" t="n">
        <v>0</v>
      </c>
      <c r="E1076" s="6"/>
      <c r="F1076" s="6"/>
    </row>
    <row r="1077" customFormat="false" ht="15" hidden="false" customHeight="false" outlineLevel="0" collapsed="false">
      <c r="A1077" s="5" t="s">
        <v>1238</v>
      </c>
      <c r="B1077" s="5" t="s">
        <v>1232</v>
      </c>
      <c r="C1077" s="6" t="n">
        <v>2</v>
      </c>
      <c r="D1077" s="6" t="n">
        <v>20</v>
      </c>
      <c r="E1077" s="6"/>
      <c r="F1077" s="6"/>
    </row>
    <row r="1078" customFormat="false" ht="15" hidden="false" customHeight="false" outlineLevel="0" collapsed="false">
      <c r="A1078" s="5" t="s">
        <v>1239</v>
      </c>
      <c r="B1078" s="5" t="s">
        <v>1232</v>
      </c>
      <c r="C1078" s="6" t="n">
        <v>52</v>
      </c>
      <c r="D1078" s="6" t="n">
        <v>2</v>
      </c>
      <c r="E1078" s="6"/>
      <c r="F1078" s="6"/>
    </row>
    <row r="1079" customFormat="false" ht="15" hidden="false" customHeight="false" outlineLevel="0" collapsed="false">
      <c r="A1079" s="5" t="s">
        <v>1240</v>
      </c>
      <c r="B1079" s="5" t="s">
        <v>1241</v>
      </c>
      <c r="C1079" s="6" t="n">
        <v>16</v>
      </c>
      <c r="D1079" s="6" t="n">
        <v>0</v>
      </c>
      <c r="E1079" s="6"/>
      <c r="F1079" s="6"/>
    </row>
    <row r="1080" customFormat="false" ht="15" hidden="false" customHeight="false" outlineLevel="0" collapsed="false">
      <c r="A1080" s="5" t="s">
        <v>1242</v>
      </c>
      <c r="B1080" s="5" t="s">
        <v>276</v>
      </c>
      <c r="C1080" s="6" t="n">
        <v>12</v>
      </c>
      <c r="D1080" s="6" t="n">
        <v>4</v>
      </c>
      <c r="E1080" s="6"/>
      <c r="F1080" s="6"/>
    </row>
    <row r="1081" customFormat="false" ht="15" hidden="false" customHeight="false" outlineLevel="0" collapsed="false">
      <c r="A1081" s="5" t="s">
        <v>1243</v>
      </c>
      <c r="B1081" s="5" t="s">
        <v>276</v>
      </c>
      <c r="C1081" s="6" t="n">
        <v>24</v>
      </c>
      <c r="D1081" s="6"/>
      <c r="E1081" s="6" t="n">
        <v>24</v>
      </c>
      <c r="F1081" s="6"/>
    </row>
    <row r="1082" customFormat="false" ht="15" hidden="false" customHeight="false" outlineLevel="0" collapsed="false">
      <c r="A1082" s="5" t="s">
        <v>1244</v>
      </c>
      <c r="B1082" s="5" t="s">
        <v>276</v>
      </c>
      <c r="C1082" s="6" t="n">
        <v>12</v>
      </c>
      <c r="D1082" s="6" t="n">
        <v>0</v>
      </c>
      <c r="E1082" s="6"/>
      <c r="F1082" s="6"/>
    </row>
    <row r="1083" customFormat="false" ht="15" hidden="false" customHeight="false" outlineLevel="0" collapsed="false">
      <c r="A1083" s="5" t="s">
        <v>1245</v>
      </c>
      <c r="B1083" s="5" t="s">
        <v>276</v>
      </c>
      <c r="C1083" s="6" t="n">
        <v>12</v>
      </c>
      <c r="D1083" s="6" t="n">
        <v>0</v>
      </c>
      <c r="E1083" s="6"/>
      <c r="F1083" s="6"/>
    </row>
    <row r="1084" customFormat="false" ht="15" hidden="false" customHeight="false" outlineLevel="0" collapsed="false">
      <c r="A1084" s="5" t="s">
        <v>1246</v>
      </c>
      <c r="B1084" s="5" t="s">
        <v>1247</v>
      </c>
      <c r="C1084" s="6" t="n">
        <v>8</v>
      </c>
      <c r="D1084" s="6" t="n">
        <v>16</v>
      </c>
      <c r="E1084" s="6"/>
      <c r="F1084" s="6"/>
    </row>
    <row r="1085" customFormat="false" ht="15" hidden="false" customHeight="false" outlineLevel="0" collapsed="false">
      <c r="A1085" s="5" t="s">
        <v>1248</v>
      </c>
      <c r="B1085" s="5" t="s">
        <v>1247</v>
      </c>
      <c r="C1085" s="6" t="n">
        <v>15</v>
      </c>
      <c r="D1085" s="6" t="n">
        <v>9</v>
      </c>
      <c r="E1085" s="6"/>
      <c r="F1085" s="6"/>
    </row>
    <row r="1086" customFormat="false" ht="15" hidden="false" customHeight="false" outlineLevel="0" collapsed="false">
      <c r="A1086" s="5" t="s">
        <v>1249</v>
      </c>
      <c r="B1086" s="5" t="s">
        <v>1247</v>
      </c>
      <c r="C1086" s="6" t="n">
        <v>6</v>
      </c>
      <c r="D1086" s="6" t="n">
        <v>6</v>
      </c>
      <c r="E1086" s="6"/>
      <c r="F1086" s="6"/>
    </row>
    <row r="1087" customFormat="false" ht="15" hidden="false" customHeight="false" outlineLevel="0" collapsed="false">
      <c r="A1087" s="5" t="s">
        <v>1250</v>
      </c>
      <c r="B1087" s="5" t="s">
        <v>1251</v>
      </c>
      <c r="C1087" s="6" t="n">
        <v>12</v>
      </c>
      <c r="D1087" s="6" t="n">
        <v>0</v>
      </c>
      <c r="E1087" s="6"/>
      <c r="F1087" s="6"/>
    </row>
    <row r="1088" customFormat="false" ht="15" hidden="false" customHeight="false" outlineLevel="0" collapsed="false">
      <c r="A1088" s="5" t="s">
        <v>1252</v>
      </c>
      <c r="B1088" s="5" t="s">
        <v>1251</v>
      </c>
      <c r="C1088" s="6" t="n">
        <v>26</v>
      </c>
      <c r="D1088" s="6" t="n">
        <v>12</v>
      </c>
      <c r="E1088" s="6"/>
      <c r="F1088" s="6"/>
    </row>
    <row r="1089" customFormat="false" ht="15" hidden="false" customHeight="false" outlineLevel="0" collapsed="false">
      <c r="A1089" s="5" t="s">
        <v>1253</v>
      </c>
      <c r="B1089" s="5" t="s">
        <v>1254</v>
      </c>
      <c r="C1089" s="6" t="n">
        <v>4</v>
      </c>
      <c r="D1089" s="6" t="n">
        <v>0</v>
      </c>
      <c r="E1089" s="6"/>
      <c r="F1089" s="6"/>
    </row>
    <row r="1090" customFormat="false" ht="15" hidden="false" customHeight="false" outlineLevel="0" collapsed="false">
      <c r="A1090" s="5" t="s">
        <v>1255</v>
      </c>
      <c r="B1090" s="5" t="s">
        <v>1254</v>
      </c>
      <c r="C1090" s="6" t="n">
        <v>12</v>
      </c>
      <c r="D1090" s="6" t="n">
        <v>0</v>
      </c>
      <c r="E1090" s="6"/>
      <c r="F1090" s="6"/>
    </row>
    <row r="1091" customFormat="false" ht="15" hidden="false" customHeight="false" outlineLevel="0" collapsed="false">
      <c r="A1091" s="5" t="s">
        <v>1256</v>
      </c>
      <c r="B1091" s="5" t="s">
        <v>1254</v>
      </c>
      <c r="C1091" s="6" t="n">
        <v>6</v>
      </c>
      <c r="D1091" s="6" t="n">
        <v>6</v>
      </c>
      <c r="E1091" s="6"/>
      <c r="F1091" s="6"/>
    </row>
    <row r="1092" customFormat="false" ht="15" hidden="false" customHeight="false" outlineLevel="0" collapsed="false">
      <c r="A1092" s="5" t="s">
        <v>1257</v>
      </c>
      <c r="B1092" s="5" t="s">
        <v>1254</v>
      </c>
      <c r="C1092" s="6" t="n">
        <v>4</v>
      </c>
      <c r="D1092" s="6" t="n">
        <v>4</v>
      </c>
      <c r="E1092" s="6"/>
      <c r="F1092" s="6"/>
    </row>
    <row r="1093" customFormat="false" ht="15" hidden="false" customHeight="false" outlineLevel="0" collapsed="false">
      <c r="A1093" s="5" t="s">
        <v>1258</v>
      </c>
      <c r="B1093" s="5" t="s">
        <v>1254</v>
      </c>
      <c r="C1093" s="6" t="n">
        <v>6</v>
      </c>
      <c r="D1093" s="6" t="n">
        <v>6</v>
      </c>
      <c r="E1093" s="6"/>
      <c r="F1093" s="6"/>
    </row>
    <row r="1094" customFormat="false" ht="15" hidden="false" customHeight="false" outlineLevel="0" collapsed="false">
      <c r="A1094" s="5" t="s">
        <v>1259</v>
      </c>
      <c r="B1094" s="5" t="s">
        <v>1254</v>
      </c>
      <c r="C1094" s="6" t="n">
        <v>0</v>
      </c>
      <c r="D1094" s="6" t="n">
        <v>12</v>
      </c>
      <c r="E1094" s="6"/>
      <c r="F1094" s="6"/>
    </row>
    <row r="1095" customFormat="false" ht="15" hidden="false" customHeight="false" outlineLevel="0" collapsed="false">
      <c r="A1095" s="5" t="s">
        <v>1260</v>
      </c>
      <c r="B1095" s="5" t="s">
        <v>1261</v>
      </c>
      <c r="C1095" s="6" t="n">
        <v>8</v>
      </c>
      <c r="D1095" s="6" t="n">
        <v>8</v>
      </c>
      <c r="E1095" s="6"/>
      <c r="F1095" s="6"/>
    </row>
    <row r="1096" customFormat="false" ht="15" hidden="false" customHeight="false" outlineLevel="0" collapsed="false">
      <c r="A1096" s="5" t="s">
        <v>1262</v>
      </c>
      <c r="B1096" s="5" t="s">
        <v>1263</v>
      </c>
      <c r="C1096" s="6" t="n">
        <v>12</v>
      </c>
      <c r="D1096" s="6" t="n">
        <v>12</v>
      </c>
      <c r="E1096" s="6"/>
      <c r="F1096" s="6"/>
    </row>
    <row r="1097" customFormat="false" ht="15" hidden="false" customHeight="false" outlineLevel="0" collapsed="false">
      <c r="A1097" s="5" t="s">
        <v>1264</v>
      </c>
      <c r="B1097" s="5" t="s">
        <v>1263</v>
      </c>
      <c r="C1097" s="6" t="n">
        <v>12</v>
      </c>
      <c r="D1097" s="6" t="n">
        <v>52</v>
      </c>
      <c r="E1097" s="6"/>
      <c r="F1097" s="6"/>
    </row>
    <row r="1098" customFormat="false" ht="15" hidden="false" customHeight="false" outlineLevel="0" collapsed="false">
      <c r="A1098" s="5" t="s">
        <v>1265</v>
      </c>
      <c r="B1098" s="5" t="s">
        <v>1266</v>
      </c>
      <c r="C1098" s="6" t="n">
        <v>12</v>
      </c>
      <c r="D1098" s="6" t="n">
        <v>4</v>
      </c>
      <c r="E1098" s="6"/>
      <c r="F1098" s="6"/>
    </row>
    <row r="1099" customFormat="false" ht="15" hidden="false" customHeight="false" outlineLevel="0" collapsed="false">
      <c r="A1099" s="5" t="s">
        <v>1267</v>
      </c>
      <c r="B1099" s="5" t="s">
        <v>1266</v>
      </c>
      <c r="C1099" s="6" t="n">
        <v>6</v>
      </c>
      <c r="D1099" s="6" t="n">
        <v>6</v>
      </c>
      <c r="E1099" s="6"/>
      <c r="F1099" s="6"/>
    </row>
    <row r="1100" customFormat="false" ht="15" hidden="false" customHeight="false" outlineLevel="0" collapsed="false">
      <c r="A1100" s="5" t="s">
        <v>1268</v>
      </c>
      <c r="B1100" s="5" t="s">
        <v>1269</v>
      </c>
      <c r="C1100" s="6" t="n">
        <v>12</v>
      </c>
      <c r="D1100" s="6" t="n">
        <v>0</v>
      </c>
      <c r="E1100" s="6"/>
      <c r="F1100" s="6"/>
    </row>
    <row r="1101" customFormat="false" ht="15" hidden="false" customHeight="false" outlineLevel="0" collapsed="false">
      <c r="A1101" s="5" t="s">
        <v>1270</v>
      </c>
      <c r="B1101" s="5" t="s">
        <v>1271</v>
      </c>
      <c r="C1101" s="6" t="n">
        <v>4</v>
      </c>
      <c r="D1101" s="6" t="n">
        <v>12</v>
      </c>
      <c r="E1101" s="6"/>
      <c r="F1101" s="6"/>
    </row>
    <row r="1102" customFormat="false" ht="15" hidden="false" customHeight="false" outlineLevel="0" collapsed="false">
      <c r="A1102" s="5" t="s">
        <v>1272</v>
      </c>
      <c r="B1102" s="5" t="s">
        <v>1273</v>
      </c>
      <c r="C1102" s="6" t="n">
        <v>1</v>
      </c>
      <c r="D1102" s="6" t="n">
        <v>12</v>
      </c>
      <c r="E1102" s="6"/>
      <c r="F1102" s="6"/>
    </row>
    <row r="1103" customFormat="false" ht="15" hidden="false" customHeight="false" outlineLevel="0" collapsed="false">
      <c r="A1103" s="5" t="s">
        <v>1274</v>
      </c>
      <c r="B1103" s="5" t="s">
        <v>1273</v>
      </c>
      <c r="C1103" s="6" t="n">
        <v>8</v>
      </c>
      <c r="D1103" s="6" t="n">
        <v>4</v>
      </c>
      <c r="E1103" s="6"/>
      <c r="F1103" s="6"/>
    </row>
    <row r="1104" customFormat="false" ht="15" hidden="false" customHeight="false" outlineLevel="0" collapsed="false">
      <c r="A1104" s="5" t="s">
        <v>1275</v>
      </c>
      <c r="B1104" s="5" t="s">
        <v>1276</v>
      </c>
      <c r="C1104" s="6" t="n">
        <v>12</v>
      </c>
      <c r="D1104" s="6" t="n">
        <v>6</v>
      </c>
      <c r="E1104" s="6"/>
      <c r="F1104" s="6"/>
    </row>
    <row r="1105" customFormat="false" ht="15" hidden="false" customHeight="false" outlineLevel="0" collapsed="false">
      <c r="A1105" s="5" t="s">
        <v>1277</v>
      </c>
      <c r="B1105" s="5" t="s">
        <v>64</v>
      </c>
      <c r="C1105" s="6" t="n">
        <v>12</v>
      </c>
      <c r="D1105" s="6" t="n">
        <v>12</v>
      </c>
      <c r="E1105" s="6"/>
      <c r="F1105" s="6"/>
    </row>
    <row r="1106" customFormat="false" ht="15" hidden="false" customHeight="false" outlineLevel="0" collapsed="false">
      <c r="A1106" s="5" t="s">
        <v>1278</v>
      </c>
      <c r="B1106" s="5" t="s">
        <v>282</v>
      </c>
      <c r="C1106" s="6" t="n">
        <v>6</v>
      </c>
      <c r="D1106" s="6" t="n">
        <v>0</v>
      </c>
      <c r="E1106" s="6"/>
      <c r="F1106" s="6"/>
    </row>
    <row r="1107" customFormat="false" ht="15" hidden="false" customHeight="false" outlineLevel="0" collapsed="false">
      <c r="A1107" s="5" t="s">
        <v>1279</v>
      </c>
      <c r="B1107" s="5" t="s">
        <v>282</v>
      </c>
      <c r="C1107" s="6" t="n">
        <v>12</v>
      </c>
      <c r="D1107" s="6" t="n">
        <v>0</v>
      </c>
      <c r="E1107" s="6"/>
      <c r="F1107" s="6"/>
    </row>
    <row r="1108" customFormat="false" ht="15" hidden="false" customHeight="false" outlineLevel="0" collapsed="false">
      <c r="A1108" s="5" t="s">
        <v>1280</v>
      </c>
      <c r="B1108" s="5" t="s">
        <v>282</v>
      </c>
      <c r="C1108" s="6" t="n">
        <v>12</v>
      </c>
      <c r="D1108" s="6" t="n">
        <v>0</v>
      </c>
      <c r="E1108" s="6"/>
      <c r="F1108" s="6"/>
    </row>
    <row r="1109" customFormat="false" ht="15" hidden="false" customHeight="false" outlineLevel="0" collapsed="false">
      <c r="A1109" s="5" t="s">
        <v>1281</v>
      </c>
      <c r="B1109" s="5" t="s">
        <v>282</v>
      </c>
      <c r="C1109" s="6" t="n">
        <v>16</v>
      </c>
      <c r="D1109" s="6" t="n">
        <v>0</v>
      </c>
      <c r="E1109" s="6"/>
      <c r="F1109" s="6"/>
    </row>
    <row r="1110" customFormat="false" ht="15" hidden="false" customHeight="false" outlineLevel="0" collapsed="false">
      <c r="A1110" s="5" t="s">
        <v>1282</v>
      </c>
      <c r="B1110" s="5" t="s">
        <v>282</v>
      </c>
      <c r="C1110" s="6" t="n">
        <v>6</v>
      </c>
      <c r="D1110" s="6" t="n">
        <v>6</v>
      </c>
      <c r="E1110" s="6"/>
      <c r="F1110" s="6"/>
    </row>
    <row r="1111" customFormat="false" ht="15" hidden="false" customHeight="false" outlineLevel="0" collapsed="false">
      <c r="A1111" s="5" t="s">
        <v>1283</v>
      </c>
      <c r="B1111" s="5" t="s">
        <v>282</v>
      </c>
      <c r="C1111" s="6" t="n">
        <v>3</v>
      </c>
      <c r="D1111" s="6" t="n">
        <v>9</v>
      </c>
      <c r="E1111" s="6"/>
      <c r="F1111" s="6"/>
    </row>
    <row r="1112" customFormat="false" ht="15" hidden="false" customHeight="false" outlineLevel="0" collapsed="false">
      <c r="A1112" s="5" t="s">
        <v>1284</v>
      </c>
      <c r="B1112" s="5" t="s">
        <v>1285</v>
      </c>
      <c r="C1112" s="6" t="n">
        <v>8</v>
      </c>
      <c r="D1112" s="6" t="n">
        <v>12</v>
      </c>
      <c r="E1112" s="6"/>
      <c r="F1112" s="6"/>
    </row>
    <row r="1113" customFormat="false" ht="15" hidden="false" customHeight="false" outlineLevel="0" collapsed="false">
      <c r="A1113" s="5" t="s">
        <v>1286</v>
      </c>
      <c r="B1113" s="5" t="s">
        <v>1287</v>
      </c>
      <c r="C1113" s="6" t="n">
        <v>10</v>
      </c>
      <c r="D1113" s="6" t="n">
        <v>0</v>
      </c>
      <c r="E1113" s="6"/>
      <c r="F1113" s="6"/>
    </row>
    <row r="1114" customFormat="false" ht="15" hidden="false" customHeight="false" outlineLevel="0" collapsed="false">
      <c r="A1114" s="5" t="s">
        <v>1288</v>
      </c>
      <c r="B1114" s="5" t="s">
        <v>1287</v>
      </c>
      <c r="C1114" s="6" t="n">
        <v>8</v>
      </c>
      <c r="D1114" s="6" t="n">
        <v>4</v>
      </c>
      <c r="E1114" s="6"/>
      <c r="F1114" s="6"/>
    </row>
    <row r="1115" customFormat="false" ht="15" hidden="false" customHeight="false" outlineLevel="0" collapsed="false">
      <c r="A1115" s="5" t="s">
        <v>1289</v>
      </c>
      <c r="B1115" s="5" t="s">
        <v>1290</v>
      </c>
      <c r="C1115" s="6" t="n">
        <v>6</v>
      </c>
      <c r="D1115" s="6" t="n">
        <v>6</v>
      </c>
      <c r="E1115" s="6"/>
      <c r="F1115" s="6"/>
    </row>
    <row r="1116" customFormat="false" ht="15" hidden="false" customHeight="false" outlineLevel="0" collapsed="false">
      <c r="A1116" s="5" t="s">
        <v>1291</v>
      </c>
      <c r="B1116" s="5" t="s">
        <v>1290</v>
      </c>
      <c r="C1116" s="6" t="n">
        <v>9</v>
      </c>
      <c r="D1116" s="6" t="n">
        <v>0</v>
      </c>
      <c r="E1116" s="6"/>
      <c r="F1116" s="6"/>
    </row>
    <row r="1117" customFormat="false" ht="15" hidden="false" customHeight="false" outlineLevel="0" collapsed="false">
      <c r="A1117" s="5" t="s">
        <v>1292</v>
      </c>
      <c r="B1117" s="5" t="s">
        <v>66</v>
      </c>
      <c r="C1117" s="6" t="n">
        <v>12</v>
      </c>
      <c r="D1117" s="6" t="n">
        <v>12</v>
      </c>
      <c r="E1117" s="6"/>
      <c r="F1117" s="6"/>
    </row>
    <row r="1118" customFormat="false" ht="15" hidden="false" customHeight="false" outlineLevel="0" collapsed="false">
      <c r="A1118" s="5" t="s">
        <v>1293</v>
      </c>
      <c r="B1118" s="5" t="s">
        <v>66</v>
      </c>
      <c r="C1118" s="6" t="n">
        <v>8</v>
      </c>
      <c r="D1118" s="6" t="n">
        <v>0</v>
      </c>
      <c r="E1118" s="6"/>
      <c r="F1118" s="6"/>
    </row>
    <row r="1119" customFormat="false" ht="15" hidden="false" customHeight="false" outlineLevel="0" collapsed="false">
      <c r="A1119" s="5" t="s">
        <v>1294</v>
      </c>
      <c r="B1119" s="5" t="s">
        <v>66</v>
      </c>
      <c r="C1119" s="6" t="n">
        <v>6</v>
      </c>
      <c r="D1119" s="6" t="n">
        <v>52</v>
      </c>
      <c r="E1119" s="6"/>
      <c r="F1119" s="6"/>
    </row>
    <row r="1120" customFormat="false" ht="15" hidden="false" customHeight="false" outlineLevel="0" collapsed="false">
      <c r="A1120" s="5" t="s">
        <v>1295</v>
      </c>
      <c r="B1120" s="5" t="s">
        <v>66</v>
      </c>
      <c r="C1120" s="6" t="n">
        <v>4</v>
      </c>
      <c r="D1120" s="6" t="n">
        <v>12</v>
      </c>
      <c r="E1120" s="6"/>
      <c r="F1120" s="6"/>
    </row>
    <row r="1121" customFormat="false" ht="15" hidden="false" customHeight="false" outlineLevel="0" collapsed="false">
      <c r="A1121" s="5" t="s">
        <v>1296</v>
      </c>
      <c r="B1121" s="5" t="s">
        <v>66</v>
      </c>
      <c r="C1121" s="6" t="n">
        <v>4</v>
      </c>
      <c r="D1121" s="6" t="n">
        <v>1</v>
      </c>
      <c r="E1121" s="6"/>
      <c r="F1121" s="6"/>
    </row>
    <row r="1122" customFormat="false" ht="15" hidden="false" customHeight="false" outlineLevel="0" collapsed="false">
      <c r="A1122" s="5" t="s">
        <v>1297</v>
      </c>
      <c r="B1122" s="5" t="s">
        <v>66</v>
      </c>
      <c r="C1122" s="6" t="n">
        <v>6</v>
      </c>
      <c r="D1122" s="6" t="n">
        <v>0</v>
      </c>
      <c r="E1122" s="6"/>
      <c r="F1122" s="6"/>
    </row>
    <row r="1123" customFormat="false" ht="15" hidden="false" customHeight="false" outlineLevel="0" collapsed="false">
      <c r="A1123" s="5" t="s">
        <v>1298</v>
      </c>
      <c r="B1123" s="5" t="s">
        <v>66</v>
      </c>
      <c r="C1123" s="6" t="n">
        <v>8</v>
      </c>
      <c r="D1123" s="6" t="n">
        <v>8</v>
      </c>
      <c r="E1123" s="6"/>
      <c r="F1123" s="6"/>
    </row>
    <row r="1124" customFormat="false" ht="15" hidden="false" customHeight="false" outlineLevel="0" collapsed="false">
      <c r="A1124" s="5" t="s">
        <v>1299</v>
      </c>
      <c r="B1124" s="5" t="s">
        <v>66</v>
      </c>
      <c r="C1124" s="6" t="n">
        <v>12</v>
      </c>
      <c r="D1124" s="6" t="n">
        <v>0</v>
      </c>
      <c r="E1124" s="6"/>
      <c r="F1124" s="6"/>
    </row>
    <row r="1125" customFormat="false" ht="15" hidden="false" customHeight="false" outlineLevel="0" collapsed="false">
      <c r="A1125" s="5" t="s">
        <v>1300</v>
      </c>
      <c r="B1125" s="5" t="s">
        <v>66</v>
      </c>
      <c r="C1125" s="6" t="n">
        <v>9</v>
      </c>
      <c r="D1125" s="6" t="n">
        <v>8</v>
      </c>
      <c r="E1125" s="6"/>
      <c r="F1125" s="6"/>
    </row>
    <row r="1126" customFormat="false" ht="15" hidden="false" customHeight="false" outlineLevel="0" collapsed="false">
      <c r="A1126" s="5" t="s">
        <v>1301</v>
      </c>
      <c r="B1126" s="5" t="s">
        <v>66</v>
      </c>
      <c r="C1126" s="6" t="n">
        <v>13</v>
      </c>
      <c r="D1126" s="6" t="n">
        <v>6</v>
      </c>
      <c r="E1126" s="6"/>
      <c r="F1126" s="6"/>
    </row>
    <row r="1127" customFormat="false" ht="15" hidden="false" customHeight="false" outlineLevel="0" collapsed="false">
      <c r="A1127" s="5" t="s">
        <v>1302</v>
      </c>
      <c r="B1127" s="5" t="s">
        <v>66</v>
      </c>
      <c r="C1127" s="6" t="n">
        <v>12</v>
      </c>
      <c r="D1127" s="6" t="n">
        <v>14</v>
      </c>
      <c r="E1127" s="6"/>
      <c r="F1127" s="6"/>
    </row>
    <row r="1128" customFormat="false" ht="15" hidden="false" customHeight="false" outlineLevel="0" collapsed="false">
      <c r="A1128" s="5" t="s">
        <v>1303</v>
      </c>
      <c r="B1128" s="5" t="s">
        <v>66</v>
      </c>
      <c r="C1128" s="6" t="n">
        <v>8</v>
      </c>
      <c r="D1128" s="6" t="n">
        <v>0</v>
      </c>
      <c r="E1128" s="6"/>
      <c r="F1128" s="6"/>
    </row>
    <row r="1129" customFormat="false" ht="15" hidden="false" customHeight="false" outlineLevel="0" collapsed="false">
      <c r="A1129" s="5" t="s">
        <v>1304</v>
      </c>
      <c r="B1129" s="5" t="s">
        <v>66</v>
      </c>
      <c r="C1129" s="6" t="n">
        <v>12</v>
      </c>
      <c r="D1129" s="6" t="n">
        <v>12</v>
      </c>
      <c r="E1129" s="6"/>
      <c r="F1129" s="6"/>
    </row>
    <row r="1130" customFormat="false" ht="15" hidden="false" customHeight="false" outlineLevel="0" collapsed="false">
      <c r="A1130" s="5" t="s">
        <v>1305</v>
      </c>
      <c r="B1130" s="5" t="s">
        <v>66</v>
      </c>
      <c r="C1130" s="6" t="n">
        <v>6</v>
      </c>
      <c r="D1130" s="6" t="n">
        <v>6</v>
      </c>
      <c r="E1130" s="6"/>
      <c r="F1130" s="6"/>
    </row>
    <row r="1131" customFormat="false" ht="15" hidden="false" customHeight="false" outlineLevel="0" collapsed="false">
      <c r="A1131" s="5" t="s">
        <v>1306</v>
      </c>
      <c r="B1131" s="5" t="s">
        <v>66</v>
      </c>
      <c r="C1131" s="6" t="n">
        <v>12</v>
      </c>
      <c r="D1131" s="6" t="n">
        <v>0</v>
      </c>
      <c r="E1131" s="6"/>
      <c r="F1131" s="6"/>
    </row>
    <row r="1132" customFormat="false" ht="15" hidden="false" customHeight="false" outlineLevel="0" collapsed="false">
      <c r="A1132" s="5" t="s">
        <v>1307</v>
      </c>
      <c r="B1132" s="5" t="s">
        <v>66</v>
      </c>
      <c r="C1132" s="6" t="n">
        <v>14</v>
      </c>
      <c r="D1132" s="6" t="n">
        <v>38</v>
      </c>
      <c r="E1132" s="6"/>
      <c r="F1132" s="6"/>
    </row>
    <row r="1133" customFormat="false" ht="15" hidden="false" customHeight="false" outlineLevel="0" collapsed="false">
      <c r="A1133" s="5" t="s">
        <v>1308</v>
      </c>
      <c r="B1133" s="5" t="s">
        <v>68</v>
      </c>
      <c r="C1133" s="6" t="n">
        <v>2</v>
      </c>
      <c r="D1133" s="6" t="n">
        <v>6</v>
      </c>
      <c r="E1133" s="6"/>
      <c r="F1133" s="6"/>
    </row>
    <row r="1134" customFormat="false" ht="15" hidden="false" customHeight="false" outlineLevel="0" collapsed="false">
      <c r="A1134" s="5" t="s">
        <v>1309</v>
      </c>
      <c r="B1134" s="5" t="s">
        <v>68</v>
      </c>
      <c r="C1134" s="6" t="n">
        <v>12</v>
      </c>
      <c r="D1134" s="6" t="n">
        <v>12</v>
      </c>
      <c r="E1134" s="6"/>
      <c r="F1134" s="6"/>
    </row>
    <row r="1135" customFormat="false" ht="15" hidden="false" customHeight="false" outlineLevel="0" collapsed="false">
      <c r="A1135" s="5" t="s">
        <v>1310</v>
      </c>
      <c r="B1135" s="5" t="s">
        <v>288</v>
      </c>
      <c r="C1135" s="6" t="n">
        <v>16</v>
      </c>
      <c r="D1135" s="6" t="n">
        <v>4</v>
      </c>
      <c r="E1135" s="6"/>
      <c r="F1135" s="6"/>
    </row>
    <row r="1136" customFormat="false" ht="15" hidden="false" customHeight="false" outlineLevel="0" collapsed="false">
      <c r="A1136" s="5" t="s">
        <v>1311</v>
      </c>
      <c r="B1136" s="5" t="s">
        <v>288</v>
      </c>
      <c r="C1136" s="6" t="n">
        <v>13</v>
      </c>
      <c r="D1136" s="6" t="n">
        <v>12</v>
      </c>
      <c r="E1136" s="6"/>
      <c r="F1136" s="6"/>
    </row>
    <row r="1137" customFormat="false" ht="15" hidden="false" customHeight="false" outlineLevel="0" collapsed="false">
      <c r="A1137" s="5" t="s">
        <v>1312</v>
      </c>
      <c r="B1137" s="5" t="s">
        <v>288</v>
      </c>
      <c r="C1137" s="6" t="n">
        <v>25</v>
      </c>
      <c r="D1137" s="6" t="n">
        <v>13</v>
      </c>
      <c r="E1137" s="6"/>
      <c r="F1137" s="6"/>
    </row>
    <row r="1138" customFormat="false" ht="15" hidden="false" customHeight="false" outlineLevel="0" collapsed="false">
      <c r="A1138" s="5" t="s">
        <v>1313</v>
      </c>
      <c r="B1138" s="5" t="s">
        <v>288</v>
      </c>
      <c r="C1138" s="6" t="n">
        <v>32</v>
      </c>
      <c r="D1138" s="6" t="n">
        <v>0</v>
      </c>
      <c r="E1138" s="6"/>
      <c r="F1138" s="6"/>
    </row>
    <row r="1139" customFormat="false" ht="15" hidden="false" customHeight="false" outlineLevel="0" collapsed="false">
      <c r="A1139" s="5" t="s">
        <v>1314</v>
      </c>
      <c r="B1139" s="5" t="s">
        <v>1315</v>
      </c>
      <c r="C1139" s="6" t="n">
        <v>4</v>
      </c>
      <c r="D1139" s="6" t="n">
        <v>0</v>
      </c>
      <c r="E1139" s="6"/>
      <c r="F1139" s="6"/>
    </row>
    <row r="1140" customFormat="false" ht="15" hidden="false" customHeight="false" outlineLevel="0" collapsed="false">
      <c r="A1140" s="5" t="s">
        <v>1316</v>
      </c>
      <c r="B1140" s="5" t="s">
        <v>1315</v>
      </c>
      <c r="C1140" s="6" t="n">
        <v>6</v>
      </c>
      <c r="D1140" s="6" t="n">
        <v>0</v>
      </c>
      <c r="E1140" s="6"/>
      <c r="F1140" s="6"/>
    </row>
    <row r="1141" customFormat="false" ht="15" hidden="false" customHeight="false" outlineLevel="0" collapsed="false">
      <c r="A1141" s="5" t="s">
        <v>1317</v>
      </c>
      <c r="B1141" s="5" t="s">
        <v>1315</v>
      </c>
      <c r="C1141" s="6" t="n">
        <v>12</v>
      </c>
      <c r="D1141" s="6" t="n">
        <v>0</v>
      </c>
      <c r="E1141" s="6"/>
      <c r="F1141" s="6"/>
    </row>
    <row r="1142" customFormat="false" ht="15" hidden="false" customHeight="false" outlineLevel="0" collapsed="false">
      <c r="A1142" s="5" t="s">
        <v>1318</v>
      </c>
      <c r="B1142" s="5" t="s">
        <v>1315</v>
      </c>
      <c r="C1142" s="6" t="n">
        <v>8</v>
      </c>
      <c r="D1142" s="6" t="n">
        <v>27</v>
      </c>
      <c r="E1142" s="6"/>
      <c r="F1142" s="6"/>
    </row>
    <row r="1143" customFormat="false" ht="15" hidden="false" customHeight="false" outlineLevel="0" collapsed="false">
      <c r="A1143" s="5" t="s">
        <v>1319</v>
      </c>
      <c r="B1143" s="5" t="s">
        <v>1315</v>
      </c>
      <c r="C1143" s="6" t="n">
        <v>12</v>
      </c>
      <c r="D1143" s="6"/>
      <c r="E1143" s="6" t="n">
        <v>12</v>
      </c>
      <c r="F1143" s="6"/>
    </row>
    <row r="1144" customFormat="false" ht="15" hidden="false" customHeight="false" outlineLevel="0" collapsed="false">
      <c r="A1144" s="5" t="s">
        <v>1320</v>
      </c>
      <c r="B1144" s="5" t="s">
        <v>1315</v>
      </c>
      <c r="C1144" s="6" t="n">
        <v>4</v>
      </c>
      <c r="D1144" s="6" t="n">
        <v>2</v>
      </c>
      <c r="E1144" s="6"/>
      <c r="F1144" s="6"/>
    </row>
    <row r="1145" customFormat="false" ht="15" hidden="false" customHeight="false" outlineLevel="0" collapsed="false">
      <c r="A1145" s="5" t="s">
        <v>1321</v>
      </c>
      <c r="B1145" s="5" t="s">
        <v>292</v>
      </c>
      <c r="C1145" s="6" t="n">
        <v>12</v>
      </c>
      <c r="D1145" s="6" t="n">
        <v>0</v>
      </c>
      <c r="E1145" s="6"/>
      <c r="F1145" s="6"/>
    </row>
    <row r="1146" customFormat="false" ht="15" hidden="false" customHeight="false" outlineLevel="0" collapsed="false">
      <c r="A1146" s="5" t="s">
        <v>1322</v>
      </c>
      <c r="B1146" s="5" t="s">
        <v>292</v>
      </c>
      <c r="C1146" s="6" t="n">
        <v>16</v>
      </c>
      <c r="D1146" s="6" t="n">
        <v>52</v>
      </c>
      <c r="E1146" s="6"/>
      <c r="F1146" s="6"/>
    </row>
    <row r="1147" customFormat="false" ht="15" hidden="false" customHeight="false" outlineLevel="0" collapsed="false">
      <c r="A1147" s="5" t="s">
        <v>1323</v>
      </c>
      <c r="B1147" s="5" t="s">
        <v>292</v>
      </c>
      <c r="C1147" s="6" t="n">
        <v>12</v>
      </c>
      <c r="D1147" s="6" t="n">
        <v>0</v>
      </c>
      <c r="E1147" s="6"/>
      <c r="F1147" s="6"/>
    </row>
    <row r="1148" customFormat="false" ht="15" hidden="false" customHeight="false" outlineLevel="0" collapsed="false">
      <c r="A1148" s="5" t="s">
        <v>1324</v>
      </c>
      <c r="B1148" s="5" t="s">
        <v>292</v>
      </c>
      <c r="C1148" s="6" t="n">
        <v>14</v>
      </c>
      <c r="D1148" s="6" t="n">
        <v>0</v>
      </c>
      <c r="E1148" s="6"/>
      <c r="F1148" s="6"/>
    </row>
    <row r="1149" customFormat="false" ht="15" hidden="false" customHeight="false" outlineLevel="0" collapsed="false">
      <c r="A1149" s="5" t="s">
        <v>1325</v>
      </c>
      <c r="B1149" s="5" t="s">
        <v>292</v>
      </c>
      <c r="C1149" s="6" t="n">
        <v>10.5</v>
      </c>
      <c r="D1149" s="6" t="n">
        <v>12</v>
      </c>
      <c r="E1149" s="6"/>
      <c r="F1149" s="6"/>
    </row>
    <row r="1150" customFormat="false" ht="15" hidden="false" customHeight="false" outlineLevel="0" collapsed="false">
      <c r="A1150" s="5" t="s">
        <v>1326</v>
      </c>
      <c r="B1150" s="5" t="s">
        <v>292</v>
      </c>
      <c r="C1150" s="6" t="n">
        <v>10</v>
      </c>
      <c r="D1150" s="6" t="n">
        <v>0</v>
      </c>
      <c r="E1150" s="6"/>
      <c r="F1150" s="6"/>
    </row>
    <row r="1151" customFormat="false" ht="15" hidden="false" customHeight="false" outlineLevel="0" collapsed="false">
      <c r="A1151" s="5" t="s">
        <v>1327</v>
      </c>
      <c r="B1151" s="5" t="s">
        <v>70</v>
      </c>
      <c r="C1151" s="6" t="n">
        <v>6</v>
      </c>
      <c r="D1151" s="6" t="n">
        <v>0</v>
      </c>
      <c r="E1151" s="6"/>
      <c r="F1151" s="6"/>
    </row>
    <row r="1152" customFormat="false" ht="15" hidden="false" customHeight="false" outlineLevel="0" collapsed="false">
      <c r="A1152" s="5" t="s">
        <v>1328</v>
      </c>
      <c r="B1152" s="5" t="s">
        <v>1329</v>
      </c>
      <c r="C1152" s="6" t="n">
        <v>13</v>
      </c>
      <c r="D1152" s="6" t="n">
        <v>0</v>
      </c>
      <c r="E1152" s="6"/>
      <c r="F1152" s="6"/>
    </row>
    <row r="1153" customFormat="false" ht="15" hidden="false" customHeight="false" outlineLevel="0" collapsed="false">
      <c r="A1153" s="5" t="s">
        <v>1330</v>
      </c>
      <c r="B1153" s="5" t="s">
        <v>1329</v>
      </c>
      <c r="C1153" s="6" t="n">
        <v>16</v>
      </c>
      <c r="D1153" s="6" t="n">
        <v>4</v>
      </c>
      <c r="E1153" s="6"/>
      <c r="F1153" s="6"/>
    </row>
    <row r="1154" customFormat="false" ht="15" hidden="false" customHeight="false" outlineLevel="0" collapsed="false">
      <c r="A1154" s="5" t="s">
        <v>1331</v>
      </c>
      <c r="B1154" s="5" t="s">
        <v>1329</v>
      </c>
      <c r="C1154" s="6" t="n">
        <v>12</v>
      </c>
      <c r="D1154" s="6" t="n">
        <v>13</v>
      </c>
      <c r="E1154" s="6"/>
      <c r="F1154" s="6"/>
    </row>
    <row r="1155" customFormat="false" ht="15" hidden="false" customHeight="false" outlineLevel="0" collapsed="false">
      <c r="A1155" s="5" t="s">
        <v>1332</v>
      </c>
      <c r="B1155" s="5" t="s">
        <v>1329</v>
      </c>
      <c r="C1155" s="6" t="n">
        <v>4</v>
      </c>
      <c r="D1155" s="6" t="n">
        <v>52</v>
      </c>
      <c r="E1155" s="6"/>
      <c r="F1155" s="6"/>
    </row>
    <row r="1156" customFormat="false" ht="15" hidden="false" customHeight="false" outlineLevel="0" collapsed="false">
      <c r="A1156" s="5" t="s">
        <v>1333</v>
      </c>
      <c r="B1156" s="5" t="s">
        <v>72</v>
      </c>
      <c r="C1156" s="6" t="n">
        <v>6</v>
      </c>
      <c r="D1156" s="6" t="n">
        <v>1</v>
      </c>
      <c r="E1156" s="6"/>
      <c r="F1156" s="6"/>
    </row>
    <row r="1157" customFormat="false" ht="15" hidden="false" customHeight="false" outlineLevel="0" collapsed="false">
      <c r="A1157" s="5" t="s">
        <v>1334</v>
      </c>
      <c r="B1157" s="5" t="s">
        <v>72</v>
      </c>
      <c r="C1157" s="6" t="n">
        <v>8</v>
      </c>
      <c r="D1157" s="6" t="n">
        <v>4</v>
      </c>
      <c r="E1157" s="6"/>
      <c r="F1157" s="6"/>
    </row>
    <row r="1158" customFormat="false" ht="15" hidden="false" customHeight="false" outlineLevel="0" collapsed="false">
      <c r="A1158" s="5" t="s">
        <v>1335</v>
      </c>
      <c r="B1158" s="5" t="s">
        <v>72</v>
      </c>
      <c r="C1158" s="6" t="n">
        <v>4</v>
      </c>
      <c r="D1158" s="6" t="n">
        <v>12</v>
      </c>
      <c r="E1158" s="6"/>
      <c r="F1158" s="6"/>
    </row>
    <row r="1159" customFormat="false" ht="15" hidden="false" customHeight="false" outlineLevel="0" collapsed="false">
      <c r="A1159" s="5" t="s">
        <v>1336</v>
      </c>
      <c r="B1159" s="5" t="s">
        <v>72</v>
      </c>
      <c r="C1159" s="6" t="n">
        <v>12</v>
      </c>
      <c r="D1159" s="6" t="n">
        <v>6</v>
      </c>
      <c r="E1159" s="6"/>
      <c r="F1159" s="6"/>
    </row>
    <row r="1160" customFormat="false" ht="15" hidden="false" customHeight="false" outlineLevel="0" collapsed="false">
      <c r="A1160" s="5" t="s">
        <v>1337</v>
      </c>
      <c r="B1160" s="5" t="s">
        <v>72</v>
      </c>
      <c r="C1160" s="6" t="n">
        <v>12</v>
      </c>
      <c r="D1160" s="6" t="n">
        <v>0</v>
      </c>
      <c r="E1160" s="6"/>
      <c r="F1160" s="6"/>
    </row>
    <row r="1161" customFormat="false" ht="15" hidden="false" customHeight="false" outlineLevel="0" collapsed="false">
      <c r="A1161" s="5" t="s">
        <v>1338</v>
      </c>
      <c r="B1161" s="5" t="s">
        <v>1339</v>
      </c>
      <c r="C1161" s="6" t="n">
        <v>12</v>
      </c>
      <c r="D1161" s="6" t="n">
        <v>24</v>
      </c>
      <c r="E1161" s="6"/>
      <c r="F1161" s="6"/>
    </row>
    <row r="1162" customFormat="false" ht="15" hidden="false" customHeight="false" outlineLevel="0" collapsed="false">
      <c r="A1162" s="5" t="s">
        <v>1340</v>
      </c>
      <c r="B1162" s="5" t="s">
        <v>1341</v>
      </c>
      <c r="C1162" s="6" t="n">
        <v>8</v>
      </c>
      <c r="D1162" s="6" t="n">
        <v>4</v>
      </c>
      <c r="E1162" s="6"/>
      <c r="F1162" s="6"/>
    </row>
    <row r="1163" customFormat="false" ht="15" hidden="false" customHeight="false" outlineLevel="0" collapsed="false">
      <c r="A1163" s="5" t="s">
        <v>1342</v>
      </c>
      <c r="B1163" s="5" t="s">
        <v>1341</v>
      </c>
      <c r="C1163" s="6" t="n">
        <v>4</v>
      </c>
      <c r="D1163" s="6" t="n">
        <v>2</v>
      </c>
      <c r="E1163" s="6"/>
      <c r="F1163" s="6"/>
    </row>
    <row r="1164" customFormat="false" ht="15" hidden="false" customHeight="false" outlineLevel="0" collapsed="false">
      <c r="A1164" s="5" t="s">
        <v>1343</v>
      </c>
      <c r="B1164" s="5" t="s">
        <v>1344</v>
      </c>
      <c r="C1164" s="6" t="n">
        <v>4</v>
      </c>
      <c r="D1164" s="6" t="n">
        <v>12</v>
      </c>
      <c r="E1164" s="6"/>
      <c r="F1164" s="6"/>
    </row>
    <row r="1165" customFormat="false" ht="15" hidden="false" customHeight="false" outlineLevel="0" collapsed="false">
      <c r="A1165" s="5" t="s">
        <v>1345</v>
      </c>
      <c r="B1165" s="5" t="s">
        <v>1346</v>
      </c>
      <c r="C1165" s="6" t="n">
        <v>8</v>
      </c>
      <c r="D1165" s="6" t="n">
        <v>6</v>
      </c>
      <c r="E1165" s="6"/>
      <c r="F1165" s="6"/>
    </row>
    <row r="1166" customFormat="false" ht="15" hidden="false" customHeight="false" outlineLevel="0" collapsed="false">
      <c r="A1166" s="5" t="s">
        <v>1347</v>
      </c>
      <c r="B1166" s="5" t="s">
        <v>1348</v>
      </c>
      <c r="C1166" s="6" t="n">
        <v>8</v>
      </c>
      <c r="D1166" s="6" t="n">
        <v>20</v>
      </c>
      <c r="E1166" s="6"/>
      <c r="F1166" s="6"/>
    </row>
    <row r="1167" customFormat="false" ht="15" hidden="false" customHeight="false" outlineLevel="0" collapsed="false">
      <c r="A1167" s="5" t="s">
        <v>1349</v>
      </c>
      <c r="B1167" s="5" t="s">
        <v>1348</v>
      </c>
      <c r="C1167" s="6" t="n">
        <v>8</v>
      </c>
      <c r="D1167" s="6" t="n">
        <v>0</v>
      </c>
      <c r="E1167" s="6"/>
      <c r="F1167" s="6"/>
    </row>
    <row r="1168" customFormat="false" ht="15" hidden="false" customHeight="false" outlineLevel="0" collapsed="false">
      <c r="A1168" s="5" t="s">
        <v>1350</v>
      </c>
      <c r="B1168" s="5" t="s">
        <v>298</v>
      </c>
      <c r="C1168" s="6" t="n">
        <v>8</v>
      </c>
      <c r="D1168" s="6" t="n">
        <v>4</v>
      </c>
      <c r="E1168" s="6"/>
      <c r="F1168" s="6"/>
    </row>
    <row r="1169" customFormat="false" ht="15" hidden="false" customHeight="false" outlineLevel="0" collapsed="false">
      <c r="A1169" s="5" t="s">
        <v>1351</v>
      </c>
      <c r="B1169" s="5" t="s">
        <v>298</v>
      </c>
      <c r="C1169" s="6" t="n">
        <v>12</v>
      </c>
      <c r="D1169" s="6" t="n">
        <v>0</v>
      </c>
      <c r="E1169" s="6"/>
      <c r="F1169" s="6"/>
    </row>
    <row r="1170" customFormat="false" ht="15" hidden="false" customHeight="false" outlineLevel="0" collapsed="false">
      <c r="A1170" s="5" t="s">
        <v>1352</v>
      </c>
      <c r="B1170" s="5" t="s">
        <v>298</v>
      </c>
      <c r="C1170" s="6" t="n">
        <v>11.5</v>
      </c>
      <c r="D1170" s="6" t="n">
        <v>6</v>
      </c>
      <c r="E1170" s="6"/>
      <c r="F1170" s="6"/>
    </row>
    <row r="1171" customFormat="false" ht="15" hidden="false" customHeight="false" outlineLevel="0" collapsed="false">
      <c r="A1171" s="5" t="s">
        <v>1353</v>
      </c>
      <c r="B1171" s="5" t="s">
        <v>298</v>
      </c>
      <c r="C1171" s="6" t="n">
        <v>12</v>
      </c>
      <c r="D1171" s="6" t="n">
        <v>52</v>
      </c>
      <c r="E1171" s="6"/>
      <c r="F1171" s="6"/>
    </row>
    <row r="1172" customFormat="false" ht="15" hidden="false" customHeight="false" outlineLevel="0" collapsed="false">
      <c r="A1172" s="5" t="s">
        <v>1354</v>
      </c>
      <c r="B1172" s="5" t="s">
        <v>298</v>
      </c>
      <c r="C1172" s="6" t="n">
        <v>12</v>
      </c>
      <c r="D1172" s="6" t="n">
        <v>3</v>
      </c>
      <c r="E1172" s="6"/>
      <c r="F1172" s="6"/>
    </row>
    <row r="1173" customFormat="false" ht="15" hidden="false" customHeight="false" outlineLevel="0" collapsed="false">
      <c r="A1173" s="5" t="s">
        <v>1355</v>
      </c>
      <c r="B1173" s="5" t="s">
        <v>1356</v>
      </c>
      <c r="C1173" s="6" t="n">
        <v>6</v>
      </c>
      <c r="D1173" s="6" t="n">
        <v>4</v>
      </c>
      <c r="E1173" s="6"/>
      <c r="F1173" s="6"/>
    </row>
    <row r="1174" customFormat="false" ht="15" hidden="false" customHeight="false" outlineLevel="0" collapsed="false">
      <c r="A1174" s="5" t="s">
        <v>1357</v>
      </c>
      <c r="B1174" s="5" t="s">
        <v>1356</v>
      </c>
      <c r="C1174" s="6" t="n">
        <v>10</v>
      </c>
      <c r="D1174" s="6" t="n">
        <v>2</v>
      </c>
      <c r="E1174" s="6"/>
      <c r="F1174" s="6"/>
    </row>
    <row r="1175" customFormat="false" ht="15" hidden="false" customHeight="false" outlineLevel="0" collapsed="false">
      <c r="A1175" s="5" t="s">
        <v>1358</v>
      </c>
      <c r="B1175" s="5" t="s">
        <v>1356</v>
      </c>
      <c r="C1175" s="6" t="n">
        <v>8</v>
      </c>
      <c r="D1175" s="6" t="n">
        <v>2</v>
      </c>
      <c r="E1175" s="6"/>
      <c r="F1175" s="6"/>
    </row>
    <row r="1176" customFormat="false" ht="15" hidden="false" customHeight="false" outlineLevel="0" collapsed="false">
      <c r="A1176" s="5" t="s">
        <v>1359</v>
      </c>
      <c r="B1176" s="5" t="s">
        <v>1356</v>
      </c>
      <c r="C1176" s="6" t="n">
        <v>8</v>
      </c>
      <c r="D1176" s="6" t="n">
        <v>0</v>
      </c>
      <c r="E1176" s="6"/>
      <c r="F1176" s="6"/>
    </row>
    <row r="1177" customFormat="false" ht="15" hidden="false" customHeight="false" outlineLevel="0" collapsed="false">
      <c r="A1177" s="5" t="s">
        <v>1360</v>
      </c>
      <c r="B1177" s="5" t="s">
        <v>1356</v>
      </c>
      <c r="C1177" s="6" t="n">
        <v>6</v>
      </c>
      <c r="D1177" s="6" t="n">
        <v>6</v>
      </c>
      <c r="E1177" s="6"/>
      <c r="F1177" s="6"/>
    </row>
    <row r="1178" customFormat="false" ht="15" hidden="false" customHeight="false" outlineLevel="0" collapsed="false">
      <c r="A1178" s="5" t="s">
        <v>1361</v>
      </c>
      <c r="B1178" s="5" t="s">
        <v>1356</v>
      </c>
      <c r="C1178" s="6" t="n">
        <v>3.5</v>
      </c>
      <c r="D1178" s="6" t="n">
        <v>5.5</v>
      </c>
      <c r="E1178" s="6"/>
      <c r="F1178" s="6"/>
    </row>
    <row r="1179" customFormat="false" ht="15" hidden="false" customHeight="false" outlineLevel="0" collapsed="false">
      <c r="A1179" s="5" t="s">
        <v>1362</v>
      </c>
      <c r="B1179" s="5" t="s">
        <v>1363</v>
      </c>
      <c r="C1179" s="6" t="n">
        <v>12</v>
      </c>
      <c r="D1179" s="6" t="n">
        <v>0</v>
      </c>
      <c r="E1179" s="6"/>
      <c r="F1179" s="6"/>
    </row>
    <row r="1180" customFormat="false" ht="15" hidden="false" customHeight="false" outlineLevel="0" collapsed="false">
      <c r="A1180" s="5" t="s">
        <v>1364</v>
      </c>
      <c r="B1180" s="5" t="s">
        <v>1363</v>
      </c>
      <c r="C1180" s="6" t="n">
        <v>2</v>
      </c>
      <c r="D1180" s="6" t="n">
        <v>20</v>
      </c>
      <c r="E1180" s="6"/>
      <c r="F1180" s="6"/>
    </row>
    <row r="1181" customFormat="false" ht="15" hidden="false" customHeight="false" outlineLevel="0" collapsed="false">
      <c r="A1181" s="5" t="s">
        <v>1365</v>
      </c>
      <c r="B1181" s="5" t="s">
        <v>1363</v>
      </c>
      <c r="C1181" s="6" t="n">
        <v>18</v>
      </c>
      <c r="D1181" s="6" t="n">
        <v>52</v>
      </c>
      <c r="E1181" s="6"/>
      <c r="F1181" s="6"/>
    </row>
    <row r="1182" customFormat="false" ht="15" hidden="false" customHeight="false" outlineLevel="0" collapsed="false">
      <c r="A1182" s="5" t="s">
        <v>1366</v>
      </c>
      <c r="B1182" s="5" t="s">
        <v>300</v>
      </c>
      <c r="C1182" s="6" t="n">
        <v>6</v>
      </c>
      <c r="D1182" s="6" t="n">
        <v>6</v>
      </c>
      <c r="E1182" s="6"/>
      <c r="F1182" s="6"/>
    </row>
    <row r="1183" customFormat="false" ht="15" hidden="false" customHeight="false" outlineLevel="0" collapsed="false">
      <c r="A1183" s="5" t="s">
        <v>1367</v>
      </c>
      <c r="B1183" s="5" t="s">
        <v>300</v>
      </c>
      <c r="C1183" s="6" t="n">
        <v>2</v>
      </c>
      <c r="D1183" s="6" t="n">
        <v>6</v>
      </c>
      <c r="E1183" s="6"/>
      <c r="F1183" s="6"/>
    </row>
    <row r="1184" customFormat="false" ht="15" hidden="false" customHeight="false" outlineLevel="0" collapsed="false">
      <c r="A1184" s="5" t="s">
        <v>1368</v>
      </c>
      <c r="B1184" s="5" t="s">
        <v>300</v>
      </c>
      <c r="C1184" s="6" t="n">
        <v>4.5</v>
      </c>
      <c r="D1184" s="6" t="n">
        <v>3</v>
      </c>
      <c r="E1184" s="6"/>
      <c r="F1184" s="6"/>
    </row>
    <row r="1185" customFormat="false" ht="15" hidden="false" customHeight="false" outlineLevel="0" collapsed="false">
      <c r="A1185" s="5" t="s">
        <v>1369</v>
      </c>
      <c r="B1185" s="5" t="s">
        <v>300</v>
      </c>
      <c r="C1185" s="6" t="n">
        <v>26</v>
      </c>
      <c r="D1185" s="6" t="n">
        <v>8</v>
      </c>
      <c r="E1185" s="6"/>
      <c r="F1185" s="6"/>
    </row>
    <row r="1186" customFormat="false" ht="15" hidden="false" customHeight="false" outlineLevel="0" collapsed="false">
      <c r="A1186" s="5" t="s">
        <v>1370</v>
      </c>
      <c r="B1186" s="5" t="s">
        <v>1371</v>
      </c>
      <c r="C1186" s="6" t="n">
        <v>8</v>
      </c>
      <c r="D1186" s="6" t="n">
        <v>4</v>
      </c>
      <c r="E1186" s="6"/>
      <c r="F1186" s="6"/>
    </row>
    <row r="1187" customFormat="false" ht="15" hidden="false" customHeight="false" outlineLevel="0" collapsed="false">
      <c r="A1187" s="5" t="s">
        <v>1372</v>
      </c>
      <c r="B1187" s="5" t="s">
        <v>1371</v>
      </c>
      <c r="C1187" s="6" t="n">
        <v>11</v>
      </c>
      <c r="D1187" s="6" t="n">
        <v>0</v>
      </c>
      <c r="E1187" s="6"/>
      <c r="F1187" s="6"/>
    </row>
    <row r="1188" customFormat="false" ht="15" hidden="false" customHeight="false" outlineLevel="0" collapsed="false">
      <c r="A1188" s="5" t="s">
        <v>1373</v>
      </c>
      <c r="B1188" s="5" t="s">
        <v>1371</v>
      </c>
      <c r="C1188" s="6" t="n">
        <v>2</v>
      </c>
      <c r="D1188" s="6" t="n">
        <v>52</v>
      </c>
      <c r="E1188" s="6"/>
      <c r="F1188" s="6"/>
    </row>
    <row r="1189" customFormat="false" ht="15" hidden="false" customHeight="false" outlineLevel="0" collapsed="false">
      <c r="A1189" s="5" t="s">
        <v>1374</v>
      </c>
      <c r="B1189" s="5" t="s">
        <v>1371</v>
      </c>
      <c r="C1189" s="6" t="n">
        <v>8</v>
      </c>
      <c r="D1189" s="6" t="n">
        <v>4</v>
      </c>
      <c r="E1189" s="6"/>
      <c r="F1189" s="6"/>
    </row>
    <row r="1190" customFormat="false" ht="15" hidden="false" customHeight="false" outlineLevel="0" collapsed="false">
      <c r="A1190" s="5" t="s">
        <v>1375</v>
      </c>
      <c r="B1190" s="5" t="s">
        <v>1371</v>
      </c>
      <c r="C1190" s="6" t="n">
        <v>27</v>
      </c>
      <c r="D1190" s="6" t="n">
        <v>18</v>
      </c>
      <c r="E1190" s="6"/>
      <c r="F1190" s="6"/>
    </row>
    <row r="1191" customFormat="false" ht="15" hidden="false" customHeight="false" outlineLevel="0" collapsed="false">
      <c r="A1191" s="5" t="s">
        <v>1376</v>
      </c>
      <c r="B1191" s="5" t="s">
        <v>1377</v>
      </c>
      <c r="C1191" s="6" t="n">
        <v>9</v>
      </c>
      <c r="D1191" s="6" t="n">
        <v>3</v>
      </c>
      <c r="E1191" s="6"/>
      <c r="F1191" s="6"/>
    </row>
    <row r="1192" customFormat="false" ht="15" hidden="false" customHeight="false" outlineLevel="0" collapsed="false">
      <c r="A1192" s="5" t="s">
        <v>1378</v>
      </c>
      <c r="B1192" s="5" t="s">
        <v>1379</v>
      </c>
      <c r="C1192" s="6" t="n">
        <v>6</v>
      </c>
      <c r="D1192" s="6" t="n">
        <v>6</v>
      </c>
      <c r="E1192" s="6"/>
      <c r="F1192" s="6"/>
    </row>
    <row r="1193" customFormat="false" ht="15" hidden="false" customHeight="false" outlineLevel="0" collapsed="false">
      <c r="A1193" s="5" t="s">
        <v>1380</v>
      </c>
      <c r="B1193" s="5" t="s">
        <v>1381</v>
      </c>
      <c r="C1193" s="6" t="n">
        <v>3</v>
      </c>
      <c r="D1193" s="6" t="n">
        <v>8</v>
      </c>
      <c r="E1193" s="6"/>
      <c r="F1193" s="6"/>
    </row>
    <row r="1194" customFormat="false" ht="15" hidden="false" customHeight="false" outlineLevel="0" collapsed="false">
      <c r="A1194" s="5" t="s">
        <v>1382</v>
      </c>
      <c r="B1194" s="5" t="s">
        <v>1381</v>
      </c>
      <c r="C1194" s="6" t="n">
        <v>4</v>
      </c>
      <c r="D1194" s="6"/>
      <c r="E1194" s="6" t="n">
        <v>4</v>
      </c>
      <c r="F1194" s="6"/>
    </row>
    <row r="1195" customFormat="false" ht="15" hidden="false" customHeight="false" outlineLevel="0" collapsed="false">
      <c r="A1195" s="5" t="s">
        <v>1383</v>
      </c>
      <c r="B1195" s="5" t="s">
        <v>1381</v>
      </c>
      <c r="C1195" s="6" t="n">
        <v>12</v>
      </c>
      <c r="D1195" s="6" t="n">
        <v>4</v>
      </c>
      <c r="E1195" s="6"/>
      <c r="F1195" s="6"/>
    </row>
    <row r="1196" customFormat="false" ht="15" hidden="false" customHeight="false" outlineLevel="0" collapsed="false">
      <c r="A1196" s="5" t="s">
        <v>1384</v>
      </c>
      <c r="B1196" s="5" t="s">
        <v>1385</v>
      </c>
      <c r="C1196" s="6" t="n">
        <v>6</v>
      </c>
      <c r="D1196" s="6" t="n">
        <v>1</v>
      </c>
      <c r="E1196" s="6"/>
      <c r="F1196" s="6"/>
    </row>
    <row r="1197" customFormat="false" ht="15" hidden="false" customHeight="false" outlineLevel="0" collapsed="false">
      <c r="A1197" s="5" t="s">
        <v>1386</v>
      </c>
      <c r="B1197" s="5" t="s">
        <v>1385</v>
      </c>
      <c r="C1197" s="6" t="n">
        <v>3</v>
      </c>
      <c r="D1197" s="6" t="n">
        <v>12</v>
      </c>
      <c r="E1197" s="6"/>
      <c r="F1197" s="6"/>
    </row>
    <row r="1198" customFormat="false" ht="15" hidden="false" customHeight="false" outlineLevel="0" collapsed="false">
      <c r="A1198" s="5" t="s">
        <v>1387</v>
      </c>
      <c r="B1198" s="5" t="s">
        <v>1385</v>
      </c>
      <c r="C1198" s="6" t="n">
        <v>7</v>
      </c>
      <c r="D1198" s="6" t="n">
        <v>2</v>
      </c>
      <c r="E1198" s="6"/>
      <c r="F1198" s="6"/>
    </row>
    <row r="1199" customFormat="false" ht="15" hidden="false" customHeight="false" outlineLevel="0" collapsed="false">
      <c r="A1199" s="5" t="s">
        <v>1388</v>
      </c>
      <c r="B1199" s="5" t="s">
        <v>1385</v>
      </c>
      <c r="C1199" s="6" t="n">
        <v>9</v>
      </c>
      <c r="D1199" s="6" t="n">
        <v>0</v>
      </c>
      <c r="E1199" s="6"/>
      <c r="F1199" s="6"/>
    </row>
    <row r="1200" customFormat="false" ht="15" hidden="false" customHeight="false" outlineLevel="0" collapsed="false">
      <c r="A1200" s="5" t="s">
        <v>1389</v>
      </c>
      <c r="B1200" s="5" t="s">
        <v>1385</v>
      </c>
      <c r="C1200" s="6" t="n">
        <v>10</v>
      </c>
      <c r="D1200" s="6" t="n">
        <v>2</v>
      </c>
      <c r="E1200" s="6"/>
      <c r="F1200" s="6"/>
    </row>
    <row r="1201" customFormat="false" ht="15" hidden="false" customHeight="false" outlineLevel="0" collapsed="false">
      <c r="A1201" s="5" t="s">
        <v>1390</v>
      </c>
      <c r="B1201" s="5" t="s">
        <v>74</v>
      </c>
      <c r="C1201" s="6" t="n">
        <v>6</v>
      </c>
      <c r="D1201" s="6" t="n">
        <v>6</v>
      </c>
      <c r="E1201" s="6"/>
      <c r="F1201" s="6"/>
    </row>
    <row r="1202" customFormat="false" ht="15" hidden="false" customHeight="false" outlineLevel="0" collapsed="false">
      <c r="A1202" s="5" t="s">
        <v>1391</v>
      </c>
      <c r="B1202" s="5" t="s">
        <v>74</v>
      </c>
      <c r="C1202" s="6" t="n">
        <v>15</v>
      </c>
      <c r="D1202" s="6" t="n">
        <v>0</v>
      </c>
      <c r="E1202" s="6"/>
      <c r="F1202" s="6"/>
    </row>
    <row r="1203" customFormat="false" ht="15" hidden="false" customHeight="false" outlineLevel="0" collapsed="false">
      <c r="A1203" s="5" t="s">
        <v>1392</v>
      </c>
      <c r="B1203" s="5" t="s">
        <v>74</v>
      </c>
      <c r="C1203" s="6" t="n">
        <v>8</v>
      </c>
      <c r="D1203" s="6" t="n">
        <v>4</v>
      </c>
      <c r="E1203" s="6"/>
      <c r="F1203" s="6"/>
    </row>
    <row r="1204" customFormat="false" ht="15" hidden="false" customHeight="false" outlineLevel="0" collapsed="false">
      <c r="A1204" s="5" t="s">
        <v>1393</v>
      </c>
      <c r="B1204" s="5" t="s">
        <v>74</v>
      </c>
      <c r="C1204" s="6" t="n">
        <v>9</v>
      </c>
      <c r="D1204" s="6" t="n">
        <v>4</v>
      </c>
      <c r="E1204" s="6"/>
      <c r="F1204" s="6"/>
    </row>
    <row r="1205" customFormat="false" ht="15" hidden="false" customHeight="false" outlineLevel="0" collapsed="false">
      <c r="A1205" s="5" t="s">
        <v>1394</v>
      </c>
      <c r="B1205" s="5" t="s">
        <v>74</v>
      </c>
      <c r="C1205" s="6" t="n">
        <v>11</v>
      </c>
      <c r="D1205" s="6" t="n">
        <v>0</v>
      </c>
      <c r="E1205" s="6"/>
      <c r="F1205" s="6"/>
    </row>
    <row r="1206" customFormat="false" ht="15" hidden="false" customHeight="false" outlineLevel="0" collapsed="false">
      <c r="A1206" s="5" t="s">
        <v>1395</v>
      </c>
      <c r="B1206" s="5" t="s">
        <v>74</v>
      </c>
      <c r="C1206" s="6" t="n">
        <v>6</v>
      </c>
      <c r="D1206" s="6" t="n">
        <v>16</v>
      </c>
      <c r="E1206" s="6"/>
      <c r="F1206" s="6"/>
    </row>
    <row r="1207" customFormat="false" ht="15" hidden="false" customHeight="false" outlineLevel="0" collapsed="false">
      <c r="A1207" s="5" t="s">
        <v>1396</v>
      </c>
      <c r="B1207" s="5" t="s">
        <v>74</v>
      </c>
      <c r="C1207" s="6" t="n">
        <v>6</v>
      </c>
      <c r="D1207" s="6" t="n">
        <v>0</v>
      </c>
      <c r="E1207" s="6"/>
      <c r="F1207" s="6"/>
    </row>
    <row r="1208" customFormat="false" ht="15" hidden="false" customHeight="false" outlineLevel="0" collapsed="false">
      <c r="A1208" s="5" t="s">
        <v>1397</v>
      </c>
      <c r="B1208" s="5" t="s">
        <v>74</v>
      </c>
      <c r="C1208" s="6" t="n">
        <v>6</v>
      </c>
      <c r="D1208" s="6" t="n">
        <v>9</v>
      </c>
      <c r="E1208" s="6"/>
      <c r="F1208" s="6"/>
    </row>
    <row r="1209" customFormat="false" ht="15" hidden="false" customHeight="false" outlineLevel="0" collapsed="false">
      <c r="A1209" s="5" t="s">
        <v>1398</v>
      </c>
      <c r="B1209" s="5" t="s">
        <v>74</v>
      </c>
      <c r="C1209" s="6" t="n">
        <v>6</v>
      </c>
      <c r="D1209" s="6" t="n">
        <v>24</v>
      </c>
      <c r="E1209" s="6"/>
      <c r="F1209" s="6"/>
    </row>
    <row r="1210" customFormat="false" ht="15" hidden="false" customHeight="false" outlineLevel="0" collapsed="false">
      <c r="A1210" s="5" t="s">
        <v>1399</v>
      </c>
      <c r="B1210" s="5" t="s">
        <v>74</v>
      </c>
      <c r="C1210" s="6" t="n">
        <v>6</v>
      </c>
      <c r="D1210" s="6" t="n">
        <v>12</v>
      </c>
      <c r="E1210" s="6"/>
      <c r="F1210" s="6"/>
    </row>
    <row r="1211" customFormat="false" ht="15" hidden="false" customHeight="false" outlineLevel="0" collapsed="false">
      <c r="A1211" s="5" t="s">
        <v>1400</v>
      </c>
      <c r="B1211" s="5" t="s">
        <v>74</v>
      </c>
      <c r="C1211" s="6" t="n">
        <v>4.5</v>
      </c>
      <c r="D1211" s="6" t="n">
        <v>4</v>
      </c>
      <c r="E1211" s="6"/>
      <c r="F1211" s="6"/>
    </row>
    <row r="1212" customFormat="false" ht="15" hidden="false" customHeight="false" outlineLevel="0" collapsed="false">
      <c r="A1212" s="5" t="s">
        <v>1401</v>
      </c>
      <c r="B1212" s="5" t="s">
        <v>74</v>
      </c>
      <c r="C1212" s="6" t="n">
        <v>6</v>
      </c>
      <c r="D1212" s="6" t="n">
        <v>6</v>
      </c>
      <c r="E1212" s="6"/>
      <c r="F1212" s="6"/>
    </row>
    <row r="1213" customFormat="false" ht="15" hidden="false" customHeight="false" outlineLevel="0" collapsed="false">
      <c r="A1213" s="5" t="s">
        <v>1402</v>
      </c>
      <c r="B1213" s="5" t="s">
        <v>74</v>
      </c>
      <c r="C1213" s="6" t="n">
        <v>8</v>
      </c>
      <c r="D1213" s="6" t="n">
        <v>4</v>
      </c>
      <c r="E1213" s="6"/>
      <c r="F1213" s="6"/>
    </row>
    <row r="1214" customFormat="false" ht="15" hidden="false" customHeight="false" outlineLevel="0" collapsed="false">
      <c r="A1214" s="5" t="s">
        <v>1403</v>
      </c>
      <c r="B1214" s="5" t="s">
        <v>74</v>
      </c>
      <c r="C1214" s="6" t="n">
        <v>12</v>
      </c>
      <c r="D1214" s="6" t="n">
        <v>21</v>
      </c>
      <c r="E1214" s="6"/>
      <c r="F1214" s="6"/>
    </row>
    <row r="1215" customFormat="false" ht="15" hidden="false" customHeight="false" outlineLevel="0" collapsed="false">
      <c r="A1215" s="5" t="s">
        <v>1404</v>
      </c>
      <c r="B1215" s="5" t="s">
        <v>74</v>
      </c>
      <c r="C1215" s="6" t="n">
        <v>24</v>
      </c>
      <c r="D1215" s="6" t="n">
        <v>0</v>
      </c>
      <c r="E1215" s="6"/>
      <c r="F1215" s="6"/>
    </row>
    <row r="1216" customFormat="false" ht="15" hidden="false" customHeight="false" outlineLevel="0" collapsed="false">
      <c r="A1216" s="5" t="s">
        <v>1405</v>
      </c>
      <c r="B1216" s="5" t="s">
        <v>74</v>
      </c>
      <c r="C1216" s="6" t="n">
        <v>20</v>
      </c>
      <c r="D1216" s="6" t="n">
        <v>4</v>
      </c>
      <c r="E1216" s="6"/>
      <c r="F1216" s="6"/>
    </row>
    <row r="1217" customFormat="false" ht="15" hidden="false" customHeight="false" outlineLevel="0" collapsed="false">
      <c r="A1217" s="5" t="s">
        <v>1406</v>
      </c>
      <c r="B1217" s="5" t="s">
        <v>74</v>
      </c>
      <c r="C1217" s="6" t="n">
        <v>6</v>
      </c>
      <c r="D1217" s="6" t="n">
        <v>4</v>
      </c>
      <c r="E1217" s="6"/>
      <c r="F1217" s="6"/>
    </row>
    <row r="1218" customFormat="false" ht="15" hidden="false" customHeight="false" outlineLevel="0" collapsed="false">
      <c r="A1218" s="5" t="s">
        <v>1407</v>
      </c>
      <c r="B1218" s="5" t="s">
        <v>74</v>
      </c>
      <c r="C1218" s="6" t="n">
        <v>8</v>
      </c>
      <c r="D1218" s="6" t="n">
        <v>8</v>
      </c>
      <c r="E1218" s="6"/>
      <c r="F1218" s="6"/>
    </row>
    <row r="1219" customFormat="false" ht="15" hidden="false" customHeight="false" outlineLevel="0" collapsed="false">
      <c r="A1219" s="5" t="s">
        <v>1408</v>
      </c>
      <c r="B1219" s="5" t="s">
        <v>74</v>
      </c>
      <c r="C1219" s="6" t="n">
        <v>16</v>
      </c>
      <c r="D1219" s="6" t="n">
        <v>6</v>
      </c>
      <c r="E1219" s="6"/>
      <c r="F1219" s="6"/>
    </row>
    <row r="1220" customFormat="false" ht="15" hidden="false" customHeight="false" outlineLevel="0" collapsed="false">
      <c r="A1220" s="5" t="s">
        <v>1409</v>
      </c>
      <c r="B1220" s="5" t="s">
        <v>74</v>
      </c>
      <c r="C1220" s="6" t="n">
        <v>12</v>
      </c>
      <c r="D1220" s="6" t="n">
        <v>0</v>
      </c>
      <c r="E1220" s="6"/>
      <c r="F1220" s="6"/>
    </row>
    <row r="1221" customFormat="false" ht="15" hidden="false" customHeight="false" outlineLevel="0" collapsed="false">
      <c r="A1221" s="5" t="s">
        <v>1410</v>
      </c>
      <c r="B1221" s="5" t="s">
        <v>74</v>
      </c>
      <c r="C1221" s="6" t="n">
        <v>0</v>
      </c>
      <c r="D1221" s="6" t="n">
        <v>0</v>
      </c>
      <c r="E1221" s="6"/>
      <c r="F1221" s="6"/>
    </row>
    <row r="1222" customFormat="false" ht="15" hidden="false" customHeight="false" outlineLevel="0" collapsed="false">
      <c r="A1222" s="5" t="s">
        <v>1411</v>
      </c>
      <c r="B1222" s="5" t="s">
        <v>1412</v>
      </c>
      <c r="C1222" s="6" t="n">
        <v>12</v>
      </c>
      <c r="D1222" s="6" t="n">
        <v>0</v>
      </c>
      <c r="E1222" s="6"/>
      <c r="F1222" s="6"/>
    </row>
    <row r="1223" customFormat="false" ht="15" hidden="false" customHeight="false" outlineLevel="0" collapsed="false">
      <c r="A1223" s="5" t="s">
        <v>1413</v>
      </c>
      <c r="B1223" s="5" t="s">
        <v>1412</v>
      </c>
      <c r="C1223" s="6" t="n">
        <v>6</v>
      </c>
      <c r="D1223" s="6" t="n">
        <v>8</v>
      </c>
      <c r="E1223" s="6"/>
      <c r="F1223" s="6"/>
    </row>
    <row r="1224" customFormat="false" ht="15" hidden="false" customHeight="false" outlineLevel="0" collapsed="false">
      <c r="A1224" s="5" t="s">
        <v>1414</v>
      </c>
      <c r="B1224" s="5" t="s">
        <v>306</v>
      </c>
      <c r="C1224" s="6" t="n">
        <v>6</v>
      </c>
      <c r="D1224" s="6" t="n">
        <v>6</v>
      </c>
      <c r="E1224" s="6"/>
      <c r="F1224" s="6"/>
    </row>
    <row r="1225" customFormat="false" ht="15" hidden="false" customHeight="false" outlineLevel="0" collapsed="false">
      <c r="A1225" s="5" t="s">
        <v>1415</v>
      </c>
      <c r="B1225" s="5" t="s">
        <v>306</v>
      </c>
      <c r="C1225" s="6" t="n">
        <v>9</v>
      </c>
      <c r="D1225" s="6" t="n">
        <v>0</v>
      </c>
      <c r="E1225" s="6"/>
      <c r="F1225" s="6"/>
    </row>
    <row r="1226" customFormat="false" ht="15" hidden="false" customHeight="false" outlineLevel="0" collapsed="false">
      <c r="A1226" s="5" t="s">
        <v>1416</v>
      </c>
      <c r="B1226" s="5" t="s">
        <v>306</v>
      </c>
      <c r="C1226" s="6" t="n">
        <v>8</v>
      </c>
      <c r="D1226" s="6" t="n">
        <v>4</v>
      </c>
      <c r="E1226" s="6"/>
      <c r="F1226" s="6"/>
    </row>
    <row r="1227" customFormat="false" ht="15" hidden="false" customHeight="false" outlineLevel="0" collapsed="false">
      <c r="A1227" s="5" t="s">
        <v>1417</v>
      </c>
      <c r="B1227" s="5" t="s">
        <v>306</v>
      </c>
      <c r="C1227" s="6" t="n">
        <v>15</v>
      </c>
      <c r="D1227" s="6" t="n">
        <v>15</v>
      </c>
      <c r="E1227" s="6"/>
      <c r="F1227" s="6"/>
    </row>
    <row r="1228" customFormat="false" ht="15" hidden="false" customHeight="false" outlineLevel="0" collapsed="false">
      <c r="A1228" s="5" t="s">
        <v>1418</v>
      </c>
      <c r="B1228" s="5" t="s">
        <v>1419</v>
      </c>
      <c r="C1228" s="6" t="n">
        <v>6</v>
      </c>
      <c r="D1228" s="6" t="n">
        <v>6</v>
      </c>
      <c r="E1228" s="6"/>
      <c r="F1228" s="6"/>
    </row>
    <row r="1229" customFormat="false" ht="15" hidden="false" customHeight="false" outlineLevel="0" collapsed="false">
      <c r="A1229" s="5" t="s">
        <v>1420</v>
      </c>
      <c r="B1229" s="5" t="s">
        <v>1421</v>
      </c>
      <c r="C1229" s="6" t="n">
        <v>30</v>
      </c>
      <c r="D1229" s="6" t="n">
        <v>5</v>
      </c>
      <c r="E1229" s="6"/>
      <c r="F1229" s="6"/>
    </row>
    <row r="1230" customFormat="false" ht="15" hidden="false" customHeight="false" outlineLevel="0" collapsed="false">
      <c r="A1230" s="5" t="s">
        <v>1422</v>
      </c>
      <c r="B1230" s="5" t="s">
        <v>1421</v>
      </c>
      <c r="C1230" s="6" t="n">
        <v>25</v>
      </c>
      <c r="D1230" s="6" t="n">
        <v>5</v>
      </c>
      <c r="E1230" s="6"/>
      <c r="F1230" s="6"/>
    </row>
    <row r="1231" customFormat="false" ht="15" hidden="false" customHeight="false" outlineLevel="0" collapsed="false">
      <c r="A1231" s="5" t="s">
        <v>1423</v>
      </c>
      <c r="B1231" s="5" t="s">
        <v>1421</v>
      </c>
      <c r="C1231" s="6" t="n">
        <v>0</v>
      </c>
      <c r="D1231" s="6" t="n">
        <v>4</v>
      </c>
      <c r="E1231" s="6"/>
      <c r="F1231" s="6"/>
    </row>
    <row r="1232" customFormat="false" ht="15" hidden="false" customHeight="false" outlineLevel="0" collapsed="false">
      <c r="A1232" s="5" t="s">
        <v>1424</v>
      </c>
      <c r="B1232" s="5" t="s">
        <v>1421</v>
      </c>
      <c r="C1232" s="6" t="n">
        <v>16</v>
      </c>
      <c r="D1232" s="6" t="n">
        <v>0</v>
      </c>
      <c r="E1232" s="6"/>
      <c r="F1232" s="6"/>
    </row>
    <row r="1233" customFormat="false" ht="15" hidden="false" customHeight="false" outlineLevel="0" collapsed="false">
      <c r="A1233" s="5" t="s">
        <v>1425</v>
      </c>
      <c r="B1233" s="5" t="s">
        <v>1421</v>
      </c>
      <c r="C1233" s="6" t="n">
        <v>10</v>
      </c>
      <c r="D1233" s="6" t="n">
        <v>0</v>
      </c>
      <c r="E1233" s="6"/>
      <c r="F1233" s="6"/>
    </row>
    <row r="1234" customFormat="false" ht="15" hidden="false" customHeight="false" outlineLevel="0" collapsed="false">
      <c r="A1234" s="5" t="s">
        <v>1426</v>
      </c>
      <c r="B1234" s="5" t="s">
        <v>1421</v>
      </c>
      <c r="C1234" s="6" t="n">
        <v>13</v>
      </c>
      <c r="D1234" s="6" t="n">
        <v>6.5</v>
      </c>
      <c r="E1234" s="6"/>
      <c r="F1234" s="6"/>
    </row>
    <row r="1235" customFormat="false" ht="15" hidden="false" customHeight="false" outlineLevel="0" collapsed="false">
      <c r="A1235" s="5" t="s">
        <v>1427</v>
      </c>
      <c r="B1235" s="5" t="s">
        <v>1421</v>
      </c>
      <c r="C1235" s="6" t="n">
        <v>4</v>
      </c>
      <c r="D1235" s="6" t="n">
        <v>6</v>
      </c>
      <c r="E1235" s="6"/>
      <c r="F1235" s="6"/>
    </row>
    <row r="1236" customFormat="false" ht="15" hidden="false" customHeight="false" outlineLevel="0" collapsed="false">
      <c r="A1236" s="5" t="s">
        <v>1428</v>
      </c>
      <c r="B1236" s="5" t="s">
        <v>1429</v>
      </c>
      <c r="C1236" s="6" t="n">
        <v>8</v>
      </c>
      <c r="D1236" s="6" t="n">
        <v>4</v>
      </c>
      <c r="E1236" s="6"/>
      <c r="F1236" s="6"/>
    </row>
    <row r="1237" customFormat="false" ht="15" hidden="false" customHeight="false" outlineLevel="0" collapsed="false">
      <c r="A1237" s="5" t="s">
        <v>1430</v>
      </c>
      <c r="B1237" s="5" t="s">
        <v>1431</v>
      </c>
      <c r="C1237" s="6" t="n">
        <v>0</v>
      </c>
      <c r="D1237" s="6" t="n">
        <v>12</v>
      </c>
      <c r="E1237" s="6"/>
      <c r="F1237" s="6"/>
    </row>
    <row r="1238" customFormat="false" ht="15" hidden="false" customHeight="false" outlineLevel="0" collapsed="false">
      <c r="A1238" s="5" t="s">
        <v>1432</v>
      </c>
      <c r="B1238" s="5" t="s">
        <v>1431</v>
      </c>
      <c r="C1238" s="6" t="n">
        <v>8</v>
      </c>
      <c r="D1238" s="6" t="n">
        <v>0</v>
      </c>
      <c r="E1238" s="6"/>
      <c r="F1238" s="6"/>
    </row>
    <row r="1239" customFormat="false" ht="15" hidden="false" customHeight="false" outlineLevel="0" collapsed="false">
      <c r="A1239" s="5" t="s">
        <v>1433</v>
      </c>
      <c r="B1239" s="5" t="s">
        <v>1431</v>
      </c>
      <c r="C1239" s="6" t="n">
        <v>6</v>
      </c>
      <c r="D1239" s="6" t="n">
        <v>12</v>
      </c>
      <c r="E1239" s="6"/>
      <c r="F1239" s="6"/>
    </row>
    <row r="1240" customFormat="false" ht="15" hidden="false" customHeight="false" outlineLevel="0" collapsed="false">
      <c r="A1240" s="5" t="s">
        <v>1434</v>
      </c>
      <c r="B1240" s="5" t="s">
        <v>1431</v>
      </c>
      <c r="C1240" s="6" t="n">
        <v>12</v>
      </c>
      <c r="D1240" s="6" t="n">
        <v>12</v>
      </c>
      <c r="E1240" s="6"/>
      <c r="F1240" s="6"/>
    </row>
    <row r="1241" customFormat="false" ht="15" hidden="false" customHeight="false" outlineLevel="0" collapsed="false">
      <c r="A1241" s="5" t="s">
        <v>1435</v>
      </c>
      <c r="B1241" s="5" t="s">
        <v>1436</v>
      </c>
      <c r="C1241" s="6" t="n">
        <v>12</v>
      </c>
      <c r="D1241" s="6" t="n">
        <v>12</v>
      </c>
      <c r="E1241" s="6"/>
      <c r="F1241" s="6"/>
    </row>
    <row r="1242" customFormat="false" ht="15" hidden="false" customHeight="false" outlineLevel="0" collapsed="false">
      <c r="A1242" s="5" t="s">
        <v>1437</v>
      </c>
      <c r="B1242" s="5" t="s">
        <v>1436</v>
      </c>
      <c r="C1242" s="6" t="n">
        <v>12</v>
      </c>
      <c r="D1242" s="6" t="n">
        <v>0</v>
      </c>
      <c r="E1242" s="6"/>
      <c r="F1242" s="6"/>
    </row>
    <row r="1243" customFormat="false" ht="15" hidden="false" customHeight="false" outlineLevel="0" collapsed="false">
      <c r="A1243" s="5" t="s">
        <v>1438</v>
      </c>
      <c r="B1243" s="5" t="s">
        <v>1439</v>
      </c>
      <c r="C1243" s="6" t="n">
        <v>16</v>
      </c>
      <c r="D1243" s="6" t="n">
        <v>0</v>
      </c>
      <c r="E1243" s="6"/>
      <c r="F1243" s="6"/>
    </row>
    <row r="1244" customFormat="false" ht="15" hidden="false" customHeight="false" outlineLevel="0" collapsed="false">
      <c r="A1244" s="5" t="s">
        <v>1440</v>
      </c>
      <c r="B1244" s="5" t="s">
        <v>1439</v>
      </c>
      <c r="C1244" s="6" t="n">
        <v>1</v>
      </c>
      <c r="D1244" s="6" t="n">
        <v>0</v>
      </c>
      <c r="E1244" s="6"/>
      <c r="F1244" s="6"/>
    </row>
    <row r="1245" customFormat="false" ht="15" hidden="false" customHeight="false" outlineLevel="0" collapsed="false">
      <c r="A1245" s="5" t="s">
        <v>1441</v>
      </c>
      <c r="B1245" s="5" t="s">
        <v>1442</v>
      </c>
      <c r="C1245" s="6" t="n">
        <v>18</v>
      </c>
      <c r="D1245" s="6" t="n">
        <v>2</v>
      </c>
      <c r="E1245" s="6"/>
      <c r="F1245" s="6"/>
    </row>
    <row r="1246" customFormat="false" ht="15" hidden="false" customHeight="false" outlineLevel="0" collapsed="false">
      <c r="A1246" s="5" t="s">
        <v>1443</v>
      </c>
      <c r="B1246" s="5" t="s">
        <v>76</v>
      </c>
      <c r="C1246" s="6" t="n">
        <v>11</v>
      </c>
      <c r="D1246" s="6" t="n">
        <v>6</v>
      </c>
      <c r="E1246" s="6"/>
      <c r="F1246" s="6"/>
    </row>
    <row r="1247" customFormat="false" ht="15" hidden="false" customHeight="false" outlineLevel="0" collapsed="false">
      <c r="A1247" s="5" t="s">
        <v>1444</v>
      </c>
      <c r="B1247" s="5" t="s">
        <v>76</v>
      </c>
      <c r="C1247" s="6" t="n">
        <v>12</v>
      </c>
      <c r="D1247" s="6" t="n">
        <v>5.5</v>
      </c>
      <c r="E1247" s="6"/>
      <c r="F1247" s="6"/>
    </row>
    <row r="1248" customFormat="false" ht="15" hidden="false" customHeight="false" outlineLevel="0" collapsed="false">
      <c r="A1248" s="5" t="s">
        <v>1445</v>
      </c>
      <c r="B1248" s="5" t="s">
        <v>76</v>
      </c>
      <c r="C1248" s="6" t="n">
        <v>8</v>
      </c>
      <c r="D1248" s="6" t="n">
        <v>0</v>
      </c>
      <c r="E1248" s="6"/>
      <c r="F1248" s="6"/>
    </row>
    <row r="1249" customFormat="false" ht="15" hidden="false" customHeight="false" outlineLevel="0" collapsed="false">
      <c r="A1249" s="5" t="s">
        <v>1446</v>
      </c>
      <c r="B1249" s="5" t="s">
        <v>76</v>
      </c>
      <c r="C1249" s="6" t="n">
        <v>14</v>
      </c>
      <c r="D1249" s="6" t="n">
        <v>26</v>
      </c>
      <c r="E1249" s="6"/>
      <c r="F1249" s="6"/>
    </row>
    <row r="1250" customFormat="false" ht="15" hidden="false" customHeight="false" outlineLevel="0" collapsed="false">
      <c r="A1250" s="5" t="s">
        <v>1447</v>
      </c>
      <c r="B1250" s="5" t="s">
        <v>76</v>
      </c>
      <c r="C1250" s="6" t="n">
        <v>3</v>
      </c>
      <c r="D1250" s="6" t="n">
        <v>9</v>
      </c>
      <c r="E1250" s="6"/>
      <c r="F1250" s="6"/>
    </row>
    <row r="1251" customFormat="false" ht="15" hidden="false" customHeight="false" outlineLevel="0" collapsed="false">
      <c r="A1251" s="5" t="s">
        <v>1448</v>
      </c>
      <c r="B1251" s="5" t="s">
        <v>76</v>
      </c>
      <c r="C1251" s="6" t="n">
        <v>9</v>
      </c>
      <c r="D1251" s="6" t="n">
        <v>25.5</v>
      </c>
      <c r="E1251" s="6"/>
      <c r="F1251" s="6"/>
    </row>
    <row r="1252" customFormat="false" ht="15" hidden="false" customHeight="false" outlineLevel="0" collapsed="false">
      <c r="A1252" s="5" t="s">
        <v>1449</v>
      </c>
      <c r="B1252" s="5" t="s">
        <v>76</v>
      </c>
      <c r="C1252" s="6" t="n">
        <v>26</v>
      </c>
      <c r="D1252" s="6" t="n">
        <v>26</v>
      </c>
      <c r="E1252" s="6"/>
      <c r="F1252" s="6"/>
    </row>
    <row r="1253" customFormat="false" ht="15" hidden="false" customHeight="false" outlineLevel="0" collapsed="false">
      <c r="A1253" s="5" t="s">
        <v>1450</v>
      </c>
      <c r="B1253" s="5" t="s">
        <v>76</v>
      </c>
      <c r="C1253" s="6" t="n">
        <v>4</v>
      </c>
      <c r="D1253" s="6" t="n">
        <v>2</v>
      </c>
      <c r="E1253" s="6"/>
      <c r="F1253" s="6"/>
    </row>
    <row r="1254" customFormat="false" ht="15" hidden="false" customHeight="false" outlineLevel="0" collapsed="false">
      <c r="A1254" s="5" t="s">
        <v>1451</v>
      </c>
      <c r="B1254" s="5" t="s">
        <v>76</v>
      </c>
      <c r="C1254" s="6" t="n">
        <v>4</v>
      </c>
      <c r="D1254" s="6" t="n">
        <v>0</v>
      </c>
      <c r="E1254" s="6"/>
      <c r="F1254" s="6"/>
    </row>
    <row r="1255" customFormat="false" ht="15" hidden="false" customHeight="false" outlineLevel="0" collapsed="false">
      <c r="A1255" s="5" t="s">
        <v>1452</v>
      </c>
      <c r="B1255" s="5" t="s">
        <v>76</v>
      </c>
      <c r="C1255" s="6" t="n">
        <v>16</v>
      </c>
      <c r="D1255" s="6" t="n">
        <v>0</v>
      </c>
      <c r="E1255" s="6"/>
      <c r="F1255" s="6"/>
    </row>
    <row r="1256" customFormat="false" ht="15" hidden="false" customHeight="false" outlineLevel="0" collapsed="false">
      <c r="A1256" s="5" t="s">
        <v>1453</v>
      </c>
      <c r="B1256" s="5" t="s">
        <v>76</v>
      </c>
      <c r="C1256" s="6" t="n">
        <v>2</v>
      </c>
      <c r="D1256" s="6" t="n">
        <v>6</v>
      </c>
      <c r="E1256" s="6"/>
      <c r="F1256" s="6"/>
    </row>
    <row r="1257" customFormat="false" ht="15" hidden="false" customHeight="false" outlineLevel="0" collapsed="false">
      <c r="A1257" s="5" t="s">
        <v>1454</v>
      </c>
      <c r="B1257" s="5" t="s">
        <v>76</v>
      </c>
      <c r="C1257" s="6" t="n">
        <v>12</v>
      </c>
      <c r="D1257" s="6" t="n">
        <v>0</v>
      </c>
      <c r="E1257" s="6"/>
      <c r="F1257" s="6"/>
    </row>
    <row r="1258" customFormat="false" ht="15" hidden="false" customHeight="false" outlineLevel="0" collapsed="false">
      <c r="A1258" s="5" t="s">
        <v>1455</v>
      </c>
      <c r="B1258" s="5" t="s">
        <v>76</v>
      </c>
      <c r="C1258" s="6" t="n">
        <v>5</v>
      </c>
      <c r="D1258" s="6" t="n">
        <v>9</v>
      </c>
      <c r="E1258" s="6"/>
      <c r="F1258" s="6"/>
    </row>
    <row r="1259" customFormat="false" ht="15" hidden="false" customHeight="false" outlineLevel="0" collapsed="false">
      <c r="A1259" s="5" t="s">
        <v>1456</v>
      </c>
      <c r="B1259" s="5" t="s">
        <v>76</v>
      </c>
      <c r="C1259" s="6" t="n">
        <v>11</v>
      </c>
      <c r="D1259" s="6" t="n">
        <v>2</v>
      </c>
      <c r="E1259" s="6"/>
      <c r="F1259" s="6"/>
    </row>
    <row r="1260" customFormat="false" ht="15" hidden="false" customHeight="false" outlineLevel="0" collapsed="false">
      <c r="A1260" s="5" t="s">
        <v>1457</v>
      </c>
      <c r="B1260" s="5" t="s">
        <v>76</v>
      </c>
      <c r="C1260" s="6" t="n">
        <v>4</v>
      </c>
      <c r="D1260" s="6" t="n">
        <v>5</v>
      </c>
      <c r="E1260" s="6"/>
      <c r="F1260" s="6"/>
    </row>
    <row r="1261" customFormat="false" ht="15" hidden="false" customHeight="false" outlineLevel="0" collapsed="false">
      <c r="A1261" s="5" t="s">
        <v>1458</v>
      </c>
      <c r="B1261" s="5" t="s">
        <v>76</v>
      </c>
      <c r="C1261" s="6" t="n">
        <v>26</v>
      </c>
      <c r="D1261" s="6" t="n">
        <v>12</v>
      </c>
      <c r="E1261" s="6"/>
      <c r="F1261" s="6"/>
    </row>
    <row r="1262" customFormat="false" ht="15" hidden="false" customHeight="false" outlineLevel="0" collapsed="false">
      <c r="A1262" s="5" t="s">
        <v>1459</v>
      </c>
      <c r="B1262" s="5" t="s">
        <v>76</v>
      </c>
      <c r="C1262" s="6" t="n">
        <v>10</v>
      </c>
      <c r="D1262" s="6" t="n">
        <v>0</v>
      </c>
      <c r="E1262" s="6"/>
      <c r="F1262" s="6"/>
    </row>
    <row r="1263" customFormat="false" ht="15" hidden="false" customHeight="false" outlineLevel="0" collapsed="false">
      <c r="A1263" s="5" t="s">
        <v>1460</v>
      </c>
      <c r="B1263" s="5" t="s">
        <v>76</v>
      </c>
      <c r="C1263" s="6" t="n">
        <v>16</v>
      </c>
      <c r="D1263" s="6" t="n">
        <v>0</v>
      </c>
      <c r="E1263" s="6"/>
      <c r="F1263" s="6"/>
    </row>
    <row r="1264" customFormat="false" ht="15" hidden="false" customHeight="false" outlineLevel="0" collapsed="false">
      <c r="A1264" s="5" t="s">
        <v>1461</v>
      </c>
      <c r="B1264" s="5" t="s">
        <v>76</v>
      </c>
      <c r="C1264" s="6" t="n">
        <v>4</v>
      </c>
      <c r="D1264" s="6" t="n">
        <v>0</v>
      </c>
      <c r="E1264" s="6"/>
      <c r="F1264" s="6"/>
    </row>
    <row r="1265" customFormat="false" ht="15" hidden="false" customHeight="false" outlineLevel="0" collapsed="false">
      <c r="A1265" s="5" t="s">
        <v>1462</v>
      </c>
      <c r="B1265" s="5" t="s">
        <v>76</v>
      </c>
      <c r="C1265" s="6" t="n">
        <v>17</v>
      </c>
      <c r="D1265" s="6" t="n">
        <v>20</v>
      </c>
      <c r="E1265" s="6"/>
      <c r="F1265" s="6"/>
    </row>
    <row r="1266" customFormat="false" ht="15" hidden="false" customHeight="false" outlineLevel="0" collapsed="false">
      <c r="A1266" s="5" t="s">
        <v>1463</v>
      </c>
      <c r="B1266" s="5" t="s">
        <v>76</v>
      </c>
      <c r="C1266" s="6" t="n">
        <v>6</v>
      </c>
      <c r="D1266" s="6" t="n">
        <v>5</v>
      </c>
      <c r="E1266" s="6"/>
      <c r="F1266" s="6"/>
    </row>
    <row r="1267" customFormat="false" ht="15" hidden="false" customHeight="false" outlineLevel="0" collapsed="false">
      <c r="A1267" s="5" t="s">
        <v>1464</v>
      </c>
      <c r="B1267" s="5" t="s">
        <v>76</v>
      </c>
      <c r="C1267" s="6" t="n">
        <v>4</v>
      </c>
      <c r="D1267" s="6" t="n">
        <v>8</v>
      </c>
      <c r="E1267" s="6"/>
      <c r="F1267" s="6"/>
    </row>
    <row r="1268" customFormat="false" ht="15" hidden="false" customHeight="false" outlineLevel="0" collapsed="false">
      <c r="A1268" s="5" t="s">
        <v>1465</v>
      </c>
      <c r="B1268" s="5" t="s">
        <v>76</v>
      </c>
      <c r="C1268" s="6" t="n">
        <v>6</v>
      </c>
      <c r="D1268" s="6" t="n">
        <v>0</v>
      </c>
      <c r="E1268" s="6"/>
      <c r="F1268" s="6"/>
    </row>
    <row r="1269" customFormat="false" ht="15" hidden="false" customHeight="false" outlineLevel="0" collapsed="false">
      <c r="A1269" s="5" t="s">
        <v>1466</v>
      </c>
      <c r="B1269" s="5" t="s">
        <v>76</v>
      </c>
      <c r="C1269" s="6" t="n">
        <v>4</v>
      </c>
      <c r="D1269" s="6" t="n">
        <v>8</v>
      </c>
      <c r="E1269" s="6"/>
      <c r="F1269" s="6"/>
    </row>
    <row r="1270" customFormat="false" ht="15" hidden="false" customHeight="false" outlineLevel="0" collapsed="false">
      <c r="A1270" s="5" t="s">
        <v>1467</v>
      </c>
      <c r="B1270" s="5" t="s">
        <v>76</v>
      </c>
      <c r="C1270" s="6" t="n">
        <v>8</v>
      </c>
      <c r="D1270" s="6" t="n">
        <v>8</v>
      </c>
      <c r="E1270" s="6"/>
      <c r="F1270" s="6"/>
    </row>
    <row r="1271" customFormat="false" ht="15" hidden="false" customHeight="false" outlineLevel="0" collapsed="false">
      <c r="A1271" s="5" t="s">
        <v>1468</v>
      </c>
      <c r="B1271" s="5" t="s">
        <v>76</v>
      </c>
      <c r="C1271" s="6" t="n">
        <v>16</v>
      </c>
      <c r="D1271" s="6" t="n">
        <v>20</v>
      </c>
      <c r="E1271" s="6"/>
      <c r="F1271" s="6"/>
    </row>
    <row r="1272" customFormat="false" ht="15" hidden="false" customHeight="false" outlineLevel="0" collapsed="false">
      <c r="A1272" s="5" t="s">
        <v>1469</v>
      </c>
      <c r="B1272" s="5" t="s">
        <v>76</v>
      </c>
      <c r="C1272" s="6" t="n">
        <v>12</v>
      </c>
      <c r="D1272" s="6" t="n">
        <v>0</v>
      </c>
      <c r="E1272" s="6"/>
      <c r="F1272" s="6"/>
    </row>
    <row r="1273" customFormat="false" ht="15" hidden="false" customHeight="false" outlineLevel="0" collapsed="false">
      <c r="A1273" s="5" t="s">
        <v>1470</v>
      </c>
      <c r="B1273" s="5" t="s">
        <v>76</v>
      </c>
      <c r="C1273" s="6" t="n">
        <v>6</v>
      </c>
      <c r="D1273" s="6" t="n">
        <v>6</v>
      </c>
      <c r="E1273" s="6"/>
      <c r="F1273" s="6"/>
    </row>
    <row r="1274" customFormat="false" ht="15" hidden="false" customHeight="false" outlineLevel="0" collapsed="false">
      <c r="A1274" s="5" t="s">
        <v>1471</v>
      </c>
      <c r="B1274" s="5" t="s">
        <v>76</v>
      </c>
      <c r="C1274" s="6" t="n">
        <v>16</v>
      </c>
      <c r="D1274" s="6" t="n">
        <v>8</v>
      </c>
      <c r="E1274" s="6"/>
      <c r="F1274" s="6"/>
    </row>
    <row r="1275" customFormat="false" ht="15" hidden="false" customHeight="false" outlineLevel="0" collapsed="false">
      <c r="A1275" s="5" t="s">
        <v>1472</v>
      </c>
      <c r="B1275" s="5" t="s">
        <v>78</v>
      </c>
      <c r="C1275" s="6" t="n">
        <v>21</v>
      </c>
      <c r="D1275" s="6" t="n">
        <v>2</v>
      </c>
      <c r="E1275" s="6"/>
      <c r="F1275" s="6"/>
    </row>
    <row r="1276" customFormat="false" ht="15" hidden="false" customHeight="false" outlineLevel="0" collapsed="false">
      <c r="A1276" s="5" t="s">
        <v>1473</v>
      </c>
      <c r="B1276" s="5" t="s">
        <v>78</v>
      </c>
      <c r="C1276" s="6" t="n">
        <v>12</v>
      </c>
      <c r="D1276" s="6" t="n">
        <v>12</v>
      </c>
      <c r="E1276" s="6"/>
      <c r="F1276" s="6"/>
    </row>
    <row r="1277" customFormat="false" ht="15" hidden="false" customHeight="false" outlineLevel="0" collapsed="false">
      <c r="A1277" s="5" t="s">
        <v>1474</v>
      </c>
      <c r="B1277" s="5" t="s">
        <v>78</v>
      </c>
      <c r="C1277" s="6" t="n">
        <v>12</v>
      </c>
      <c r="D1277" s="6" t="n">
        <v>0</v>
      </c>
      <c r="E1277" s="6"/>
      <c r="F1277" s="6"/>
    </row>
    <row r="1278" customFormat="false" ht="15" hidden="false" customHeight="false" outlineLevel="0" collapsed="false">
      <c r="A1278" s="5" t="s">
        <v>1475</v>
      </c>
      <c r="B1278" s="5" t="s">
        <v>78</v>
      </c>
      <c r="C1278" s="6" t="n">
        <v>12</v>
      </c>
      <c r="D1278" s="6" t="n">
        <v>0</v>
      </c>
      <c r="E1278" s="6"/>
      <c r="F1278" s="6"/>
    </row>
    <row r="1279" customFormat="false" ht="15" hidden="false" customHeight="false" outlineLevel="0" collapsed="false">
      <c r="A1279" s="5" t="s">
        <v>1476</v>
      </c>
      <c r="B1279" s="5" t="s">
        <v>78</v>
      </c>
      <c r="C1279" s="6" t="n">
        <v>22</v>
      </c>
      <c r="D1279" s="6" t="n">
        <v>10.5</v>
      </c>
      <c r="E1279" s="6"/>
      <c r="F1279" s="6"/>
    </row>
    <row r="1280" customFormat="false" ht="15" hidden="false" customHeight="false" outlineLevel="0" collapsed="false">
      <c r="A1280" s="5" t="s">
        <v>1477</v>
      </c>
      <c r="B1280" s="5" t="s">
        <v>78</v>
      </c>
      <c r="C1280" s="6" t="n">
        <v>10</v>
      </c>
      <c r="D1280" s="6" t="n">
        <v>0</v>
      </c>
      <c r="E1280" s="6"/>
      <c r="F1280" s="6"/>
    </row>
    <row r="1281" customFormat="false" ht="15" hidden="false" customHeight="false" outlineLevel="0" collapsed="false">
      <c r="A1281" s="5" t="s">
        <v>1478</v>
      </c>
      <c r="B1281" s="5" t="s">
        <v>78</v>
      </c>
      <c r="C1281" s="6" t="n">
        <v>6</v>
      </c>
      <c r="D1281" s="6" t="n">
        <v>9</v>
      </c>
      <c r="E1281" s="6"/>
      <c r="F1281" s="6"/>
    </row>
    <row r="1282" customFormat="false" ht="15" hidden="false" customHeight="false" outlineLevel="0" collapsed="false">
      <c r="A1282" s="5" t="s">
        <v>1479</v>
      </c>
      <c r="B1282" s="5" t="s">
        <v>78</v>
      </c>
      <c r="C1282" s="6" t="n">
        <v>16</v>
      </c>
      <c r="D1282" s="6"/>
      <c r="E1282" s="6" t="n">
        <v>2</v>
      </c>
      <c r="F1282" s="6"/>
    </row>
    <row r="1283" customFormat="false" ht="15" hidden="false" customHeight="false" outlineLevel="0" collapsed="false">
      <c r="A1283" s="5" t="s">
        <v>1480</v>
      </c>
      <c r="B1283" s="5" t="s">
        <v>78</v>
      </c>
      <c r="C1283" s="6" t="n">
        <v>15</v>
      </c>
      <c r="D1283" s="6" t="n">
        <v>0</v>
      </c>
      <c r="E1283" s="6"/>
      <c r="F1283" s="6"/>
    </row>
    <row r="1284" customFormat="false" ht="15" hidden="false" customHeight="false" outlineLevel="0" collapsed="false">
      <c r="A1284" s="5" t="s">
        <v>1481</v>
      </c>
      <c r="B1284" s="5" t="s">
        <v>78</v>
      </c>
      <c r="C1284" s="6" t="n">
        <v>52</v>
      </c>
      <c r="D1284" s="6" t="n">
        <v>0</v>
      </c>
      <c r="E1284" s="6"/>
      <c r="F1284" s="6"/>
    </row>
    <row r="1285" customFormat="false" ht="15" hidden="false" customHeight="false" outlineLevel="0" collapsed="false">
      <c r="A1285" s="5" t="s">
        <v>1482</v>
      </c>
      <c r="B1285" s="5" t="s">
        <v>78</v>
      </c>
      <c r="C1285" s="6" t="n">
        <v>12</v>
      </c>
      <c r="D1285" s="6" t="n">
        <v>26</v>
      </c>
      <c r="E1285" s="6"/>
      <c r="F1285" s="6"/>
    </row>
    <row r="1286" customFormat="false" ht="15" hidden="false" customHeight="false" outlineLevel="0" collapsed="false">
      <c r="A1286" s="5" t="s">
        <v>1483</v>
      </c>
      <c r="B1286" s="5" t="s">
        <v>78</v>
      </c>
      <c r="C1286" s="6" t="n">
        <v>1</v>
      </c>
      <c r="D1286" s="6" t="n">
        <v>1</v>
      </c>
      <c r="E1286" s="6"/>
      <c r="F1286" s="6"/>
    </row>
    <row r="1287" customFormat="false" ht="15" hidden="false" customHeight="false" outlineLevel="0" collapsed="false">
      <c r="A1287" s="5" t="s">
        <v>1484</v>
      </c>
      <c r="B1287" s="5" t="s">
        <v>78</v>
      </c>
      <c r="C1287" s="6" t="n">
        <v>10</v>
      </c>
      <c r="D1287" s="6" t="n">
        <v>0</v>
      </c>
      <c r="E1287" s="6"/>
      <c r="F1287" s="6"/>
    </row>
    <row r="1288" customFormat="false" ht="15" hidden="false" customHeight="false" outlineLevel="0" collapsed="false">
      <c r="A1288" s="5" t="s">
        <v>1485</v>
      </c>
      <c r="B1288" s="5" t="s">
        <v>78</v>
      </c>
      <c r="C1288" s="6" t="n">
        <v>12</v>
      </c>
      <c r="D1288" s="6" t="n">
        <v>4</v>
      </c>
      <c r="E1288" s="6"/>
      <c r="F1288" s="6"/>
    </row>
    <row r="1289" customFormat="false" ht="15" hidden="false" customHeight="false" outlineLevel="0" collapsed="false">
      <c r="A1289" s="5" t="s">
        <v>1486</v>
      </c>
      <c r="B1289" s="5" t="s">
        <v>78</v>
      </c>
      <c r="C1289" s="6" t="n">
        <v>12</v>
      </c>
      <c r="D1289" s="6" t="n">
        <v>4</v>
      </c>
      <c r="E1289" s="6"/>
      <c r="F1289" s="6"/>
    </row>
    <row r="1290" customFormat="false" ht="15" hidden="false" customHeight="false" outlineLevel="0" collapsed="false">
      <c r="A1290" s="5" t="s">
        <v>1487</v>
      </c>
      <c r="B1290" s="5" t="s">
        <v>78</v>
      </c>
      <c r="C1290" s="6" t="n">
        <v>17</v>
      </c>
      <c r="D1290" s="6" t="n">
        <v>9</v>
      </c>
      <c r="E1290" s="6"/>
      <c r="F1290" s="6"/>
    </row>
    <row r="1291" customFormat="false" ht="15" hidden="false" customHeight="false" outlineLevel="0" collapsed="false">
      <c r="A1291" s="5" t="s">
        <v>1488</v>
      </c>
      <c r="B1291" s="5" t="s">
        <v>78</v>
      </c>
      <c r="C1291" s="6" t="n">
        <v>14</v>
      </c>
      <c r="D1291" s="6" t="n">
        <v>0</v>
      </c>
      <c r="E1291" s="6"/>
      <c r="F1291" s="6"/>
    </row>
    <row r="1292" customFormat="false" ht="15" hidden="false" customHeight="false" outlineLevel="0" collapsed="false">
      <c r="A1292" s="5" t="s">
        <v>1489</v>
      </c>
      <c r="B1292" s="5" t="s">
        <v>78</v>
      </c>
      <c r="C1292" s="6" t="n">
        <v>12</v>
      </c>
      <c r="D1292" s="6" t="n">
        <v>0</v>
      </c>
      <c r="E1292" s="6"/>
      <c r="F1292" s="6"/>
    </row>
    <row r="1293" customFormat="false" ht="15" hidden="false" customHeight="false" outlineLevel="0" collapsed="false">
      <c r="A1293" s="5" t="s">
        <v>1490</v>
      </c>
      <c r="B1293" s="5" t="s">
        <v>78</v>
      </c>
      <c r="C1293" s="6" t="n">
        <v>4</v>
      </c>
      <c r="D1293" s="6" t="n">
        <v>0</v>
      </c>
      <c r="E1293" s="6"/>
      <c r="F1293" s="6"/>
    </row>
    <row r="1294" customFormat="false" ht="15" hidden="false" customHeight="false" outlineLevel="0" collapsed="false">
      <c r="A1294" s="5" t="s">
        <v>1491</v>
      </c>
      <c r="B1294" s="5" t="s">
        <v>78</v>
      </c>
      <c r="C1294" s="6" t="n">
        <v>10</v>
      </c>
      <c r="D1294" s="6" t="n">
        <v>10</v>
      </c>
      <c r="E1294" s="6"/>
      <c r="F1294" s="6"/>
    </row>
    <row r="1295" customFormat="false" ht="15" hidden="false" customHeight="false" outlineLevel="0" collapsed="false">
      <c r="A1295" s="5" t="s">
        <v>1492</v>
      </c>
      <c r="B1295" s="5" t="s">
        <v>78</v>
      </c>
      <c r="C1295" s="6" t="n">
        <v>14</v>
      </c>
      <c r="D1295" s="6" t="n">
        <v>2</v>
      </c>
      <c r="E1295" s="6"/>
      <c r="F1295" s="6"/>
    </row>
    <row r="1296" customFormat="false" ht="15" hidden="false" customHeight="false" outlineLevel="0" collapsed="false">
      <c r="A1296" s="5" t="s">
        <v>1493</v>
      </c>
      <c r="B1296" s="5" t="s">
        <v>78</v>
      </c>
      <c r="C1296" s="6" t="n">
        <v>12</v>
      </c>
      <c r="D1296" s="6" t="n">
        <v>12</v>
      </c>
      <c r="E1296" s="6"/>
      <c r="F1296" s="6"/>
    </row>
    <row r="1297" customFormat="false" ht="15" hidden="false" customHeight="false" outlineLevel="0" collapsed="false">
      <c r="A1297" s="5" t="s">
        <v>1494</v>
      </c>
      <c r="B1297" s="5" t="s">
        <v>78</v>
      </c>
      <c r="C1297" s="6" t="n">
        <v>12</v>
      </c>
      <c r="D1297" s="6" t="n">
        <v>18</v>
      </c>
      <c r="E1297" s="6"/>
      <c r="F1297" s="6"/>
    </row>
    <row r="1298" customFormat="false" ht="15" hidden="false" customHeight="false" outlineLevel="0" collapsed="false">
      <c r="A1298" s="5" t="s">
        <v>1495</v>
      </c>
      <c r="B1298" s="5" t="s">
        <v>78</v>
      </c>
      <c r="C1298" s="6" t="n">
        <v>16</v>
      </c>
      <c r="D1298" s="6" t="n">
        <v>0</v>
      </c>
      <c r="E1298" s="6"/>
      <c r="F1298" s="6"/>
    </row>
    <row r="1299" customFormat="false" ht="15" hidden="false" customHeight="false" outlineLevel="0" collapsed="false">
      <c r="A1299" s="5" t="s">
        <v>1496</v>
      </c>
      <c r="B1299" s="5" t="s">
        <v>78</v>
      </c>
      <c r="C1299" s="6" t="n">
        <v>14</v>
      </c>
      <c r="D1299" s="6" t="n">
        <v>0</v>
      </c>
      <c r="E1299" s="6"/>
      <c r="F1299" s="6"/>
    </row>
    <row r="1300" customFormat="false" ht="15" hidden="false" customHeight="false" outlineLevel="0" collapsed="false">
      <c r="A1300" s="5" t="s">
        <v>1497</v>
      </c>
      <c r="B1300" s="5" t="s">
        <v>78</v>
      </c>
      <c r="C1300" s="6" t="n">
        <v>22</v>
      </c>
      <c r="D1300" s="6" t="n">
        <v>0</v>
      </c>
      <c r="E1300" s="6"/>
      <c r="F1300" s="6"/>
    </row>
    <row r="1301" customFormat="false" ht="15" hidden="false" customHeight="false" outlineLevel="0" collapsed="false">
      <c r="A1301" s="5" t="s">
        <v>1498</v>
      </c>
      <c r="B1301" s="5" t="s">
        <v>78</v>
      </c>
      <c r="C1301" s="6" t="n">
        <v>12</v>
      </c>
      <c r="D1301" s="6" t="n">
        <v>0</v>
      </c>
      <c r="E1301" s="6"/>
      <c r="F1301" s="6"/>
    </row>
    <row r="1302" customFormat="false" ht="15" hidden="false" customHeight="false" outlineLevel="0" collapsed="false">
      <c r="A1302" s="5" t="s">
        <v>1499</v>
      </c>
      <c r="B1302" s="5" t="s">
        <v>78</v>
      </c>
      <c r="C1302" s="6" t="n">
        <v>12</v>
      </c>
      <c r="D1302" s="6" t="n">
        <v>0</v>
      </c>
      <c r="E1302" s="6"/>
      <c r="F1302" s="6"/>
    </row>
    <row r="1303" customFormat="false" ht="15" hidden="false" customHeight="false" outlineLevel="0" collapsed="false">
      <c r="A1303" s="5" t="s">
        <v>1500</v>
      </c>
      <c r="B1303" s="5" t="s">
        <v>78</v>
      </c>
      <c r="C1303" s="6" t="n">
        <v>52</v>
      </c>
      <c r="D1303" s="6" t="n">
        <v>0</v>
      </c>
      <c r="E1303" s="6"/>
      <c r="F1303" s="6"/>
    </row>
    <row r="1304" customFormat="false" ht="15" hidden="false" customHeight="false" outlineLevel="0" collapsed="false">
      <c r="A1304" s="5" t="s">
        <v>1501</v>
      </c>
      <c r="B1304" s="5" t="s">
        <v>78</v>
      </c>
      <c r="C1304" s="6" t="n">
        <v>12</v>
      </c>
      <c r="D1304" s="6" t="n">
        <v>6</v>
      </c>
      <c r="E1304" s="6"/>
      <c r="F1304" s="6"/>
    </row>
    <row r="1305" customFormat="false" ht="15" hidden="false" customHeight="false" outlineLevel="0" collapsed="false">
      <c r="A1305" s="5" t="s">
        <v>1502</v>
      </c>
      <c r="B1305" s="5" t="s">
        <v>78</v>
      </c>
      <c r="C1305" s="6" t="n">
        <v>8</v>
      </c>
      <c r="D1305" s="6" t="n">
        <v>8</v>
      </c>
      <c r="E1305" s="6"/>
      <c r="F1305" s="6"/>
    </row>
    <row r="1306" customFormat="false" ht="15" hidden="false" customHeight="false" outlineLevel="0" collapsed="false">
      <c r="A1306" s="5" t="s">
        <v>1503</v>
      </c>
      <c r="B1306" s="5" t="s">
        <v>78</v>
      </c>
      <c r="C1306" s="6" t="n">
        <v>19.5</v>
      </c>
      <c r="D1306" s="6" t="n">
        <v>26</v>
      </c>
      <c r="E1306" s="6"/>
      <c r="F1306" s="6"/>
    </row>
    <row r="1307" customFormat="false" ht="15" hidden="false" customHeight="false" outlineLevel="0" collapsed="false">
      <c r="A1307" s="5" t="s">
        <v>1504</v>
      </c>
      <c r="B1307" s="5" t="s">
        <v>78</v>
      </c>
      <c r="C1307" s="6" t="n">
        <v>4</v>
      </c>
      <c r="D1307" s="6" t="n">
        <v>2</v>
      </c>
      <c r="E1307" s="6"/>
      <c r="F1307" s="6"/>
    </row>
    <row r="1308" customFormat="false" ht="15" hidden="false" customHeight="false" outlineLevel="0" collapsed="false">
      <c r="A1308" s="5" t="s">
        <v>1505</v>
      </c>
      <c r="B1308" s="5" t="s">
        <v>78</v>
      </c>
      <c r="C1308" s="6" t="n">
        <v>12</v>
      </c>
      <c r="D1308" s="6" t="n">
        <v>6</v>
      </c>
      <c r="E1308" s="6"/>
      <c r="F1308" s="6"/>
    </row>
    <row r="1309" customFormat="false" ht="15" hidden="false" customHeight="false" outlineLevel="0" collapsed="false">
      <c r="A1309" s="5" t="s">
        <v>1506</v>
      </c>
      <c r="B1309" s="5" t="s">
        <v>78</v>
      </c>
      <c r="C1309" s="6" t="n">
        <v>16</v>
      </c>
      <c r="D1309" s="6"/>
      <c r="E1309" s="6" t="n">
        <v>16</v>
      </c>
      <c r="F1309" s="6"/>
    </row>
    <row r="1310" customFormat="false" ht="15" hidden="false" customHeight="false" outlineLevel="0" collapsed="false">
      <c r="A1310" s="5" t="s">
        <v>1507</v>
      </c>
      <c r="B1310" s="5" t="s">
        <v>78</v>
      </c>
      <c r="C1310" s="6" t="n">
        <v>18</v>
      </c>
      <c r="D1310" s="6" t="n">
        <v>0</v>
      </c>
      <c r="E1310" s="6"/>
      <c r="F1310" s="6"/>
    </row>
    <row r="1311" customFormat="false" ht="15" hidden="false" customHeight="false" outlineLevel="0" collapsed="false">
      <c r="A1311" s="5" t="s">
        <v>1508</v>
      </c>
      <c r="B1311" s="5" t="s">
        <v>78</v>
      </c>
      <c r="C1311" s="6" t="n">
        <v>16</v>
      </c>
      <c r="D1311" s="6"/>
      <c r="E1311" s="6" t="n">
        <v>16</v>
      </c>
      <c r="F1311" s="6"/>
    </row>
    <row r="1312" customFormat="false" ht="15" hidden="false" customHeight="false" outlineLevel="0" collapsed="false">
      <c r="A1312" s="5" t="s">
        <v>1509</v>
      </c>
      <c r="B1312" s="5" t="s">
        <v>78</v>
      </c>
      <c r="C1312" s="6" t="n">
        <v>26</v>
      </c>
      <c r="D1312" s="6" t="n">
        <v>26</v>
      </c>
      <c r="E1312" s="6"/>
      <c r="F1312" s="6"/>
    </row>
    <row r="1313" customFormat="false" ht="15" hidden="false" customHeight="false" outlineLevel="0" collapsed="false">
      <c r="A1313" s="5" t="s">
        <v>1510</v>
      </c>
      <c r="B1313" s="5" t="s">
        <v>78</v>
      </c>
      <c r="C1313" s="6" t="n">
        <v>24</v>
      </c>
      <c r="D1313" s="6" t="n">
        <v>2.5</v>
      </c>
      <c r="E1313" s="6"/>
      <c r="F1313" s="6"/>
    </row>
    <row r="1314" customFormat="false" ht="15" hidden="false" customHeight="false" outlineLevel="0" collapsed="false">
      <c r="A1314" s="5" t="s">
        <v>1511</v>
      </c>
      <c r="B1314" s="5" t="s">
        <v>78</v>
      </c>
      <c r="C1314" s="6" t="n">
        <v>18</v>
      </c>
      <c r="D1314" s="6" t="n">
        <v>0</v>
      </c>
      <c r="E1314" s="6"/>
      <c r="F1314" s="6"/>
    </row>
    <row r="1315" customFormat="false" ht="15" hidden="false" customHeight="false" outlineLevel="0" collapsed="false">
      <c r="A1315" s="5" t="s">
        <v>1512</v>
      </c>
      <c r="B1315" s="5" t="s">
        <v>78</v>
      </c>
      <c r="C1315" s="6" t="n">
        <v>20</v>
      </c>
      <c r="D1315" s="6" t="n">
        <v>0</v>
      </c>
      <c r="E1315" s="6"/>
      <c r="F1315" s="6"/>
    </row>
    <row r="1316" customFormat="false" ht="15" hidden="false" customHeight="false" outlineLevel="0" collapsed="false">
      <c r="A1316" s="5" t="s">
        <v>1513</v>
      </c>
      <c r="B1316" s="5" t="s">
        <v>78</v>
      </c>
      <c r="C1316" s="6" t="n">
        <v>4</v>
      </c>
      <c r="D1316" s="6" t="n">
        <v>0</v>
      </c>
      <c r="E1316" s="6"/>
      <c r="F1316" s="6"/>
    </row>
    <row r="1317" customFormat="false" ht="15" hidden="false" customHeight="false" outlineLevel="0" collapsed="false">
      <c r="A1317" s="5" t="s">
        <v>1514</v>
      </c>
      <c r="B1317" s="5" t="s">
        <v>78</v>
      </c>
      <c r="C1317" s="6" t="n">
        <v>20</v>
      </c>
      <c r="D1317" s="6" t="n">
        <v>2.5</v>
      </c>
      <c r="E1317" s="6"/>
      <c r="F1317" s="6"/>
    </row>
    <row r="1318" customFormat="false" ht="15" hidden="false" customHeight="false" outlineLevel="0" collapsed="false">
      <c r="A1318" s="5" t="s">
        <v>1515</v>
      </c>
      <c r="B1318" s="5" t="s">
        <v>78</v>
      </c>
      <c r="C1318" s="6" t="n">
        <v>10</v>
      </c>
      <c r="D1318" s="6" t="n">
        <v>4</v>
      </c>
      <c r="E1318" s="6"/>
      <c r="F1318" s="6"/>
    </row>
    <row r="1319" customFormat="false" ht="15" hidden="false" customHeight="false" outlineLevel="0" collapsed="false">
      <c r="A1319" s="5" t="s">
        <v>1516</v>
      </c>
      <c r="B1319" s="5" t="s">
        <v>78</v>
      </c>
      <c r="C1319" s="6" t="n">
        <v>14</v>
      </c>
      <c r="D1319" s="6" t="n">
        <v>0</v>
      </c>
      <c r="E1319" s="6"/>
      <c r="F1319" s="6"/>
    </row>
    <row r="1320" customFormat="false" ht="15" hidden="false" customHeight="false" outlineLevel="0" collapsed="false">
      <c r="A1320" s="5" t="s">
        <v>1517</v>
      </c>
      <c r="B1320" s="5" t="s">
        <v>78</v>
      </c>
      <c r="C1320" s="6" t="n">
        <v>15</v>
      </c>
      <c r="D1320" s="6" t="n">
        <v>2</v>
      </c>
      <c r="E1320" s="6"/>
      <c r="F1320" s="6"/>
    </row>
    <row r="1321" customFormat="false" ht="15" hidden="false" customHeight="false" outlineLevel="0" collapsed="false">
      <c r="A1321" s="5" t="s">
        <v>1518</v>
      </c>
      <c r="B1321" s="5" t="s">
        <v>78</v>
      </c>
      <c r="C1321" s="6" t="n">
        <v>4</v>
      </c>
      <c r="D1321" s="6" t="n">
        <v>2</v>
      </c>
      <c r="E1321" s="6"/>
      <c r="F1321" s="6"/>
    </row>
    <row r="1322" customFormat="false" ht="15" hidden="false" customHeight="false" outlineLevel="0" collapsed="false">
      <c r="A1322" s="5" t="s">
        <v>1519</v>
      </c>
      <c r="B1322" s="5" t="s">
        <v>78</v>
      </c>
      <c r="C1322" s="6" t="n">
        <v>12</v>
      </c>
      <c r="D1322" s="6" t="n">
        <v>0</v>
      </c>
      <c r="E1322" s="6"/>
      <c r="F1322" s="6"/>
    </row>
    <row r="1323" customFormat="false" ht="15" hidden="false" customHeight="false" outlineLevel="0" collapsed="false">
      <c r="A1323" s="5" t="s">
        <v>1520</v>
      </c>
      <c r="B1323" s="5" t="s">
        <v>327</v>
      </c>
      <c r="C1323" s="6" t="n">
        <v>10</v>
      </c>
      <c r="D1323" s="6" t="n">
        <v>0</v>
      </c>
      <c r="E1323" s="6"/>
      <c r="F1323" s="6"/>
    </row>
    <row r="1324" customFormat="false" ht="15" hidden="false" customHeight="false" outlineLevel="0" collapsed="false">
      <c r="A1324" s="5" t="s">
        <v>1521</v>
      </c>
      <c r="B1324" s="5" t="s">
        <v>327</v>
      </c>
      <c r="C1324" s="6" t="n">
        <v>13</v>
      </c>
      <c r="D1324" s="6"/>
      <c r="E1324" s="6" t="n">
        <v>2</v>
      </c>
      <c r="F1324" s="6"/>
    </row>
    <row r="1325" customFormat="false" ht="15" hidden="false" customHeight="false" outlineLevel="0" collapsed="false">
      <c r="A1325" s="5" t="s">
        <v>1522</v>
      </c>
      <c r="B1325" s="5" t="s">
        <v>327</v>
      </c>
      <c r="C1325" s="6" t="n">
        <v>12</v>
      </c>
      <c r="D1325" s="6" t="n">
        <v>0</v>
      </c>
      <c r="E1325" s="6"/>
      <c r="F1325" s="6"/>
    </row>
    <row r="1326" customFormat="false" ht="15" hidden="false" customHeight="false" outlineLevel="0" collapsed="false">
      <c r="A1326" s="5" t="s">
        <v>1523</v>
      </c>
      <c r="B1326" s="5" t="s">
        <v>83</v>
      </c>
      <c r="C1326" s="6" t="n">
        <v>12</v>
      </c>
      <c r="D1326" s="6" t="n">
        <v>12</v>
      </c>
      <c r="E1326" s="6"/>
      <c r="F1326" s="6"/>
    </row>
    <row r="1327" customFormat="false" ht="15" hidden="false" customHeight="false" outlineLevel="0" collapsed="false">
      <c r="A1327" s="5" t="s">
        <v>1524</v>
      </c>
      <c r="B1327" s="5" t="s">
        <v>83</v>
      </c>
      <c r="C1327" s="6" t="n">
        <v>16</v>
      </c>
      <c r="D1327" s="6" t="n">
        <v>0.5</v>
      </c>
      <c r="E1327" s="6"/>
      <c r="F1327" s="6"/>
    </row>
    <row r="1328" customFormat="false" ht="15" hidden="false" customHeight="false" outlineLevel="0" collapsed="false">
      <c r="A1328" s="5" t="s">
        <v>1525</v>
      </c>
      <c r="B1328" s="5" t="s">
        <v>333</v>
      </c>
      <c r="C1328" s="6" t="n">
        <v>12</v>
      </c>
      <c r="D1328" s="6" t="n">
        <v>0</v>
      </c>
      <c r="E1328" s="6"/>
      <c r="F1328" s="6"/>
    </row>
    <row r="1329" customFormat="false" ht="15" hidden="false" customHeight="false" outlineLevel="0" collapsed="false">
      <c r="A1329" s="5" t="s">
        <v>1526</v>
      </c>
      <c r="B1329" s="5" t="s">
        <v>333</v>
      </c>
      <c r="C1329" s="6" t="n">
        <v>8</v>
      </c>
      <c r="D1329" s="6" t="n">
        <v>3</v>
      </c>
      <c r="E1329" s="6"/>
      <c r="F1329" s="6"/>
    </row>
    <row r="1330" customFormat="false" ht="15" hidden="false" customHeight="false" outlineLevel="0" collapsed="false">
      <c r="A1330" s="5" t="s">
        <v>1527</v>
      </c>
      <c r="B1330" s="5" t="s">
        <v>333</v>
      </c>
      <c r="C1330" s="6" t="n">
        <v>24</v>
      </c>
      <c r="D1330" s="6" t="n">
        <v>2</v>
      </c>
      <c r="E1330" s="6"/>
      <c r="F1330" s="6"/>
    </row>
    <row r="1331" customFormat="false" ht="15" hidden="false" customHeight="false" outlineLevel="0" collapsed="false">
      <c r="A1331" s="5" t="s">
        <v>1528</v>
      </c>
      <c r="B1331" s="5" t="s">
        <v>333</v>
      </c>
      <c r="C1331" s="6" t="n">
        <v>12</v>
      </c>
      <c r="D1331" s="6" t="n">
        <v>4</v>
      </c>
      <c r="E1331" s="6"/>
      <c r="F1331" s="6"/>
    </row>
    <row r="1332" customFormat="false" ht="15" hidden="false" customHeight="false" outlineLevel="0" collapsed="false">
      <c r="A1332" s="5" t="s">
        <v>1529</v>
      </c>
      <c r="B1332" s="5" t="s">
        <v>333</v>
      </c>
      <c r="C1332" s="6" t="n">
        <v>12</v>
      </c>
      <c r="D1332" s="6" t="n">
        <v>0</v>
      </c>
      <c r="E1332" s="6"/>
      <c r="F1332" s="6"/>
    </row>
    <row r="1333" customFormat="false" ht="15" hidden="false" customHeight="false" outlineLevel="0" collapsed="false">
      <c r="A1333" s="5" t="s">
        <v>1530</v>
      </c>
      <c r="B1333" s="5" t="s">
        <v>333</v>
      </c>
      <c r="C1333" s="6" t="n">
        <v>16</v>
      </c>
      <c r="D1333" s="6" t="n">
        <v>0</v>
      </c>
      <c r="E1333" s="6"/>
      <c r="F1333" s="6"/>
    </row>
    <row r="1334" customFormat="false" ht="15" hidden="false" customHeight="false" outlineLevel="0" collapsed="false">
      <c r="A1334" s="5" t="s">
        <v>1531</v>
      </c>
      <c r="B1334" s="5" t="s">
        <v>333</v>
      </c>
      <c r="C1334" s="6" t="n">
        <v>20</v>
      </c>
      <c r="D1334" s="6" t="n">
        <v>0</v>
      </c>
      <c r="E1334" s="6"/>
      <c r="F1334" s="6"/>
    </row>
    <row r="1335" customFormat="false" ht="15" hidden="false" customHeight="false" outlineLevel="0" collapsed="false">
      <c r="A1335" s="5" t="s">
        <v>1532</v>
      </c>
      <c r="B1335" s="5" t="s">
        <v>333</v>
      </c>
      <c r="C1335" s="6" t="n">
        <v>14</v>
      </c>
      <c r="D1335" s="6" t="n">
        <v>6</v>
      </c>
      <c r="E1335" s="6"/>
      <c r="F1335" s="6"/>
    </row>
    <row r="1336" customFormat="false" ht="15" hidden="false" customHeight="false" outlineLevel="0" collapsed="false">
      <c r="A1336" s="5" t="s">
        <v>1533</v>
      </c>
      <c r="B1336" s="5" t="s">
        <v>333</v>
      </c>
      <c r="C1336" s="6" t="n">
        <v>1</v>
      </c>
      <c r="D1336" s="6"/>
      <c r="E1336" s="6" t="n">
        <v>1</v>
      </c>
      <c r="F1336" s="6"/>
    </row>
    <row r="1337" customFormat="false" ht="15" hidden="false" customHeight="false" outlineLevel="0" collapsed="false">
      <c r="A1337" s="5" t="s">
        <v>1534</v>
      </c>
      <c r="B1337" s="5" t="s">
        <v>333</v>
      </c>
      <c r="C1337" s="6" t="n">
        <v>12</v>
      </c>
      <c r="D1337" s="6" t="n">
        <v>4</v>
      </c>
      <c r="E1337" s="6"/>
      <c r="F1337" s="6"/>
    </row>
    <row r="1338" customFormat="false" ht="15" hidden="false" customHeight="false" outlineLevel="0" collapsed="false">
      <c r="A1338" s="5" t="s">
        <v>1535</v>
      </c>
      <c r="B1338" s="5" t="s">
        <v>333</v>
      </c>
      <c r="C1338" s="6" t="n">
        <v>16</v>
      </c>
      <c r="D1338" s="6" t="n">
        <v>46</v>
      </c>
      <c r="E1338" s="6"/>
      <c r="F1338" s="6"/>
    </row>
    <row r="1339" customFormat="false" ht="15" hidden="false" customHeight="false" outlineLevel="0" collapsed="false">
      <c r="A1339" s="5" t="s">
        <v>1536</v>
      </c>
      <c r="B1339" s="5" t="s">
        <v>333</v>
      </c>
      <c r="C1339" s="6" t="n">
        <v>12</v>
      </c>
      <c r="D1339" s="6" t="n">
        <v>6</v>
      </c>
      <c r="E1339" s="6"/>
      <c r="F1339" s="6"/>
    </row>
    <row r="1340" customFormat="false" ht="15" hidden="false" customHeight="false" outlineLevel="0" collapsed="false">
      <c r="A1340" s="5" t="s">
        <v>1537</v>
      </c>
      <c r="B1340" s="5" t="s">
        <v>333</v>
      </c>
      <c r="C1340" s="6" t="n">
        <v>24</v>
      </c>
      <c r="D1340" s="6" t="n">
        <v>0</v>
      </c>
      <c r="E1340" s="6"/>
      <c r="F1340" s="6"/>
    </row>
    <row r="1341" customFormat="false" ht="15" hidden="false" customHeight="false" outlineLevel="0" collapsed="false">
      <c r="A1341" s="5" t="s">
        <v>1538</v>
      </c>
      <c r="B1341" s="5" t="s">
        <v>333</v>
      </c>
      <c r="C1341" s="6" t="n">
        <v>6</v>
      </c>
      <c r="D1341" s="6" t="n">
        <v>12</v>
      </c>
      <c r="E1341" s="6"/>
      <c r="F1341" s="6"/>
    </row>
    <row r="1342" customFormat="false" ht="15" hidden="false" customHeight="false" outlineLevel="0" collapsed="false">
      <c r="A1342" s="5" t="s">
        <v>1539</v>
      </c>
      <c r="B1342" s="5" t="s">
        <v>333</v>
      </c>
      <c r="C1342" s="6" t="n">
        <v>14</v>
      </c>
      <c r="D1342" s="6" t="n">
        <v>4</v>
      </c>
      <c r="E1342" s="6"/>
      <c r="F1342" s="6"/>
    </row>
    <row r="1343" customFormat="false" ht="15" hidden="false" customHeight="false" outlineLevel="0" collapsed="false">
      <c r="A1343" s="5" t="s">
        <v>1540</v>
      </c>
      <c r="B1343" s="5" t="s">
        <v>333</v>
      </c>
      <c r="C1343" s="6" t="n">
        <v>6</v>
      </c>
      <c r="D1343" s="6" t="n">
        <v>12</v>
      </c>
      <c r="E1343" s="6"/>
      <c r="F1343" s="6"/>
    </row>
    <row r="1344" customFormat="false" ht="15" hidden="false" customHeight="false" outlineLevel="0" collapsed="false">
      <c r="A1344" s="5" t="s">
        <v>1541</v>
      </c>
      <c r="B1344" s="5" t="s">
        <v>333</v>
      </c>
      <c r="C1344" s="6" t="n">
        <v>16</v>
      </c>
      <c r="D1344" s="6" t="n">
        <v>8</v>
      </c>
      <c r="E1344" s="6"/>
      <c r="F1344" s="6"/>
    </row>
    <row r="1345" customFormat="false" ht="15" hidden="false" customHeight="false" outlineLevel="0" collapsed="false">
      <c r="A1345" s="5" t="s">
        <v>1542</v>
      </c>
      <c r="B1345" s="5" t="s">
        <v>333</v>
      </c>
      <c r="C1345" s="6" t="n">
        <v>16</v>
      </c>
      <c r="D1345" s="6" t="n">
        <v>0</v>
      </c>
      <c r="E1345" s="6"/>
      <c r="F1345" s="6"/>
    </row>
    <row r="1346" customFormat="false" ht="15" hidden="false" customHeight="false" outlineLevel="0" collapsed="false">
      <c r="A1346" s="5" t="s">
        <v>1543</v>
      </c>
      <c r="B1346" s="5" t="s">
        <v>333</v>
      </c>
      <c r="C1346" s="6" t="n">
        <v>6</v>
      </c>
      <c r="D1346" s="6" t="n">
        <v>4</v>
      </c>
      <c r="E1346" s="6"/>
      <c r="F1346" s="6"/>
    </row>
    <row r="1347" customFormat="false" ht="15" hidden="false" customHeight="false" outlineLevel="0" collapsed="false">
      <c r="A1347" s="5" t="s">
        <v>1544</v>
      </c>
      <c r="B1347" s="5" t="s">
        <v>333</v>
      </c>
      <c r="C1347" s="6" t="n">
        <v>14</v>
      </c>
      <c r="D1347" s="6" t="n">
        <v>8</v>
      </c>
      <c r="E1347" s="6"/>
      <c r="F1347" s="6"/>
    </row>
    <row r="1348" customFormat="false" ht="15" hidden="false" customHeight="false" outlineLevel="0" collapsed="false">
      <c r="A1348" s="5" t="s">
        <v>1545</v>
      </c>
      <c r="B1348" s="5" t="s">
        <v>333</v>
      </c>
      <c r="C1348" s="6" t="n">
        <v>12</v>
      </c>
      <c r="D1348" s="6"/>
      <c r="E1348" s="6" t="n">
        <v>4</v>
      </c>
      <c r="F1348" s="6"/>
    </row>
    <row r="1349" customFormat="false" ht="15" hidden="false" customHeight="false" outlineLevel="0" collapsed="false">
      <c r="A1349" s="5" t="s">
        <v>1546</v>
      </c>
      <c r="B1349" s="5" t="s">
        <v>341</v>
      </c>
      <c r="C1349" s="6" t="n">
        <v>13</v>
      </c>
      <c r="D1349" s="6" t="n">
        <v>0</v>
      </c>
      <c r="E1349" s="6"/>
      <c r="F1349" s="6"/>
    </row>
    <row r="1350" customFormat="false" ht="15" hidden="false" customHeight="false" outlineLevel="0" collapsed="false">
      <c r="A1350" s="5" t="s">
        <v>1547</v>
      </c>
      <c r="B1350" s="5" t="s">
        <v>341</v>
      </c>
      <c r="C1350" s="6" t="n">
        <v>16</v>
      </c>
      <c r="D1350" s="6" t="n">
        <v>10</v>
      </c>
      <c r="E1350" s="6"/>
      <c r="F1350" s="6"/>
    </row>
    <row r="1351" customFormat="false" ht="15" hidden="false" customHeight="false" outlineLevel="0" collapsed="false">
      <c r="A1351" s="5" t="s">
        <v>1548</v>
      </c>
      <c r="B1351" s="5" t="s">
        <v>341</v>
      </c>
      <c r="C1351" s="6" t="n">
        <v>12</v>
      </c>
      <c r="D1351" s="6" t="n">
        <v>40</v>
      </c>
      <c r="E1351" s="6"/>
      <c r="F1351" s="6"/>
    </row>
    <row r="1352" customFormat="false" ht="15" hidden="false" customHeight="false" outlineLevel="0" collapsed="false">
      <c r="A1352" s="5" t="s">
        <v>1549</v>
      </c>
      <c r="B1352" s="5" t="s">
        <v>341</v>
      </c>
      <c r="C1352" s="6" t="n">
        <v>12</v>
      </c>
      <c r="D1352" s="6" t="n">
        <v>0</v>
      </c>
      <c r="E1352" s="6"/>
      <c r="F1352" s="6"/>
    </row>
    <row r="1353" customFormat="false" ht="15" hidden="false" customHeight="false" outlineLevel="0" collapsed="false">
      <c r="A1353" s="5" t="s">
        <v>1550</v>
      </c>
      <c r="B1353" s="5" t="s">
        <v>341</v>
      </c>
      <c r="C1353" s="6" t="n">
        <v>12</v>
      </c>
      <c r="D1353" s="6" t="n">
        <v>0</v>
      </c>
      <c r="E1353" s="6"/>
      <c r="F1353" s="6"/>
    </row>
    <row r="1354" customFormat="false" ht="15" hidden="false" customHeight="false" outlineLevel="0" collapsed="false">
      <c r="A1354" s="5" t="s">
        <v>1551</v>
      </c>
      <c r="B1354" s="5" t="s">
        <v>341</v>
      </c>
      <c r="C1354" s="6" t="n">
        <v>13</v>
      </c>
      <c r="D1354" s="6" t="n">
        <v>3</v>
      </c>
      <c r="E1354" s="6"/>
      <c r="F1354" s="6"/>
    </row>
    <row r="1355" customFormat="false" ht="15" hidden="false" customHeight="false" outlineLevel="0" collapsed="false">
      <c r="A1355" s="5" t="s">
        <v>1552</v>
      </c>
      <c r="B1355" s="5" t="s">
        <v>341</v>
      </c>
      <c r="C1355" s="6" t="n">
        <v>12</v>
      </c>
      <c r="D1355" s="6" t="n">
        <v>6</v>
      </c>
      <c r="E1355" s="6"/>
      <c r="F1355" s="6"/>
    </row>
    <row r="1356" customFormat="false" ht="15" hidden="false" customHeight="false" outlineLevel="0" collapsed="false">
      <c r="A1356" s="5" t="s">
        <v>1553</v>
      </c>
      <c r="B1356" s="5" t="s">
        <v>341</v>
      </c>
      <c r="C1356" s="6" t="n">
        <v>12</v>
      </c>
      <c r="D1356" s="6" t="n">
        <v>0</v>
      </c>
      <c r="E1356" s="6"/>
      <c r="F1356" s="6"/>
    </row>
    <row r="1357" customFormat="false" ht="15" hidden="false" customHeight="false" outlineLevel="0" collapsed="false">
      <c r="A1357" s="5" t="s">
        <v>1554</v>
      </c>
      <c r="B1357" s="5" t="s">
        <v>341</v>
      </c>
      <c r="C1357" s="6" t="n">
        <v>16</v>
      </c>
      <c r="D1357" s="6" t="n">
        <v>0</v>
      </c>
      <c r="E1357" s="6"/>
      <c r="F1357" s="6"/>
    </row>
    <row r="1358" customFormat="false" ht="15" hidden="false" customHeight="false" outlineLevel="0" collapsed="false">
      <c r="A1358" s="5" t="s">
        <v>1555</v>
      </c>
      <c r="B1358" s="5" t="s">
        <v>85</v>
      </c>
      <c r="C1358" s="6" t="n">
        <v>18</v>
      </c>
      <c r="D1358" s="6" t="n">
        <v>0</v>
      </c>
      <c r="E1358" s="6"/>
      <c r="F1358" s="6"/>
    </row>
    <row r="1359" customFormat="false" ht="15" hidden="false" customHeight="false" outlineLevel="0" collapsed="false">
      <c r="A1359" s="5" t="s">
        <v>1556</v>
      </c>
      <c r="B1359" s="5" t="s">
        <v>344</v>
      </c>
      <c r="C1359" s="6" t="n">
        <v>5</v>
      </c>
      <c r="D1359" s="6" t="n">
        <v>5</v>
      </c>
      <c r="E1359" s="6"/>
      <c r="F1359" s="6"/>
    </row>
    <row r="1360" customFormat="false" ht="15" hidden="false" customHeight="false" outlineLevel="0" collapsed="false">
      <c r="A1360" s="5" t="s">
        <v>1557</v>
      </c>
      <c r="B1360" s="5" t="s">
        <v>344</v>
      </c>
      <c r="C1360" s="6" t="n">
        <v>8</v>
      </c>
      <c r="D1360" s="6" t="n">
        <v>0</v>
      </c>
      <c r="E1360" s="6"/>
      <c r="F1360" s="6"/>
    </row>
    <row r="1361" customFormat="false" ht="15" hidden="false" customHeight="false" outlineLevel="0" collapsed="false">
      <c r="A1361" s="5" t="s">
        <v>1558</v>
      </c>
      <c r="B1361" s="5" t="s">
        <v>344</v>
      </c>
      <c r="C1361" s="6" t="n">
        <v>8</v>
      </c>
      <c r="D1361" s="6" t="n">
        <v>0</v>
      </c>
      <c r="E1361" s="6"/>
      <c r="F1361" s="6"/>
    </row>
    <row r="1362" customFormat="false" ht="15" hidden="false" customHeight="false" outlineLevel="0" collapsed="false">
      <c r="A1362" s="5" t="s">
        <v>1559</v>
      </c>
      <c r="B1362" s="5" t="s">
        <v>344</v>
      </c>
      <c r="C1362" s="6" t="n">
        <v>10</v>
      </c>
      <c r="D1362" s="6" t="n">
        <v>6</v>
      </c>
      <c r="E1362" s="6"/>
      <c r="F1362" s="6"/>
    </row>
    <row r="1363" customFormat="false" ht="15" hidden="false" customHeight="false" outlineLevel="0" collapsed="false">
      <c r="A1363" s="5" t="s">
        <v>1560</v>
      </c>
      <c r="B1363" s="5" t="s">
        <v>344</v>
      </c>
      <c r="C1363" s="6" t="n">
        <v>9</v>
      </c>
      <c r="D1363" s="6" t="n">
        <v>11</v>
      </c>
      <c r="E1363" s="6"/>
      <c r="F1363" s="6"/>
    </row>
    <row r="1364" customFormat="false" ht="15" hidden="false" customHeight="false" outlineLevel="0" collapsed="false">
      <c r="A1364" s="5" t="s">
        <v>1561</v>
      </c>
      <c r="B1364" s="5" t="s">
        <v>344</v>
      </c>
      <c r="C1364" s="6" t="n">
        <v>12</v>
      </c>
      <c r="D1364" s="6" t="n">
        <v>2</v>
      </c>
      <c r="E1364" s="6"/>
      <c r="F1364" s="6"/>
    </row>
    <row r="1365" customFormat="false" ht="15" hidden="false" customHeight="false" outlineLevel="0" collapsed="false">
      <c r="A1365" s="5" t="s">
        <v>1562</v>
      </c>
      <c r="B1365" s="5" t="s">
        <v>344</v>
      </c>
      <c r="C1365" s="6" t="n">
        <v>18</v>
      </c>
      <c r="D1365" s="6" t="n">
        <v>0</v>
      </c>
      <c r="E1365" s="6"/>
      <c r="F1365" s="6"/>
    </row>
    <row r="1366" customFormat="false" ht="15" hidden="false" customHeight="false" outlineLevel="0" collapsed="false">
      <c r="A1366" s="5" t="s">
        <v>1563</v>
      </c>
      <c r="B1366" s="5" t="s">
        <v>344</v>
      </c>
      <c r="C1366" s="6" t="n">
        <v>12</v>
      </c>
      <c r="D1366" s="6" t="n">
        <v>12</v>
      </c>
      <c r="E1366" s="6"/>
      <c r="F1366" s="6"/>
    </row>
    <row r="1367" customFormat="false" ht="15" hidden="false" customHeight="false" outlineLevel="0" collapsed="false">
      <c r="A1367" s="5" t="s">
        <v>1564</v>
      </c>
      <c r="B1367" s="5" t="s">
        <v>87</v>
      </c>
      <c r="C1367" s="6" t="n">
        <v>6</v>
      </c>
      <c r="D1367" s="6" t="n">
        <v>0</v>
      </c>
      <c r="E1367" s="6"/>
      <c r="F1367" s="6"/>
    </row>
    <row r="1368" customFormat="false" ht="15" hidden="false" customHeight="false" outlineLevel="0" collapsed="false">
      <c r="A1368" s="5" t="s">
        <v>1565</v>
      </c>
      <c r="B1368" s="5" t="s">
        <v>87</v>
      </c>
      <c r="C1368" s="6" t="n">
        <v>12</v>
      </c>
      <c r="D1368" s="6" t="n">
        <v>0</v>
      </c>
      <c r="E1368" s="6"/>
      <c r="F1368" s="6"/>
    </row>
    <row r="1369" customFormat="false" ht="15" hidden="false" customHeight="false" outlineLevel="0" collapsed="false">
      <c r="A1369" s="5" t="s">
        <v>1566</v>
      </c>
      <c r="B1369" s="5" t="s">
        <v>87</v>
      </c>
      <c r="C1369" s="6" t="n">
        <v>12</v>
      </c>
      <c r="D1369" s="6" t="n">
        <v>0</v>
      </c>
      <c r="E1369" s="6"/>
      <c r="F1369" s="6"/>
    </row>
    <row r="1370" customFormat="false" ht="15" hidden="false" customHeight="false" outlineLevel="0" collapsed="false">
      <c r="A1370" s="5" t="s">
        <v>1567</v>
      </c>
      <c r="B1370" s="5" t="s">
        <v>87</v>
      </c>
      <c r="C1370" s="6" t="n">
        <v>12</v>
      </c>
      <c r="D1370" s="6"/>
      <c r="E1370" s="6" t="n">
        <v>12</v>
      </c>
      <c r="F1370" s="6"/>
    </row>
    <row r="1371" customFormat="false" ht="15" hidden="false" customHeight="false" outlineLevel="0" collapsed="false">
      <c r="A1371" s="5" t="s">
        <v>1568</v>
      </c>
      <c r="B1371" s="5" t="s">
        <v>87</v>
      </c>
      <c r="C1371" s="6" t="n">
        <v>4</v>
      </c>
      <c r="D1371" s="6" t="n">
        <v>2</v>
      </c>
      <c r="E1371" s="6"/>
      <c r="F1371" s="6"/>
    </row>
    <row r="1372" customFormat="false" ht="15" hidden="false" customHeight="false" outlineLevel="0" collapsed="false">
      <c r="A1372" s="5" t="s">
        <v>1569</v>
      </c>
      <c r="B1372" s="5" t="s">
        <v>87</v>
      </c>
      <c r="C1372" s="6" t="n">
        <v>6</v>
      </c>
      <c r="D1372" s="6" t="n">
        <v>6</v>
      </c>
      <c r="E1372" s="6"/>
      <c r="F1372" s="6"/>
    </row>
    <row r="1373" customFormat="false" ht="15" hidden="false" customHeight="false" outlineLevel="0" collapsed="false">
      <c r="A1373" s="5" t="s">
        <v>1570</v>
      </c>
      <c r="B1373" s="5" t="s">
        <v>87</v>
      </c>
      <c r="C1373" s="6" t="n">
        <v>13</v>
      </c>
      <c r="D1373" s="6" t="n">
        <v>0</v>
      </c>
      <c r="E1373" s="6"/>
      <c r="F1373" s="6"/>
    </row>
    <row r="1374" customFormat="false" ht="15" hidden="false" customHeight="false" outlineLevel="0" collapsed="false">
      <c r="A1374" s="5" t="s">
        <v>1571</v>
      </c>
      <c r="B1374" s="5" t="s">
        <v>87</v>
      </c>
      <c r="C1374" s="6" t="n">
        <v>12</v>
      </c>
      <c r="D1374" s="6" t="n">
        <v>0</v>
      </c>
      <c r="E1374" s="6"/>
      <c r="F1374" s="6"/>
    </row>
    <row r="1375" customFormat="false" ht="15" hidden="false" customHeight="false" outlineLevel="0" collapsed="false">
      <c r="A1375" s="5" t="s">
        <v>1572</v>
      </c>
      <c r="B1375" s="5" t="s">
        <v>87</v>
      </c>
      <c r="C1375" s="6" t="n">
        <v>12</v>
      </c>
      <c r="D1375" s="6" t="n">
        <v>4</v>
      </c>
      <c r="E1375" s="6"/>
      <c r="F1375" s="6"/>
    </row>
    <row r="1376" customFormat="false" ht="15" hidden="false" customHeight="false" outlineLevel="0" collapsed="false">
      <c r="A1376" s="5" t="s">
        <v>1573</v>
      </c>
      <c r="B1376" s="5" t="s">
        <v>87</v>
      </c>
      <c r="C1376" s="6" t="n">
        <v>25</v>
      </c>
      <c r="D1376" s="6" t="n">
        <v>0</v>
      </c>
      <c r="E1376" s="6"/>
      <c r="F1376" s="6"/>
    </row>
    <row r="1377" customFormat="false" ht="15" hidden="false" customHeight="false" outlineLevel="0" collapsed="false">
      <c r="A1377" s="5" t="s">
        <v>1574</v>
      </c>
      <c r="B1377" s="5" t="s">
        <v>87</v>
      </c>
      <c r="C1377" s="6" t="n">
        <v>12</v>
      </c>
      <c r="D1377" s="6" t="n">
        <v>0</v>
      </c>
      <c r="E1377" s="6"/>
      <c r="F1377" s="6"/>
    </row>
    <row r="1378" customFormat="false" ht="15" hidden="false" customHeight="false" outlineLevel="0" collapsed="false">
      <c r="A1378" s="5" t="s">
        <v>1575</v>
      </c>
      <c r="B1378" s="5" t="s">
        <v>87</v>
      </c>
      <c r="C1378" s="6" t="n">
        <v>15.5</v>
      </c>
      <c r="D1378" s="6" t="n">
        <v>0</v>
      </c>
      <c r="E1378" s="6"/>
      <c r="F1378" s="6"/>
    </row>
    <row r="1379" customFormat="false" ht="15" hidden="false" customHeight="false" outlineLevel="0" collapsed="false">
      <c r="A1379" s="5" t="s">
        <v>1576</v>
      </c>
      <c r="B1379" s="5" t="s">
        <v>87</v>
      </c>
      <c r="C1379" s="6" t="n">
        <v>12</v>
      </c>
      <c r="D1379" s="6" t="n">
        <v>0</v>
      </c>
      <c r="E1379" s="6"/>
      <c r="F1379" s="6"/>
    </row>
    <row r="1380" customFormat="false" ht="15" hidden="false" customHeight="false" outlineLevel="0" collapsed="false">
      <c r="A1380" s="5" t="s">
        <v>1577</v>
      </c>
      <c r="B1380" s="5" t="s">
        <v>87</v>
      </c>
      <c r="C1380" s="6" t="n">
        <v>6</v>
      </c>
      <c r="D1380" s="6" t="n">
        <v>6</v>
      </c>
      <c r="E1380" s="6"/>
      <c r="F1380" s="6"/>
    </row>
    <row r="1381" customFormat="false" ht="15" hidden="false" customHeight="false" outlineLevel="0" collapsed="false">
      <c r="A1381" s="5" t="s">
        <v>1578</v>
      </c>
      <c r="B1381" s="5" t="s">
        <v>87</v>
      </c>
      <c r="C1381" s="6" t="n">
        <v>12</v>
      </c>
      <c r="D1381" s="6" t="n">
        <v>0</v>
      </c>
      <c r="E1381" s="6"/>
      <c r="F1381" s="6"/>
    </row>
    <row r="1382" customFormat="false" ht="15" hidden="false" customHeight="false" outlineLevel="0" collapsed="false">
      <c r="A1382" s="5" t="s">
        <v>1579</v>
      </c>
      <c r="B1382" s="5" t="s">
        <v>87</v>
      </c>
      <c r="C1382" s="6" t="n">
        <v>52</v>
      </c>
      <c r="D1382" s="6" t="n">
        <v>52</v>
      </c>
      <c r="E1382" s="6"/>
      <c r="F1382" s="6"/>
    </row>
    <row r="1383" customFormat="false" ht="15" hidden="false" customHeight="false" outlineLevel="0" collapsed="false">
      <c r="A1383" s="5" t="s">
        <v>1580</v>
      </c>
      <c r="B1383" s="5" t="s">
        <v>87</v>
      </c>
      <c r="C1383" s="6" t="n">
        <v>12</v>
      </c>
      <c r="D1383" s="6" t="n">
        <v>0</v>
      </c>
      <c r="E1383" s="6"/>
      <c r="F1383" s="6"/>
    </row>
    <row r="1384" customFormat="false" ht="15" hidden="false" customHeight="false" outlineLevel="0" collapsed="false">
      <c r="A1384" s="5" t="s">
        <v>1581</v>
      </c>
      <c r="B1384" s="5" t="s">
        <v>87</v>
      </c>
      <c r="C1384" s="6" t="n">
        <v>12</v>
      </c>
      <c r="D1384" s="6" t="n">
        <v>0</v>
      </c>
      <c r="E1384" s="6"/>
      <c r="F1384" s="6"/>
    </row>
    <row r="1385" customFormat="false" ht="15" hidden="false" customHeight="false" outlineLevel="0" collapsed="false">
      <c r="A1385" s="5" t="s">
        <v>1582</v>
      </c>
      <c r="B1385" s="5" t="s">
        <v>87</v>
      </c>
      <c r="C1385" s="6" t="n">
        <v>6</v>
      </c>
      <c r="D1385" s="6" t="n">
        <v>12</v>
      </c>
      <c r="E1385" s="6"/>
      <c r="F1385" s="6"/>
    </row>
    <row r="1386" customFormat="false" ht="15" hidden="false" customHeight="false" outlineLevel="0" collapsed="false">
      <c r="A1386" s="5" t="s">
        <v>1583</v>
      </c>
      <c r="B1386" s="5" t="s">
        <v>87</v>
      </c>
      <c r="C1386" s="6" t="n">
        <v>18</v>
      </c>
      <c r="D1386" s="6" t="n">
        <v>23</v>
      </c>
      <c r="E1386" s="6"/>
      <c r="F1386" s="6"/>
    </row>
    <row r="1387" customFormat="false" ht="15" hidden="false" customHeight="false" outlineLevel="0" collapsed="false">
      <c r="A1387" s="5" t="s">
        <v>1584</v>
      </c>
      <c r="B1387" s="5" t="s">
        <v>87</v>
      </c>
      <c r="C1387" s="6" t="n">
        <v>8</v>
      </c>
      <c r="D1387" s="6" t="n">
        <v>0</v>
      </c>
      <c r="E1387" s="6"/>
      <c r="F1387" s="6"/>
    </row>
    <row r="1388" customFormat="false" ht="15" hidden="false" customHeight="false" outlineLevel="0" collapsed="false">
      <c r="A1388" s="5" t="s">
        <v>1585</v>
      </c>
      <c r="B1388" s="5" t="s">
        <v>87</v>
      </c>
      <c r="C1388" s="6" t="n">
        <v>12</v>
      </c>
      <c r="D1388" s="6" t="n">
        <v>0</v>
      </c>
      <c r="E1388" s="6"/>
      <c r="F1388" s="6"/>
    </row>
    <row r="1389" customFormat="false" ht="15" hidden="false" customHeight="false" outlineLevel="0" collapsed="false">
      <c r="A1389" s="5" t="s">
        <v>1586</v>
      </c>
      <c r="B1389" s="5" t="s">
        <v>87</v>
      </c>
      <c r="C1389" s="6" t="n">
        <v>14</v>
      </c>
      <c r="D1389" s="6" t="n">
        <v>1</v>
      </c>
      <c r="E1389" s="6"/>
      <c r="F1389" s="6"/>
    </row>
    <row r="1390" customFormat="false" ht="15" hidden="false" customHeight="false" outlineLevel="0" collapsed="false">
      <c r="A1390" s="5" t="s">
        <v>1587</v>
      </c>
      <c r="B1390" s="5" t="s">
        <v>87</v>
      </c>
      <c r="C1390" s="6" t="n">
        <v>18</v>
      </c>
      <c r="D1390" s="6" t="n">
        <v>6</v>
      </c>
      <c r="E1390" s="6"/>
      <c r="F1390" s="6"/>
    </row>
    <row r="1391" customFormat="false" ht="15" hidden="false" customHeight="false" outlineLevel="0" collapsed="false">
      <c r="A1391" s="5" t="s">
        <v>1588</v>
      </c>
      <c r="B1391" s="5" t="s">
        <v>87</v>
      </c>
      <c r="C1391" s="6" t="n">
        <v>6</v>
      </c>
      <c r="D1391" s="6" t="n">
        <v>0</v>
      </c>
      <c r="E1391" s="6"/>
      <c r="F1391" s="6"/>
    </row>
    <row r="1392" customFormat="false" ht="15" hidden="false" customHeight="false" outlineLevel="0" collapsed="false">
      <c r="A1392" s="5" t="s">
        <v>1589</v>
      </c>
      <c r="B1392" s="5" t="s">
        <v>87</v>
      </c>
      <c r="C1392" s="6" t="n">
        <v>12</v>
      </c>
      <c r="D1392" s="6" t="n">
        <v>0</v>
      </c>
      <c r="E1392" s="6"/>
      <c r="F1392" s="6"/>
    </row>
    <row r="1393" customFormat="false" ht="15" hidden="false" customHeight="false" outlineLevel="0" collapsed="false">
      <c r="A1393" s="5" t="s">
        <v>1590</v>
      </c>
      <c r="B1393" s="5" t="s">
        <v>87</v>
      </c>
      <c r="C1393" s="6" t="n">
        <v>6</v>
      </c>
      <c r="D1393" s="6" t="n">
        <v>6</v>
      </c>
      <c r="E1393" s="6"/>
      <c r="F1393" s="6"/>
    </row>
    <row r="1394" customFormat="false" ht="15" hidden="false" customHeight="false" outlineLevel="0" collapsed="false">
      <c r="A1394" s="5" t="s">
        <v>1591</v>
      </c>
      <c r="B1394" s="5" t="s">
        <v>87</v>
      </c>
      <c r="C1394" s="6" t="n">
        <v>21</v>
      </c>
      <c r="D1394" s="6" t="n">
        <v>6.5</v>
      </c>
      <c r="E1394" s="6"/>
      <c r="F1394" s="6"/>
    </row>
    <row r="1395" customFormat="false" ht="15" hidden="false" customHeight="false" outlineLevel="0" collapsed="false">
      <c r="A1395" s="5" t="s">
        <v>1592</v>
      </c>
      <c r="B1395" s="5" t="s">
        <v>87</v>
      </c>
      <c r="C1395" s="6" t="n">
        <v>6</v>
      </c>
      <c r="D1395" s="6" t="n">
        <v>12</v>
      </c>
      <c r="E1395" s="6"/>
      <c r="F1395" s="6"/>
    </row>
    <row r="1396" customFormat="false" ht="15" hidden="false" customHeight="false" outlineLevel="0" collapsed="false">
      <c r="A1396" s="5" t="s">
        <v>1593</v>
      </c>
      <c r="B1396" s="5" t="s">
        <v>87</v>
      </c>
      <c r="C1396" s="6" t="n">
        <v>12</v>
      </c>
      <c r="D1396" s="6" t="n">
        <v>12</v>
      </c>
      <c r="E1396" s="6"/>
      <c r="F1396" s="6"/>
    </row>
    <row r="1397" customFormat="false" ht="15" hidden="false" customHeight="false" outlineLevel="0" collapsed="false">
      <c r="A1397" s="5" t="s">
        <v>1594</v>
      </c>
      <c r="B1397" s="5" t="s">
        <v>87</v>
      </c>
      <c r="C1397" s="6" t="n">
        <v>6</v>
      </c>
      <c r="D1397" s="6" t="n">
        <v>6</v>
      </c>
      <c r="E1397" s="6"/>
      <c r="F1397" s="6"/>
    </row>
    <row r="1398" customFormat="false" ht="15" hidden="false" customHeight="false" outlineLevel="0" collapsed="false">
      <c r="A1398" s="5" t="s">
        <v>1595</v>
      </c>
      <c r="B1398" s="5" t="s">
        <v>87</v>
      </c>
      <c r="C1398" s="6" t="n">
        <v>12</v>
      </c>
      <c r="D1398" s="6" t="n">
        <v>16</v>
      </c>
      <c r="E1398" s="6"/>
      <c r="F1398" s="6"/>
    </row>
    <row r="1399" customFormat="false" ht="15" hidden="false" customHeight="false" outlineLevel="0" collapsed="false">
      <c r="A1399" s="5" t="s">
        <v>1596</v>
      </c>
      <c r="B1399" s="5" t="s">
        <v>87</v>
      </c>
      <c r="C1399" s="6" t="n">
        <v>3</v>
      </c>
      <c r="D1399" s="6" t="n">
        <v>9</v>
      </c>
      <c r="E1399" s="6"/>
      <c r="F1399" s="6"/>
    </row>
    <row r="1400" customFormat="false" ht="15" hidden="false" customHeight="false" outlineLevel="0" collapsed="false">
      <c r="A1400" s="5" t="s">
        <v>1597</v>
      </c>
      <c r="B1400" s="5" t="s">
        <v>87</v>
      </c>
      <c r="C1400" s="6" t="n">
        <v>7</v>
      </c>
      <c r="D1400" s="6" t="n">
        <v>3</v>
      </c>
      <c r="E1400" s="6"/>
      <c r="F1400" s="6"/>
    </row>
    <row r="1401" customFormat="false" ht="15" hidden="false" customHeight="false" outlineLevel="0" collapsed="false">
      <c r="A1401" s="5" t="s">
        <v>1598</v>
      </c>
      <c r="B1401" s="5" t="s">
        <v>87</v>
      </c>
      <c r="C1401" s="6" t="n">
        <v>1</v>
      </c>
      <c r="D1401" s="6" t="n">
        <v>4</v>
      </c>
      <c r="E1401" s="6"/>
      <c r="F1401" s="6"/>
    </row>
    <row r="1402" customFormat="false" ht="15" hidden="false" customHeight="false" outlineLevel="0" collapsed="false">
      <c r="A1402" s="5" t="s">
        <v>1599</v>
      </c>
      <c r="B1402" s="5" t="s">
        <v>87</v>
      </c>
      <c r="C1402" s="6" t="n">
        <v>18</v>
      </c>
      <c r="D1402" s="6" t="n">
        <v>0</v>
      </c>
      <c r="E1402" s="6"/>
      <c r="F1402" s="6"/>
    </row>
    <row r="1403" customFormat="false" ht="15" hidden="false" customHeight="false" outlineLevel="0" collapsed="false">
      <c r="A1403" s="5" t="s">
        <v>1600</v>
      </c>
      <c r="B1403" s="5" t="s">
        <v>87</v>
      </c>
      <c r="C1403" s="6" t="n">
        <v>12</v>
      </c>
      <c r="D1403" s="6" t="n">
        <v>0</v>
      </c>
      <c r="E1403" s="6"/>
      <c r="F1403" s="6"/>
    </row>
    <row r="1404" customFormat="false" ht="15" hidden="false" customHeight="false" outlineLevel="0" collapsed="false">
      <c r="A1404" s="5" t="s">
        <v>1601</v>
      </c>
      <c r="B1404" s="5" t="s">
        <v>87</v>
      </c>
      <c r="C1404" s="6" t="n">
        <v>5</v>
      </c>
      <c r="D1404" s="6" t="n">
        <v>8</v>
      </c>
      <c r="E1404" s="6"/>
      <c r="F1404" s="6"/>
    </row>
    <row r="1405" customFormat="false" ht="15" hidden="false" customHeight="false" outlineLevel="0" collapsed="false">
      <c r="A1405" s="5" t="s">
        <v>1602</v>
      </c>
      <c r="B1405" s="5" t="s">
        <v>87</v>
      </c>
      <c r="C1405" s="6" t="n">
        <v>12</v>
      </c>
      <c r="D1405" s="6" t="n">
        <v>0</v>
      </c>
      <c r="E1405" s="6"/>
      <c r="F1405" s="6"/>
    </row>
    <row r="1406" customFormat="false" ht="15" hidden="false" customHeight="false" outlineLevel="0" collapsed="false">
      <c r="A1406" s="5" t="s">
        <v>1603</v>
      </c>
      <c r="B1406" s="5" t="s">
        <v>87</v>
      </c>
      <c r="C1406" s="6" t="n">
        <v>10</v>
      </c>
      <c r="D1406" s="6" t="n">
        <v>10</v>
      </c>
      <c r="E1406" s="6"/>
      <c r="F1406" s="6"/>
    </row>
    <row r="1407" customFormat="false" ht="15" hidden="false" customHeight="false" outlineLevel="0" collapsed="false">
      <c r="A1407" s="5" t="s">
        <v>1604</v>
      </c>
      <c r="B1407" s="5" t="s">
        <v>87</v>
      </c>
      <c r="C1407" s="6" t="n">
        <v>52</v>
      </c>
      <c r="D1407" s="6" t="n">
        <v>52</v>
      </c>
      <c r="E1407" s="6"/>
      <c r="F1407" s="6"/>
    </row>
    <row r="1408" customFormat="false" ht="15" hidden="false" customHeight="false" outlineLevel="0" collapsed="false">
      <c r="A1408" s="5" t="s">
        <v>1605</v>
      </c>
      <c r="B1408" s="5" t="s">
        <v>87</v>
      </c>
      <c r="C1408" s="6" t="n">
        <v>8</v>
      </c>
      <c r="D1408" s="6" t="n">
        <v>0</v>
      </c>
      <c r="E1408" s="6"/>
      <c r="F1408" s="6"/>
    </row>
    <row r="1409" customFormat="false" ht="15" hidden="false" customHeight="false" outlineLevel="0" collapsed="false">
      <c r="A1409" s="5" t="s">
        <v>1606</v>
      </c>
      <c r="B1409" s="5" t="s">
        <v>87</v>
      </c>
      <c r="C1409" s="6" t="n">
        <v>8</v>
      </c>
      <c r="D1409" s="6" t="n">
        <v>0</v>
      </c>
      <c r="E1409" s="6"/>
      <c r="F1409" s="6"/>
    </row>
    <row r="1410" customFormat="false" ht="15" hidden="false" customHeight="false" outlineLevel="0" collapsed="false">
      <c r="A1410" s="5" t="s">
        <v>1607</v>
      </c>
      <c r="B1410" s="5" t="s">
        <v>87</v>
      </c>
      <c r="C1410" s="6" t="n">
        <v>2</v>
      </c>
      <c r="D1410" s="6" t="n">
        <v>2</v>
      </c>
      <c r="E1410" s="6"/>
      <c r="F1410" s="6"/>
    </row>
    <row r="1411" customFormat="false" ht="15" hidden="false" customHeight="false" outlineLevel="0" collapsed="false">
      <c r="A1411" s="5" t="s">
        <v>1608</v>
      </c>
      <c r="B1411" s="5" t="s">
        <v>87</v>
      </c>
      <c r="C1411" s="6" t="n">
        <v>6</v>
      </c>
      <c r="D1411" s="6" t="n">
        <v>0</v>
      </c>
      <c r="E1411" s="6"/>
      <c r="F1411" s="6"/>
    </row>
    <row r="1412" customFormat="false" ht="15" hidden="false" customHeight="false" outlineLevel="0" collapsed="false">
      <c r="A1412" s="5" t="s">
        <v>1609</v>
      </c>
      <c r="B1412" s="5" t="s">
        <v>87</v>
      </c>
      <c r="C1412" s="6" t="n">
        <v>24</v>
      </c>
      <c r="D1412" s="6" t="n">
        <v>0</v>
      </c>
      <c r="E1412" s="6"/>
      <c r="F1412" s="6"/>
    </row>
    <row r="1413" customFormat="false" ht="15" hidden="false" customHeight="false" outlineLevel="0" collapsed="false">
      <c r="A1413" s="5" t="s">
        <v>1610</v>
      </c>
      <c r="B1413" s="5" t="s">
        <v>87</v>
      </c>
      <c r="C1413" s="6" t="n">
        <v>6</v>
      </c>
      <c r="D1413" s="6" t="n">
        <v>3</v>
      </c>
      <c r="E1413" s="6"/>
      <c r="F1413" s="6"/>
    </row>
    <row r="1414" customFormat="false" ht="15" hidden="false" customHeight="false" outlineLevel="0" collapsed="false">
      <c r="A1414" s="5" t="s">
        <v>1611</v>
      </c>
      <c r="B1414" s="5" t="s">
        <v>87</v>
      </c>
      <c r="C1414" s="6" t="n">
        <v>8</v>
      </c>
      <c r="D1414" s="6" t="n">
        <v>8</v>
      </c>
      <c r="E1414" s="6"/>
      <c r="F1414" s="6"/>
    </row>
    <row r="1415" customFormat="false" ht="15" hidden="false" customHeight="false" outlineLevel="0" collapsed="false">
      <c r="A1415" s="5" t="s">
        <v>1612</v>
      </c>
      <c r="B1415" s="5" t="s">
        <v>87</v>
      </c>
      <c r="C1415" s="6" t="n">
        <v>32</v>
      </c>
      <c r="D1415" s="6" t="n">
        <v>0</v>
      </c>
      <c r="E1415" s="6"/>
      <c r="F1415" s="6"/>
    </row>
    <row r="1416" customFormat="false" ht="15" hidden="false" customHeight="false" outlineLevel="0" collapsed="false">
      <c r="A1416" s="5" t="s">
        <v>1613</v>
      </c>
      <c r="B1416" s="5" t="s">
        <v>87</v>
      </c>
      <c r="C1416" s="6" t="n">
        <v>8</v>
      </c>
      <c r="D1416" s="6" t="n">
        <v>2</v>
      </c>
      <c r="E1416" s="6"/>
      <c r="F1416" s="6"/>
    </row>
    <row r="1417" customFormat="false" ht="15" hidden="false" customHeight="false" outlineLevel="0" collapsed="false">
      <c r="A1417" s="5" t="s">
        <v>1614</v>
      </c>
      <c r="B1417" s="5" t="s">
        <v>87</v>
      </c>
      <c r="C1417" s="6" t="n">
        <v>9</v>
      </c>
      <c r="D1417" s="6" t="n">
        <v>3</v>
      </c>
      <c r="E1417" s="6"/>
      <c r="F1417" s="6"/>
    </row>
    <row r="1418" customFormat="false" ht="15" hidden="false" customHeight="false" outlineLevel="0" collapsed="false">
      <c r="A1418" s="5" t="s">
        <v>1615</v>
      </c>
      <c r="B1418" s="5" t="s">
        <v>87</v>
      </c>
      <c r="C1418" s="6" t="n">
        <v>12</v>
      </c>
      <c r="D1418" s="6" t="n">
        <v>0</v>
      </c>
      <c r="E1418" s="6"/>
      <c r="F1418" s="6"/>
    </row>
    <row r="1419" customFormat="false" ht="15" hidden="false" customHeight="false" outlineLevel="0" collapsed="false">
      <c r="A1419" s="5" t="s">
        <v>1616</v>
      </c>
      <c r="B1419" s="5" t="s">
        <v>87</v>
      </c>
      <c r="C1419" s="6" t="n">
        <v>16</v>
      </c>
      <c r="D1419" s="6" t="n">
        <v>0</v>
      </c>
      <c r="E1419" s="6"/>
      <c r="F1419" s="6"/>
    </row>
    <row r="1420" customFormat="false" ht="15" hidden="false" customHeight="false" outlineLevel="0" collapsed="false">
      <c r="A1420" s="5" t="s">
        <v>1617</v>
      </c>
      <c r="B1420" s="5" t="s">
        <v>87</v>
      </c>
      <c r="C1420" s="6" t="n">
        <v>16</v>
      </c>
      <c r="D1420" s="6" t="n">
        <v>0</v>
      </c>
      <c r="E1420" s="6"/>
      <c r="F1420" s="6"/>
    </row>
    <row r="1421" customFormat="false" ht="15" hidden="false" customHeight="false" outlineLevel="0" collapsed="false">
      <c r="A1421" s="5" t="s">
        <v>1618</v>
      </c>
      <c r="B1421" s="5" t="s">
        <v>87</v>
      </c>
      <c r="C1421" s="6" t="n">
        <v>12</v>
      </c>
      <c r="D1421" s="6" t="n">
        <v>0</v>
      </c>
      <c r="E1421" s="6"/>
      <c r="F1421" s="6"/>
    </row>
    <row r="1422" customFormat="false" ht="15" hidden="false" customHeight="false" outlineLevel="0" collapsed="false">
      <c r="A1422" s="5" t="s">
        <v>1619</v>
      </c>
      <c r="B1422" s="5" t="s">
        <v>87</v>
      </c>
      <c r="C1422" s="6" t="n">
        <v>12</v>
      </c>
      <c r="D1422" s="6" t="n">
        <v>0</v>
      </c>
      <c r="E1422" s="6"/>
      <c r="F1422" s="6"/>
    </row>
    <row r="1423" customFormat="false" ht="15" hidden="false" customHeight="false" outlineLevel="0" collapsed="false">
      <c r="A1423" s="5" t="s">
        <v>1620</v>
      </c>
      <c r="B1423" s="5" t="s">
        <v>87</v>
      </c>
      <c r="C1423" s="6" t="n">
        <v>16</v>
      </c>
      <c r="D1423" s="6" t="n">
        <v>8</v>
      </c>
      <c r="E1423" s="6"/>
      <c r="F1423" s="6"/>
    </row>
    <row r="1424" customFormat="false" ht="15" hidden="false" customHeight="false" outlineLevel="0" collapsed="false">
      <c r="A1424" s="5" t="s">
        <v>1621</v>
      </c>
      <c r="B1424" s="5" t="s">
        <v>87</v>
      </c>
      <c r="C1424" s="6" t="n">
        <v>6</v>
      </c>
      <c r="D1424" s="6" t="n">
        <v>0</v>
      </c>
      <c r="E1424" s="6"/>
      <c r="F1424" s="6"/>
    </row>
    <row r="1425" customFormat="false" ht="15" hidden="false" customHeight="false" outlineLevel="0" collapsed="false">
      <c r="A1425" s="5" t="s">
        <v>1622</v>
      </c>
      <c r="B1425" s="5" t="s">
        <v>87</v>
      </c>
      <c r="C1425" s="6" t="n">
        <v>14</v>
      </c>
      <c r="D1425" s="6" t="n">
        <v>30</v>
      </c>
      <c r="E1425" s="6"/>
      <c r="F1425" s="6"/>
    </row>
    <row r="1426" customFormat="false" ht="15" hidden="false" customHeight="false" outlineLevel="0" collapsed="false">
      <c r="A1426" s="5" t="s">
        <v>1623</v>
      </c>
      <c r="B1426" s="5" t="s">
        <v>87</v>
      </c>
      <c r="C1426" s="6" t="n">
        <v>16</v>
      </c>
      <c r="D1426" s="6" t="n">
        <v>0</v>
      </c>
      <c r="E1426" s="6"/>
      <c r="F1426" s="6"/>
    </row>
    <row r="1427" customFormat="false" ht="15" hidden="false" customHeight="false" outlineLevel="0" collapsed="false">
      <c r="A1427" s="5" t="s">
        <v>1624</v>
      </c>
      <c r="B1427" s="5" t="s">
        <v>87</v>
      </c>
      <c r="C1427" s="6" t="n">
        <v>16</v>
      </c>
      <c r="D1427" s="6" t="n">
        <v>0</v>
      </c>
      <c r="E1427" s="6"/>
      <c r="F1427" s="6"/>
    </row>
    <row r="1428" customFormat="false" ht="15" hidden="false" customHeight="false" outlineLevel="0" collapsed="false">
      <c r="A1428" s="5" t="s">
        <v>1625</v>
      </c>
      <c r="B1428" s="5" t="s">
        <v>87</v>
      </c>
      <c r="C1428" s="6" t="n">
        <v>12</v>
      </c>
      <c r="D1428" s="6" t="n">
        <v>0</v>
      </c>
      <c r="E1428" s="6"/>
      <c r="F1428" s="6"/>
    </row>
    <row r="1429" customFormat="false" ht="15" hidden="false" customHeight="false" outlineLevel="0" collapsed="false">
      <c r="A1429" s="5" t="s">
        <v>1626</v>
      </c>
      <c r="B1429" s="5" t="s">
        <v>87</v>
      </c>
      <c r="C1429" s="6" t="n">
        <v>3</v>
      </c>
      <c r="D1429" s="6" t="n">
        <v>9</v>
      </c>
      <c r="E1429" s="6"/>
      <c r="F1429" s="6"/>
    </row>
    <row r="1430" customFormat="false" ht="15" hidden="false" customHeight="false" outlineLevel="0" collapsed="false">
      <c r="A1430" s="5" t="s">
        <v>1627</v>
      </c>
      <c r="B1430" s="5" t="s">
        <v>87</v>
      </c>
      <c r="C1430" s="6" t="n">
        <v>6</v>
      </c>
      <c r="D1430" s="6" t="n">
        <v>46</v>
      </c>
      <c r="E1430" s="6"/>
      <c r="F1430" s="6"/>
    </row>
    <row r="1431" customFormat="false" ht="15" hidden="false" customHeight="false" outlineLevel="0" collapsed="false">
      <c r="A1431" s="5" t="s">
        <v>1628</v>
      </c>
      <c r="B1431" s="5" t="s">
        <v>87</v>
      </c>
      <c r="C1431" s="6" t="n">
        <v>14</v>
      </c>
      <c r="D1431" s="6" t="n">
        <v>0</v>
      </c>
      <c r="E1431" s="6"/>
      <c r="F1431" s="6"/>
    </row>
    <row r="1432" customFormat="false" ht="15" hidden="false" customHeight="false" outlineLevel="0" collapsed="false">
      <c r="A1432" s="5" t="s">
        <v>1629</v>
      </c>
      <c r="B1432" s="5" t="s">
        <v>87</v>
      </c>
      <c r="C1432" s="6" t="n">
        <v>12</v>
      </c>
      <c r="D1432" s="6" t="n">
        <v>8</v>
      </c>
      <c r="E1432" s="6"/>
      <c r="F1432" s="6"/>
    </row>
    <row r="1433" customFormat="false" ht="15" hidden="false" customHeight="false" outlineLevel="0" collapsed="false">
      <c r="A1433" s="5" t="s">
        <v>1630</v>
      </c>
      <c r="B1433" s="5" t="s">
        <v>87</v>
      </c>
      <c r="C1433" s="6" t="n">
        <v>52</v>
      </c>
      <c r="D1433" s="6" t="n">
        <v>0</v>
      </c>
      <c r="E1433" s="6"/>
      <c r="F1433" s="6"/>
    </row>
    <row r="1434" customFormat="false" ht="15" hidden="false" customHeight="false" outlineLevel="0" collapsed="false">
      <c r="A1434" s="5" t="s">
        <v>1631</v>
      </c>
      <c r="B1434" s="5" t="s">
        <v>87</v>
      </c>
      <c r="C1434" s="6" t="n">
        <v>4</v>
      </c>
      <c r="D1434" s="6" t="n">
        <v>0</v>
      </c>
      <c r="E1434" s="6"/>
      <c r="F1434" s="6"/>
    </row>
    <row r="1435" customFormat="false" ht="15" hidden="false" customHeight="false" outlineLevel="0" collapsed="false">
      <c r="A1435" s="5" t="s">
        <v>1632</v>
      </c>
      <c r="B1435" s="5" t="s">
        <v>87</v>
      </c>
      <c r="C1435" s="6" t="n">
        <v>1</v>
      </c>
      <c r="D1435" s="6" t="n">
        <v>12</v>
      </c>
      <c r="E1435" s="6"/>
      <c r="F1435" s="6"/>
    </row>
    <row r="1436" customFormat="false" ht="15" hidden="false" customHeight="false" outlineLevel="0" collapsed="false">
      <c r="A1436" s="5" t="s">
        <v>1633</v>
      </c>
      <c r="B1436" s="5" t="s">
        <v>87</v>
      </c>
      <c r="C1436" s="6" t="n">
        <v>12</v>
      </c>
      <c r="D1436" s="6" t="n">
        <v>3</v>
      </c>
      <c r="E1436" s="6"/>
      <c r="F1436" s="6"/>
    </row>
    <row r="1437" customFormat="false" ht="15" hidden="false" customHeight="false" outlineLevel="0" collapsed="false">
      <c r="A1437" s="5" t="s">
        <v>1634</v>
      </c>
      <c r="B1437" s="5" t="s">
        <v>87</v>
      </c>
      <c r="C1437" s="6" t="n">
        <v>6</v>
      </c>
      <c r="D1437" s="6" t="n">
        <v>6</v>
      </c>
      <c r="E1437" s="6"/>
      <c r="F1437" s="6"/>
    </row>
    <row r="1438" customFormat="false" ht="15" hidden="false" customHeight="false" outlineLevel="0" collapsed="false">
      <c r="A1438" s="5" t="s">
        <v>1635</v>
      </c>
      <c r="B1438" s="5" t="s">
        <v>87</v>
      </c>
      <c r="C1438" s="6" t="n">
        <v>8</v>
      </c>
      <c r="D1438" s="6" t="n">
        <v>4</v>
      </c>
      <c r="E1438" s="6"/>
      <c r="F1438" s="6"/>
    </row>
    <row r="1439" customFormat="false" ht="15" hidden="false" customHeight="false" outlineLevel="0" collapsed="false">
      <c r="A1439" s="5" t="s">
        <v>1636</v>
      </c>
      <c r="B1439" s="5" t="s">
        <v>87</v>
      </c>
      <c r="C1439" s="6" t="n">
        <v>8</v>
      </c>
      <c r="D1439" s="6" t="n">
        <v>4</v>
      </c>
      <c r="E1439" s="6"/>
      <c r="F1439" s="6"/>
    </row>
    <row r="1440" customFormat="false" ht="15" hidden="false" customHeight="false" outlineLevel="0" collapsed="false">
      <c r="A1440" s="5" t="s">
        <v>1637</v>
      </c>
      <c r="B1440" s="5" t="s">
        <v>87</v>
      </c>
      <c r="C1440" s="6" t="n">
        <v>2</v>
      </c>
      <c r="D1440" s="6" t="n">
        <v>10</v>
      </c>
      <c r="E1440" s="6"/>
      <c r="F1440" s="6"/>
    </row>
    <row r="1441" customFormat="false" ht="15" hidden="false" customHeight="false" outlineLevel="0" collapsed="false">
      <c r="A1441" s="5" t="s">
        <v>1638</v>
      </c>
      <c r="B1441" s="5" t="s">
        <v>87</v>
      </c>
      <c r="C1441" s="6" t="n">
        <v>16</v>
      </c>
      <c r="D1441" s="6" t="n">
        <v>0</v>
      </c>
      <c r="E1441" s="6"/>
      <c r="F1441" s="6"/>
    </row>
    <row r="1442" customFormat="false" ht="15" hidden="false" customHeight="false" outlineLevel="0" collapsed="false">
      <c r="A1442" s="5" t="s">
        <v>1639</v>
      </c>
      <c r="B1442" s="5" t="s">
        <v>87</v>
      </c>
      <c r="C1442" s="6" t="n">
        <v>10</v>
      </c>
      <c r="D1442" s="6" t="n">
        <v>2</v>
      </c>
      <c r="E1442" s="6"/>
      <c r="F1442" s="6"/>
    </row>
    <row r="1443" customFormat="false" ht="15" hidden="false" customHeight="false" outlineLevel="0" collapsed="false">
      <c r="A1443" s="5" t="s">
        <v>1640</v>
      </c>
      <c r="B1443" s="5" t="s">
        <v>87</v>
      </c>
      <c r="C1443" s="6" t="n">
        <v>12</v>
      </c>
      <c r="D1443" s="6" t="n">
        <v>0</v>
      </c>
      <c r="E1443" s="6"/>
      <c r="F1443" s="6"/>
    </row>
    <row r="1444" customFormat="false" ht="15" hidden="false" customHeight="false" outlineLevel="0" collapsed="false">
      <c r="A1444" s="5" t="s">
        <v>1641</v>
      </c>
      <c r="B1444" s="5" t="s">
        <v>87</v>
      </c>
      <c r="C1444" s="6" t="n">
        <v>12</v>
      </c>
      <c r="D1444" s="6" t="n">
        <v>2</v>
      </c>
      <c r="E1444" s="6"/>
      <c r="F1444" s="6"/>
    </row>
    <row r="1445" customFormat="false" ht="15" hidden="false" customHeight="false" outlineLevel="0" collapsed="false">
      <c r="A1445" s="5" t="s">
        <v>1642</v>
      </c>
      <c r="B1445" s="5" t="s">
        <v>87</v>
      </c>
      <c r="C1445" s="6" t="n">
        <v>12</v>
      </c>
      <c r="D1445" s="6" t="n">
        <v>3</v>
      </c>
      <c r="E1445" s="6"/>
      <c r="F1445" s="6"/>
    </row>
    <row r="1446" customFormat="false" ht="15" hidden="false" customHeight="false" outlineLevel="0" collapsed="false">
      <c r="A1446" s="5" t="s">
        <v>1643</v>
      </c>
      <c r="B1446" s="5" t="s">
        <v>87</v>
      </c>
      <c r="C1446" s="6" t="n">
        <v>17</v>
      </c>
      <c r="D1446" s="6" t="n">
        <v>6</v>
      </c>
      <c r="E1446" s="6"/>
      <c r="F1446" s="6"/>
    </row>
    <row r="1447" customFormat="false" ht="15" hidden="false" customHeight="false" outlineLevel="0" collapsed="false">
      <c r="A1447" s="5" t="s">
        <v>1644</v>
      </c>
      <c r="B1447" s="5" t="s">
        <v>87</v>
      </c>
      <c r="C1447" s="6" t="n">
        <v>12</v>
      </c>
      <c r="D1447" s="6" t="n">
        <v>16</v>
      </c>
      <c r="E1447" s="6"/>
      <c r="F1447" s="6"/>
    </row>
    <row r="1448" customFormat="false" ht="15" hidden="false" customHeight="false" outlineLevel="0" collapsed="false">
      <c r="A1448" s="5" t="s">
        <v>1645</v>
      </c>
      <c r="B1448" s="5" t="s">
        <v>87</v>
      </c>
      <c r="C1448" s="6" t="n">
        <v>4</v>
      </c>
      <c r="D1448" s="6" t="n">
        <v>8</v>
      </c>
      <c r="E1448" s="6"/>
      <c r="F1448" s="6"/>
    </row>
    <row r="1449" customFormat="false" ht="15" hidden="false" customHeight="false" outlineLevel="0" collapsed="false">
      <c r="A1449" s="5" t="s">
        <v>1646</v>
      </c>
      <c r="B1449" s="5" t="s">
        <v>87</v>
      </c>
      <c r="C1449" s="6" t="n">
        <v>20</v>
      </c>
      <c r="D1449" s="6" t="n">
        <v>0</v>
      </c>
      <c r="E1449" s="6"/>
      <c r="F1449" s="6"/>
    </row>
    <row r="1450" customFormat="false" ht="15" hidden="false" customHeight="false" outlineLevel="0" collapsed="false">
      <c r="A1450" s="5" t="s">
        <v>1647</v>
      </c>
      <c r="B1450" s="5" t="s">
        <v>87</v>
      </c>
      <c r="C1450" s="6" t="n">
        <v>16</v>
      </c>
      <c r="D1450" s="6" t="n">
        <v>0</v>
      </c>
      <c r="E1450" s="6"/>
      <c r="F1450" s="6"/>
    </row>
    <row r="1451" customFormat="false" ht="15" hidden="false" customHeight="false" outlineLevel="0" collapsed="false">
      <c r="A1451" s="5" t="s">
        <v>1648</v>
      </c>
      <c r="B1451" s="5" t="s">
        <v>87</v>
      </c>
      <c r="C1451" s="6" t="n">
        <v>6</v>
      </c>
      <c r="D1451" s="6" t="n">
        <v>0</v>
      </c>
      <c r="E1451" s="6"/>
      <c r="F1451" s="6"/>
    </row>
    <row r="1452" customFormat="false" ht="15" hidden="false" customHeight="false" outlineLevel="0" collapsed="false">
      <c r="A1452" s="5" t="s">
        <v>1649</v>
      </c>
      <c r="B1452" s="5" t="s">
        <v>87</v>
      </c>
      <c r="C1452" s="6" t="n">
        <v>16</v>
      </c>
      <c r="D1452" s="6" t="n">
        <v>47</v>
      </c>
      <c r="E1452" s="6"/>
      <c r="F1452" s="6"/>
    </row>
    <row r="1453" customFormat="false" ht="15" hidden="false" customHeight="false" outlineLevel="0" collapsed="false">
      <c r="A1453" s="5" t="s">
        <v>1650</v>
      </c>
      <c r="B1453" s="5" t="s">
        <v>87</v>
      </c>
      <c r="C1453" s="6" t="n">
        <v>12</v>
      </c>
      <c r="D1453" s="6" t="n">
        <v>6</v>
      </c>
      <c r="E1453" s="6"/>
      <c r="F1453" s="6"/>
    </row>
    <row r="1454" customFormat="false" ht="15" hidden="false" customHeight="false" outlineLevel="0" collapsed="false">
      <c r="A1454" s="5" t="s">
        <v>1651</v>
      </c>
      <c r="B1454" s="5" t="s">
        <v>87</v>
      </c>
      <c r="C1454" s="6" t="n">
        <v>6</v>
      </c>
      <c r="D1454" s="6" t="n">
        <v>6</v>
      </c>
      <c r="E1454" s="6"/>
      <c r="F1454" s="6"/>
    </row>
    <row r="1455" customFormat="false" ht="15" hidden="false" customHeight="false" outlineLevel="0" collapsed="false">
      <c r="A1455" s="5" t="s">
        <v>1652</v>
      </c>
      <c r="B1455" s="5" t="s">
        <v>87</v>
      </c>
      <c r="C1455" s="6" t="n">
        <v>2</v>
      </c>
      <c r="D1455" s="6" t="n">
        <v>12</v>
      </c>
      <c r="E1455" s="6"/>
      <c r="F1455" s="6"/>
    </row>
    <row r="1456" customFormat="false" ht="15" hidden="false" customHeight="false" outlineLevel="0" collapsed="false">
      <c r="A1456" s="5" t="s">
        <v>1653</v>
      </c>
      <c r="B1456" s="5" t="s">
        <v>87</v>
      </c>
      <c r="C1456" s="6" t="n">
        <v>17</v>
      </c>
      <c r="D1456" s="6" t="n">
        <v>0</v>
      </c>
      <c r="E1456" s="6"/>
      <c r="F1456" s="6"/>
    </row>
    <row r="1457" customFormat="false" ht="15" hidden="false" customHeight="false" outlineLevel="0" collapsed="false">
      <c r="A1457" s="5" t="s">
        <v>1654</v>
      </c>
      <c r="B1457" s="5" t="s">
        <v>87</v>
      </c>
      <c r="C1457" s="6" t="n">
        <v>12</v>
      </c>
      <c r="D1457" s="6" t="n">
        <v>8</v>
      </c>
      <c r="E1457" s="6"/>
      <c r="F1457" s="6"/>
    </row>
    <row r="1458" customFormat="false" ht="15" hidden="false" customHeight="false" outlineLevel="0" collapsed="false">
      <c r="A1458" s="5" t="s">
        <v>1655</v>
      </c>
      <c r="B1458" s="5" t="s">
        <v>87</v>
      </c>
      <c r="C1458" s="6" t="n">
        <v>30</v>
      </c>
      <c r="D1458" s="6" t="n">
        <v>38</v>
      </c>
      <c r="E1458" s="6"/>
      <c r="F1458" s="6"/>
    </row>
    <row r="1459" customFormat="false" ht="15" hidden="false" customHeight="false" outlineLevel="0" collapsed="false">
      <c r="A1459" s="5" t="s">
        <v>1656</v>
      </c>
      <c r="B1459" s="5" t="s">
        <v>87</v>
      </c>
      <c r="C1459" s="6" t="n">
        <v>20</v>
      </c>
      <c r="D1459" s="6" t="n">
        <v>40</v>
      </c>
      <c r="E1459" s="6"/>
      <c r="F1459" s="6"/>
    </row>
    <row r="1460" customFormat="false" ht="15" hidden="false" customHeight="false" outlineLevel="0" collapsed="false">
      <c r="A1460" s="5" t="s">
        <v>1657</v>
      </c>
      <c r="B1460" s="5" t="s">
        <v>87</v>
      </c>
      <c r="C1460" s="6" t="n">
        <v>2</v>
      </c>
      <c r="D1460" s="6" t="n">
        <v>0</v>
      </c>
      <c r="E1460" s="6"/>
      <c r="F1460" s="6"/>
    </row>
    <row r="1461" customFormat="false" ht="15" hidden="false" customHeight="false" outlineLevel="0" collapsed="false">
      <c r="A1461" s="5" t="s">
        <v>1658</v>
      </c>
      <c r="B1461" s="5" t="s">
        <v>87</v>
      </c>
      <c r="C1461" s="6" t="n">
        <v>12</v>
      </c>
      <c r="D1461" s="6" t="n">
        <v>4</v>
      </c>
      <c r="E1461" s="6"/>
      <c r="F1461" s="6"/>
    </row>
    <row r="1462" customFormat="false" ht="15" hidden="false" customHeight="false" outlineLevel="0" collapsed="false">
      <c r="A1462" s="5" t="s">
        <v>1659</v>
      </c>
      <c r="B1462" s="5" t="s">
        <v>87</v>
      </c>
      <c r="C1462" s="6" t="n">
        <v>14</v>
      </c>
      <c r="D1462" s="6" t="n">
        <v>8</v>
      </c>
      <c r="E1462" s="6"/>
      <c r="F1462" s="6"/>
    </row>
    <row r="1463" customFormat="false" ht="15" hidden="false" customHeight="false" outlineLevel="0" collapsed="false">
      <c r="A1463" s="5" t="s">
        <v>1660</v>
      </c>
      <c r="B1463" s="5" t="s">
        <v>87</v>
      </c>
      <c r="C1463" s="6" t="n">
        <v>7</v>
      </c>
      <c r="D1463" s="6" t="n">
        <v>5</v>
      </c>
      <c r="E1463" s="6"/>
      <c r="F1463" s="6"/>
    </row>
    <row r="1464" customFormat="false" ht="15" hidden="false" customHeight="false" outlineLevel="0" collapsed="false">
      <c r="A1464" s="5" t="s">
        <v>1661</v>
      </c>
      <c r="B1464" s="5" t="s">
        <v>87</v>
      </c>
      <c r="C1464" s="6" t="n">
        <v>6</v>
      </c>
      <c r="D1464" s="6" t="n">
        <v>4</v>
      </c>
      <c r="E1464" s="6"/>
      <c r="F1464" s="6"/>
    </row>
    <row r="1465" customFormat="false" ht="15" hidden="false" customHeight="false" outlineLevel="0" collapsed="false">
      <c r="A1465" s="5" t="s">
        <v>1662</v>
      </c>
      <c r="B1465" s="5" t="s">
        <v>87</v>
      </c>
      <c r="C1465" s="6" t="n">
        <v>12</v>
      </c>
      <c r="D1465" s="6" t="n">
        <v>0</v>
      </c>
      <c r="E1465" s="6"/>
      <c r="F1465" s="6"/>
    </row>
    <row r="1466" customFormat="false" ht="15" hidden="false" customHeight="false" outlineLevel="0" collapsed="false">
      <c r="A1466" s="5" t="s">
        <v>1663</v>
      </c>
      <c r="B1466" s="5" t="s">
        <v>87</v>
      </c>
      <c r="C1466" s="6" t="n">
        <v>8</v>
      </c>
      <c r="D1466" s="6" t="n">
        <v>4</v>
      </c>
      <c r="E1466" s="6"/>
      <c r="F1466" s="6"/>
    </row>
    <row r="1467" customFormat="false" ht="15" hidden="false" customHeight="false" outlineLevel="0" collapsed="false">
      <c r="A1467" s="5" t="s">
        <v>1664</v>
      </c>
      <c r="B1467" s="5" t="s">
        <v>87</v>
      </c>
      <c r="C1467" s="6" t="n">
        <v>12</v>
      </c>
      <c r="D1467" s="6" t="n">
        <v>0</v>
      </c>
      <c r="E1467" s="6"/>
      <c r="F1467" s="6"/>
    </row>
    <row r="1468" customFormat="false" ht="15" hidden="false" customHeight="false" outlineLevel="0" collapsed="false">
      <c r="A1468" s="5" t="s">
        <v>1665</v>
      </c>
      <c r="B1468" s="5" t="s">
        <v>87</v>
      </c>
      <c r="C1468" s="6" t="n">
        <v>2</v>
      </c>
      <c r="D1468" s="6" t="n">
        <v>2</v>
      </c>
      <c r="E1468" s="6"/>
      <c r="F1468" s="6"/>
    </row>
    <row r="1469" customFormat="false" ht="15" hidden="false" customHeight="false" outlineLevel="0" collapsed="false">
      <c r="A1469" s="5" t="s">
        <v>1666</v>
      </c>
      <c r="B1469" s="5" t="s">
        <v>87</v>
      </c>
      <c r="C1469" s="6" t="n">
        <v>20</v>
      </c>
      <c r="D1469" s="6" t="n">
        <v>13</v>
      </c>
      <c r="E1469" s="6"/>
      <c r="F1469" s="6"/>
    </row>
    <row r="1470" customFormat="false" ht="15" hidden="false" customHeight="false" outlineLevel="0" collapsed="false">
      <c r="A1470" s="5" t="s">
        <v>1667</v>
      </c>
      <c r="B1470" s="5" t="s">
        <v>87</v>
      </c>
      <c r="C1470" s="6" t="n">
        <v>16</v>
      </c>
      <c r="D1470" s="6" t="n">
        <v>0</v>
      </c>
      <c r="E1470" s="6"/>
      <c r="F1470" s="6"/>
    </row>
    <row r="1471" customFormat="false" ht="15" hidden="false" customHeight="false" outlineLevel="0" collapsed="false">
      <c r="A1471" s="5" t="s">
        <v>1668</v>
      </c>
      <c r="B1471" s="5" t="s">
        <v>87</v>
      </c>
      <c r="C1471" s="6" t="n">
        <v>6</v>
      </c>
      <c r="D1471" s="6" t="n">
        <v>12</v>
      </c>
      <c r="E1471" s="6"/>
      <c r="F1471" s="6"/>
    </row>
    <row r="1472" customFormat="false" ht="15" hidden="false" customHeight="false" outlineLevel="0" collapsed="false">
      <c r="A1472" s="5" t="s">
        <v>1669</v>
      </c>
      <c r="B1472" s="5" t="s">
        <v>87</v>
      </c>
      <c r="C1472" s="6" t="n">
        <v>52</v>
      </c>
      <c r="D1472" s="6" t="n">
        <v>0</v>
      </c>
      <c r="E1472" s="6"/>
      <c r="F1472" s="6"/>
    </row>
    <row r="1473" customFormat="false" ht="15" hidden="false" customHeight="false" outlineLevel="0" collapsed="false">
      <c r="A1473" s="5" t="s">
        <v>1670</v>
      </c>
      <c r="B1473" s="5" t="s">
        <v>87</v>
      </c>
      <c r="C1473" s="6" t="n">
        <v>0</v>
      </c>
      <c r="D1473" s="6" t="n">
        <v>0</v>
      </c>
      <c r="E1473" s="6"/>
      <c r="F1473" s="6"/>
    </row>
    <row r="1474" customFormat="false" ht="15" hidden="false" customHeight="false" outlineLevel="0" collapsed="false">
      <c r="A1474" s="5" t="s">
        <v>1671</v>
      </c>
      <c r="B1474" s="5" t="s">
        <v>87</v>
      </c>
      <c r="C1474" s="6" t="n">
        <v>14</v>
      </c>
      <c r="D1474" s="6" t="n">
        <v>0</v>
      </c>
      <c r="E1474" s="6"/>
      <c r="F1474" s="6"/>
    </row>
    <row r="1475" customFormat="false" ht="15" hidden="false" customHeight="false" outlineLevel="0" collapsed="false">
      <c r="A1475" s="5" t="s">
        <v>1672</v>
      </c>
      <c r="B1475" s="5" t="s">
        <v>87</v>
      </c>
      <c r="C1475" s="6" t="n">
        <v>15</v>
      </c>
      <c r="D1475" s="6" t="n">
        <v>0</v>
      </c>
      <c r="E1475" s="6"/>
      <c r="F1475" s="6"/>
    </row>
    <row r="1476" customFormat="false" ht="15" hidden="false" customHeight="false" outlineLevel="0" collapsed="false">
      <c r="A1476" s="5" t="s">
        <v>1673</v>
      </c>
      <c r="B1476" s="5" t="s">
        <v>87</v>
      </c>
      <c r="C1476" s="6" t="n">
        <v>12</v>
      </c>
      <c r="D1476" s="6" t="n">
        <v>0</v>
      </c>
      <c r="E1476" s="6"/>
      <c r="F1476" s="6"/>
    </row>
    <row r="1477" customFormat="false" ht="15" hidden="false" customHeight="false" outlineLevel="0" collapsed="false">
      <c r="A1477" s="5" t="s">
        <v>1674</v>
      </c>
      <c r="B1477" s="5" t="s">
        <v>87</v>
      </c>
      <c r="C1477" s="6" t="n">
        <v>12</v>
      </c>
      <c r="D1477" s="6" t="n">
        <v>3</v>
      </c>
      <c r="E1477" s="6"/>
      <c r="F1477" s="6"/>
    </row>
    <row r="1478" customFormat="false" ht="15" hidden="false" customHeight="false" outlineLevel="0" collapsed="false">
      <c r="A1478" s="5" t="s">
        <v>1675</v>
      </c>
      <c r="B1478" s="5" t="s">
        <v>87</v>
      </c>
      <c r="C1478" s="6" t="n">
        <v>8</v>
      </c>
      <c r="D1478" s="6" t="n">
        <v>4</v>
      </c>
      <c r="E1478" s="6"/>
      <c r="F1478" s="6"/>
    </row>
    <row r="1479" customFormat="false" ht="15" hidden="false" customHeight="false" outlineLevel="0" collapsed="false">
      <c r="A1479" s="5" t="s">
        <v>1676</v>
      </c>
      <c r="B1479" s="5" t="s">
        <v>87</v>
      </c>
      <c r="C1479" s="6" t="n">
        <v>6</v>
      </c>
      <c r="D1479" s="6" t="n">
        <v>12</v>
      </c>
      <c r="E1479" s="6"/>
      <c r="F1479" s="6"/>
    </row>
    <row r="1480" customFormat="false" ht="15" hidden="false" customHeight="false" outlineLevel="0" collapsed="false">
      <c r="A1480" s="5" t="s">
        <v>1677</v>
      </c>
      <c r="B1480" s="5" t="s">
        <v>87</v>
      </c>
      <c r="C1480" s="6" t="n">
        <v>12</v>
      </c>
      <c r="D1480" s="6" t="n">
        <v>11</v>
      </c>
      <c r="E1480" s="6"/>
      <c r="F1480" s="6"/>
    </row>
    <row r="1481" customFormat="false" ht="15" hidden="false" customHeight="false" outlineLevel="0" collapsed="false">
      <c r="A1481" s="5" t="s">
        <v>1678</v>
      </c>
      <c r="B1481" s="5" t="s">
        <v>87</v>
      </c>
      <c r="C1481" s="6" t="n">
        <v>6</v>
      </c>
      <c r="D1481" s="6" t="n">
        <v>11</v>
      </c>
      <c r="E1481" s="6"/>
      <c r="F1481" s="6"/>
    </row>
    <row r="1482" customFormat="false" ht="15" hidden="false" customHeight="false" outlineLevel="0" collapsed="false">
      <c r="A1482" s="5" t="s">
        <v>1679</v>
      </c>
      <c r="B1482" s="5" t="s">
        <v>87</v>
      </c>
      <c r="C1482" s="6" t="n">
        <v>3</v>
      </c>
      <c r="D1482" s="6" t="n">
        <v>3</v>
      </c>
      <c r="E1482" s="6"/>
      <c r="F1482" s="6"/>
    </row>
    <row r="1483" customFormat="false" ht="15" hidden="false" customHeight="false" outlineLevel="0" collapsed="false">
      <c r="A1483" s="5" t="s">
        <v>1680</v>
      </c>
      <c r="B1483" s="5" t="s">
        <v>87</v>
      </c>
      <c r="C1483" s="6" t="n">
        <v>16</v>
      </c>
      <c r="D1483" s="6" t="n">
        <v>0</v>
      </c>
      <c r="E1483" s="6"/>
      <c r="F1483" s="6"/>
    </row>
    <row r="1484" customFormat="false" ht="15" hidden="false" customHeight="false" outlineLevel="0" collapsed="false">
      <c r="A1484" s="5" t="s">
        <v>1681</v>
      </c>
      <c r="B1484" s="5" t="s">
        <v>87</v>
      </c>
      <c r="C1484" s="6" t="n">
        <v>16</v>
      </c>
      <c r="D1484" s="6" t="n">
        <v>0</v>
      </c>
      <c r="E1484" s="6"/>
      <c r="F1484" s="6"/>
    </row>
    <row r="1485" customFormat="false" ht="15" hidden="false" customHeight="false" outlineLevel="0" collapsed="false">
      <c r="A1485" s="5" t="s">
        <v>1682</v>
      </c>
      <c r="B1485" s="5" t="s">
        <v>87</v>
      </c>
      <c r="C1485" s="6" t="n">
        <v>12</v>
      </c>
      <c r="D1485" s="6" t="n">
        <v>0</v>
      </c>
      <c r="E1485" s="6"/>
      <c r="F1485" s="6"/>
    </row>
    <row r="1486" customFormat="false" ht="15" hidden="false" customHeight="false" outlineLevel="0" collapsed="false">
      <c r="A1486" s="5" t="s">
        <v>1683</v>
      </c>
      <c r="B1486" s="5" t="s">
        <v>87</v>
      </c>
      <c r="C1486" s="6" t="n">
        <v>12</v>
      </c>
      <c r="D1486" s="6" t="n">
        <v>0</v>
      </c>
      <c r="E1486" s="6"/>
      <c r="F1486" s="6"/>
    </row>
    <row r="1487" customFormat="false" ht="15" hidden="false" customHeight="false" outlineLevel="0" collapsed="false">
      <c r="A1487" s="5" t="s">
        <v>1684</v>
      </c>
      <c r="B1487" s="5" t="s">
        <v>87</v>
      </c>
      <c r="C1487" s="6" t="n">
        <v>26</v>
      </c>
      <c r="D1487" s="6" t="n">
        <v>0</v>
      </c>
      <c r="E1487" s="6"/>
      <c r="F1487" s="6"/>
    </row>
    <row r="1488" customFormat="false" ht="15" hidden="false" customHeight="false" outlineLevel="0" collapsed="false">
      <c r="A1488" s="5" t="s">
        <v>1685</v>
      </c>
      <c r="B1488" s="5" t="s">
        <v>87</v>
      </c>
      <c r="C1488" s="6" t="n">
        <v>16</v>
      </c>
      <c r="D1488" s="6"/>
      <c r="E1488" s="6" t="n">
        <v>8</v>
      </c>
      <c r="F1488" s="6"/>
    </row>
    <row r="1489" customFormat="false" ht="15" hidden="false" customHeight="false" outlineLevel="0" collapsed="false">
      <c r="A1489" s="5" t="s">
        <v>1686</v>
      </c>
      <c r="B1489" s="5" t="s">
        <v>87</v>
      </c>
      <c r="C1489" s="6" t="n">
        <v>14</v>
      </c>
      <c r="D1489" s="6" t="n">
        <v>10</v>
      </c>
      <c r="E1489" s="6"/>
      <c r="F1489" s="6"/>
    </row>
    <row r="1490" customFormat="false" ht="15" hidden="false" customHeight="false" outlineLevel="0" collapsed="false">
      <c r="A1490" s="5" t="s">
        <v>1687</v>
      </c>
      <c r="B1490" s="5" t="s">
        <v>87</v>
      </c>
      <c r="C1490" s="6" t="n">
        <v>12</v>
      </c>
      <c r="D1490" s="6" t="n">
        <v>0</v>
      </c>
      <c r="E1490" s="6"/>
      <c r="F1490" s="6"/>
    </row>
    <row r="1491" customFormat="false" ht="15" hidden="false" customHeight="false" outlineLevel="0" collapsed="false">
      <c r="A1491" s="5" t="s">
        <v>1688</v>
      </c>
      <c r="B1491" s="5" t="s">
        <v>87</v>
      </c>
      <c r="C1491" s="6" t="n">
        <v>12</v>
      </c>
      <c r="D1491" s="6" t="n">
        <v>12</v>
      </c>
      <c r="E1491" s="6"/>
      <c r="F1491" s="6"/>
    </row>
    <row r="1492" customFormat="false" ht="15" hidden="false" customHeight="false" outlineLevel="0" collapsed="false">
      <c r="A1492" s="5" t="s">
        <v>1689</v>
      </c>
      <c r="B1492" s="5" t="s">
        <v>87</v>
      </c>
      <c r="C1492" s="6" t="n">
        <v>18</v>
      </c>
      <c r="D1492" s="6" t="n">
        <v>0</v>
      </c>
      <c r="E1492" s="6"/>
      <c r="F1492" s="6"/>
    </row>
    <row r="1493" customFormat="false" ht="15" hidden="false" customHeight="false" outlineLevel="0" collapsed="false">
      <c r="A1493" s="5" t="s">
        <v>1690</v>
      </c>
      <c r="B1493" s="5" t="s">
        <v>87</v>
      </c>
      <c r="C1493" s="6" t="n">
        <v>12</v>
      </c>
      <c r="D1493" s="6" t="n">
        <v>12</v>
      </c>
      <c r="E1493" s="6"/>
      <c r="F1493" s="6"/>
    </row>
    <row r="1494" customFormat="false" ht="15" hidden="false" customHeight="false" outlineLevel="0" collapsed="false">
      <c r="A1494" s="5" t="s">
        <v>1691</v>
      </c>
      <c r="B1494" s="5" t="s">
        <v>87</v>
      </c>
      <c r="C1494" s="6" t="n">
        <v>12</v>
      </c>
      <c r="D1494" s="6" t="n">
        <v>0</v>
      </c>
      <c r="E1494" s="6"/>
      <c r="F1494" s="6"/>
    </row>
    <row r="1495" customFormat="false" ht="15" hidden="false" customHeight="false" outlineLevel="0" collapsed="false">
      <c r="A1495" s="5" t="s">
        <v>1692</v>
      </c>
      <c r="B1495" s="5" t="s">
        <v>87</v>
      </c>
      <c r="C1495" s="6" t="n">
        <v>52</v>
      </c>
      <c r="D1495" s="6" t="n">
        <v>0</v>
      </c>
      <c r="E1495" s="6"/>
      <c r="F1495" s="6"/>
    </row>
    <row r="1496" customFormat="false" ht="15" hidden="false" customHeight="false" outlineLevel="0" collapsed="false">
      <c r="A1496" s="5" t="s">
        <v>1693</v>
      </c>
      <c r="B1496" s="5" t="s">
        <v>87</v>
      </c>
      <c r="C1496" s="6" t="n">
        <v>8</v>
      </c>
      <c r="D1496" s="6" t="n">
        <v>8</v>
      </c>
      <c r="E1496" s="6"/>
      <c r="F1496" s="6"/>
    </row>
    <row r="1497" customFormat="false" ht="15" hidden="false" customHeight="false" outlineLevel="0" collapsed="false">
      <c r="A1497" s="5" t="s">
        <v>1694</v>
      </c>
      <c r="B1497" s="5" t="s">
        <v>87</v>
      </c>
      <c r="C1497" s="6" t="n">
        <v>6</v>
      </c>
      <c r="D1497" s="6" t="n">
        <v>6</v>
      </c>
      <c r="E1497" s="6"/>
      <c r="F1497" s="6"/>
    </row>
    <row r="1498" customFormat="false" ht="15" hidden="false" customHeight="false" outlineLevel="0" collapsed="false">
      <c r="A1498" s="5" t="s">
        <v>1695</v>
      </c>
      <c r="B1498" s="5" t="s">
        <v>87</v>
      </c>
      <c r="C1498" s="6" t="n">
        <v>12</v>
      </c>
      <c r="D1498" s="6" t="n">
        <v>0</v>
      </c>
      <c r="E1498" s="6"/>
      <c r="F1498" s="6"/>
    </row>
    <row r="1499" customFormat="false" ht="15" hidden="false" customHeight="false" outlineLevel="0" collapsed="false">
      <c r="A1499" s="5" t="s">
        <v>1696</v>
      </c>
      <c r="B1499" s="5" t="s">
        <v>87</v>
      </c>
      <c r="C1499" s="6" t="n">
        <v>14</v>
      </c>
      <c r="D1499" s="6" t="n">
        <v>0</v>
      </c>
      <c r="E1499" s="6"/>
      <c r="F1499" s="6"/>
    </row>
    <row r="1500" customFormat="false" ht="15" hidden="false" customHeight="false" outlineLevel="0" collapsed="false">
      <c r="A1500" s="5" t="s">
        <v>1697</v>
      </c>
      <c r="B1500" s="5" t="s">
        <v>94</v>
      </c>
      <c r="C1500" s="6" t="n">
        <v>8</v>
      </c>
      <c r="D1500" s="6" t="n">
        <v>12</v>
      </c>
      <c r="E1500" s="6"/>
      <c r="F1500" s="6"/>
    </row>
    <row r="1501" customFormat="false" ht="15" hidden="false" customHeight="false" outlineLevel="0" collapsed="false">
      <c r="A1501" s="5" t="s">
        <v>1698</v>
      </c>
      <c r="B1501" s="5" t="s">
        <v>94</v>
      </c>
      <c r="C1501" s="6" t="n">
        <v>12</v>
      </c>
      <c r="D1501" s="6" t="n">
        <v>8</v>
      </c>
      <c r="E1501" s="6"/>
      <c r="F1501" s="6"/>
    </row>
    <row r="1502" customFormat="false" ht="15" hidden="false" customHeight="false" outlineLevel="0" collapsed="false">
      <c r="A1502" s="5" t="s">
        <v>1699</v>
      </c>
      <c r="B1502" s="5" t="s">
        <v>94</v>
      </c>
      <c r="C1502" s="6" t="n">
        <v>9</v>
      </c>
      <c r="D1502" s="6" t="n">
        <v>6</v>
      </c>
      <c r="E1502" s="6"/>
      <c r="F1502" s="6"/>
    </row>
    <row r="1503" customFormat="false" ht="15" hidden="false" customHeight="false" outlineLevel="0" collapsed="false">
      <c r="A1503" s="5" t="s">
        <v>1700</v>
      </c>
      <c r="B1503" s="5" t="s">
        <v>94</v>
      </c>
      <c r="C1503" s="6" t="n">
        <v>18</v>
      </c>
      <c r="D1503" s="6" t="n">
        <v>0</v>
      </c>
      <c r="E1503" s="6"/>
      <c r="F1503" s="6"/>
    </row>
    <row r="1504" customFormat="false" ht="15" hidden="false" customHeight="false" outlineLevel="0" collapsed="false">
      <c r="A1504" s="5" t="s">
        <v>1701</v>
      </c>
      <c r="B1504" s="5" t="s">
        <v>94</v>
      </c>
      <c r="C1504" s="6" t="n">
        <v>12</v>
      </c>
      <c r="D1504" s="6" t="n">
        <v>4</v>
      </c>
      <c r="E1504" s="6"/>
      <c r="F1504" s="6"/>
    </row>
    <row r="1505" customFormat="false" ht="15" hidden="false" customHeight="false" outlineLevel="0" collapsed="false">
      <c r="A1505" s="5" t="s">
        <v>1702</v>
      </c>
      <c r="B1505" s="5" t="s">
        <v>94</v>
      </c>
      <c r="C1505" s="6" t="n">
        <v>8</v>
      </c>
      <c r="D1505" s="6" t="n">
        <v>8</v>
      </c>
      <c r="E1505" s="6"/>
      <c r="F1505" s="6"/>
    </row>
    <row r="1506" customFormat="false" ht="15" hidden="false" customHeight="false" outlineLevel="0" collapsed="false">
      <c r="A1506" s="5" t="s">
        <v>1703</v>
      </c>
      <c r="B1506" s="5" t="s">
        <v>94</v>
      </c>
      <c r="C1506" s="6" t="n">
        <v>13</v>
      </c>
      <c r="D1506" s="6" t="n">
        <v>2</v>
      </c>
      <c r="E1506" s="6"/>
      <c r="F1506" s="6"/>
    </row>
    <row r="1507" customFormat="false" ht="15" hidden="false" customHeight="false" outlineLevel="0" collapsed="false">
      <c r="A1507" s="5" t="s">
        <v>1704</v>
      </c>
      <c r="B1507" s="5" t="s">
        <v>94</v>
      </c>
      <c r="C1507" s="6" t="n">
        <v>16</v>
      </c>
      <c r="D1507" s="6" t="n">
        <v>0</v>
      </c>
      <c r="E1507" s="6"/>
      <c r="F1507" s="6"/>
    </row>
    <row r="1508" customFormat="false" ht="15" hidden="false" customHeight="false" outlineLevel="0" collapsed="false">
      <c r="A1508" s="5" t="s">
        <v>1705</v>
      </c>
      <c r="B1508" s="5" t="s">
        <v>94</v>
      </c>
      <c r="C1508" s="6" t="n">
        <v>12</v>
      </c>
      <c r="D1508" s="6" t="n">
        <v>12</v>
      </c>
      <c r="E1508" s="6"/>
      <c r="F1508" s="6"/>
    </row>
    <row r="1509" customFormat="false" ht="15" hidden="false" customHeight="false" outlineLevel="0" collapsed="false">
      <c r="A1509" s="5" t="s">
        <v>1706</v>
      </c>
      <c r="B1509" s="5" t="s">
        <v>94</v>
      </c>
      <c r="C1509" s="6" t="n">
        <v>12</v>
      </c>
      <c r="D1509" s="6" t="n">
        <v>4</v>
      </c>
      <c r="E1509" s="6"/>
      <c r="F1509" s="6"/>
    </row>
    <row r="1510" customFormat="false" ht="15" hidden="false" customHeight="false" outlineLevel="0" collapsed="false">
      <c r="A1510" s="5" t="s">
        <v>1707</v>
      </c>
      <c r="B1510" s="5" t="s">
        <v>94</v>
      </c>
      <c r="C1510" s="6" t="n">
        <v>12</v>
      </c>
      <c r="D1510" s="6" t="n">
        <v>8</v>
      </c>
      <c r="E1510" s="6"/>
      <c r="F1510" s="6"/>
    </row>
    <row r="1511" customFormat="false" ht="15" hidden="false" customHeight="false" outlineLevel="0" collapsed="false">
      <c r="A1511" s="5" t="s">
        <v>1708</v>
      </c>
      <c r="B1511" s="5" t="s">
        <v>94</v>
      </c>
      <c r="C1511" s="6" t="n">
        <v>24</v>
      </c>
      <c r="D1511" s="6" t="n">
        <v>52</v>
      </c>
      <c r="E1511" s="6"/>
      <c r="F1511" s="6"/>
    </row>
    <row r="1512" customFormat="false" ht="15" hidden="false" customHeight="false" outlineLevel="0" collapsed="false">
      <c r="A1512" s="5" t="s">
        <v>1709</v>
      </c>
      <c r="B1512" s="5" t="s">
        <v>1710</v>
      </c>
      <c r="C1512" s="6" t="n">
        <v>6</v>
      </c>
      <c r="D1512" s="6" t="n">
        <v>4</v>
      </c>
      <c r="E1512" s="6"/>
      <c r="F1512" s="6"/>
    </row>
    <row r="1513" customFormat="false" ht="15" hidden="false" customHeight="false" outlineLevel="0" collapsed="false">
      <c r="A1513" s="5" t="s">
        <v>1711</v>
      </c>
      <c r="B1513" s="5" t="s">
        <v>1712</v>
      </c>
      <c r="C1513" s="6" t="n">
        <v>52</v>
      </c>
      <c r="D1513" s="6" t="n">
        <v>0</v>
      </c>
      <c r="E1513" s="6"/>
      <c r="F1513" s="6"/>
    </row>
    <row r="1514" customFormat="false" ht="15" hidden="false" customHeight="false" outlineLevel="0" collapsed="false">
      <c r="A1514" s="5" t="s">
        <v>1713</v>
      </c>
      <c r="B1514" s="5" t="s">
        <v>371</v>
      </c>
      <c r="C1514" s="6" t="n">
        <v>3</v>
      </c>
      <c r="D1514" s="6" t="n">
        <v>8</v>
      </c>
      <c r="E1514" s="6"/>
      <c r="F1514" s="6"/>
    </row>
    <row r="1515" customFormat="false" ht="15" hidden="false" customHeight="false" outlineLevel="0" collapsed="false">
      <c r="A1515" s="5" t="s">
        <v>1714</v>
      </c>
      <c r="B1515" s="5" t="s">
        <v>374</v>
      </c>
      <c r="C1515" s="6" t="n">
        <v>16</v>
      </c>
      <c r="D1515" s="6" t="n">
        <v>52</v>
      </c>
      <c r="E1515" s="6"/>
      <c r="F1515" s="6"/>
    </row>
    <row r="1516" customFormat="false" ht="15" hidden="false" customHeight="false" outlineLevel="0" collapsed="false">
      <c r="A1516" s="5" t="s">
        <v>1715</v>
      </c>
      <c r="B1516" s="5" t="s">
        <v>374</v>
      </c>
      <c r="C1516" s="6" t="n">
        <v>6</v>
      </c>
      <c r="D1516" s="6" t="n">
        <v>6</v>
      </c>
      <c r="E1516" s="6"/>
      <c r="F1516" s="6"/>
    </row>
    <row r="1517" customFormat="false" ht="15" hidden="false" customHeight="false" outlineLevel="0" collapsed="false">
      <c r="A1517" s="5" t="s">
        <v>1716</v>
      </c>
      <c r="B1517" s="5" t="s">
        <v>374</v>
      </c>
      <c r="C1517" s="6" t="n">
        <v>4</v>
      </c>
      <c r="D1517" s="6" t="n">
        <v>4</v>
      </c>
      <c r="E1517" s="6"/>
      <c r="F1517" s="6"/>
    </row>
    <row r="1518" customFormat="false" ht="15" hidden="false" customHeight="false" outlineLevel="0" collapsed="false">
      <c r="A1518" s="5" t="s">
        <v>1717</v>
      </c>
      <c r="B1518" s="5" t="s">
        <v>374</v>
      </c>
      <c r="C1518" s="6" t="n">
        <v>4.5</v>
      </c>
      <c r="D1518" s="6" t="n">
        <v>1</v>
      </c>
      <c r="E1518" s="6"/>
      <c r="F1518" s="6"/>
    </row>
    <row r="1519" customFormat="false" ht="15" hidden="false" customHeight="false" outlineLevel="0" collapsed="false">
      <c r="A1519" s="5" t="s">
        <v>1718</v>
      </c>
      <c r="B1519" s="5" t="s">
        <v>374</v>
      </c>
      <c r="C1519" s="6" t="n">
        <v>5</v>
      </c>
      <c r="D1519" s="6" t="n">
        <v>6</v>
      </c>
      <c r="E1519" s="6"/>
      <c r="F1519" s="6"/>
    </row>
    <row r="1520" customFormat="false" ht="15" hidden="false" customHeight="false" outlineLevel="0" collapsed="false">
      <c r="A1520" s="5" t="s">
        <v>1719</v>
      </c>
      <c r="B1520" s="5" t="s">
        <v>374</v>
      </c>
      <c r="C1520" s="6" t="n">
        <v>4</v>
      </c>
      <c r="D1520" s="6" t="n">
        <v>0</v>
      </c>
      <c r="E1520" s="6"/>
      <c r="F1520" s="6"/>
    </row>
    <row r="1521" customFormat="false" ht="15" hidden="false" customHeight="false" outlineLevel="0" collapsed="false">
      <c r="A1521" s="5" t="s">
        <v>1720</v>
      </c>
      <c r="B1521" s="5" t="s">
        <v>1721</v>
      </c>
      <c r="C1521" s="6" t="n">
        <v>10.5</v>
      </c>
      <c r="D1521" s="6" t="n">
        <v>6</v>
      </c>
      <c r="E1521" s="6"/>
      <c r="F1521" s="6"/>
    </row>
    <row r="1522" customFormat="false" ht="15" hidden="false" customHeight="false" outlineLevel="0" collapsed="false">
      <c r="A1522" s="5" t="s">
        <v>1722</v>
      </c>
      <c r="B1522" s="5" t="s">
        <v>1721</v>
      </c>
      <c r="C1522" s="6" t="n">
        <v>12</v>
      </c>
      <c r="D1522" s="6" t="n">
        <v>12</v>
      </c>
      <c r="E1522" s="6"/>
      <c r="F1522" s="6"/>
    </row>
    <row r="1523" customFormat="false" ht="15" hidden="false" customHeight="false" outlineLevel="0" collapsed="false">
      <c r="A1523" s="5" t="s">
        <v>1723</v>
      </c>
      <c r="B1523" s="5" t="s">
        <v>1721</v>
      </c>
      <c r="C1523" s="6" t="n">
        <v>6</v>
      </c>
      <c r="D1523" s="6" t="n">
        <v>0</v>
      </c>
      <c r="E1523" s="6"/>
      <c r="F1523" s="6"/>
    </row>
    <row r="1524" customFormat="false" ht="15" hidden="false" customHeight="false" outlineLevel="0" collapsed="false">
      <c r="A1524" s="5" t="s">
        <v>1724</v>
      </c>
      <c r="B1524" s="5" t="s">
        <v>376</v>
      </c>
      <c r="C1524" s="6" t="n">
        <v>6</v>
      </c>
      <c r="D1524" s="6" t="n">
        <v>0</v>
      </c>
      <c r="E1524" s="6"/>
      <c r="F1524" s="6"/>
    </row>
    <row r="1525" customFormat="false" ht="15" hidden="false" customHeight="false" outlineLevel="0" collapsed="false">
      <c r="A1525" s="5" t="s">
        <v>1725</v>
      </c>
      <c r="B1525" s="5" t="s">
        <v>376</v>
      </c>
      <c r="C1525" s="6" t="n">
        <v>12</v>
      </c>
      <c r="D1525" s="6" t="n">
        <v>0</v>
      </c>
      <c r="E1525" s="6"/>
      <c r="F1525" s="6"/>
    </row>
    <row r="1526" customFormat="false" ht="15" hidden="false" customHeight="false" outlineLevel="0" collapsed="false">
      <c r="A1526" s="5" t="s">
        <v>1726</v>
      </c>
      <c r="B1526" s="5" t="s">
        <v>376</v>
      </c>
      <c r="C1526" s="6" t="n">
        <v>6</v>
      </c>
      <c r="D1526" s="6" t="n">
        <v>6</v>
      </c>
      <c r="E1526" s="6"/>
      <c r="F1526" s="6"/>
    </row>
    <row r="1527" customFormat="false" ht="15" hidden="false" customHeight="false" outlineLevel="0" collapsed="false">
      <c r="A1527" s="5" t="s">
        <v>1727</v>
      </c>
      <c r="B1527" s="5" t="s">
        <v>1728</v>
      </c>
      <c r="C1527" s="6" t="n">
        <v>6</v>
      </c>
      <c r="D1527" s="6" t="n">
        <v>6</v>
      </c>
      <c r="E1527" s="6"/>
      <c r="F1527" s="6"/>
    </row>
    <row r="1528" customFormat="false" ht="15" hidden="false" customHeight="false" outlineLevel="0" collapsed="false">
      <c r="A1528" s="5" t="s">
        <v>1729</v>
      </c>
      <c r="B1528" s="5" t="s">
        <v>1728</v>
      </c>
      <c r="C1528" s="6" t="n">
        <v>12</v>
      </c>
      <c r="D1528" s="6" t="n">
        <v>12</v>
      </c>
      <c r="E1528" s="6"/>
      <c r="F1528" s="6"/>
    </row>
    <row r="1529" customFormat="false" ht="15" hidden="false" customHeight="false" outlineLevel="0" collapsed="false">
      <c r="A1529" s="5" t="s">
        <v>1730</v>
      </c>
      <c r="B1529" s="5" t="s">
        <v>1728</v>
      </c>
      <c r="C1529" s="6" t="n">
        <v>12</v>
      </c>
      <c r="D1529" s="6" t="n">
        <v>0</v>
      </c>
      <c r="E1529" s="6"/>
      <c r="F1529" s="6"/>
    </row>
    <row r="1530" customFormat="false" ht="15" hidden="false" customHeight="false" outlineLevel="0" collapsed="false">
      <c r="A1530" s="5" t="s">
        <v>1731</v>
      </c>
      <c r="B1530" s="5" t="s">
        <v>1732</v>
      </c>
      <c r="C1530" s="6" t="n">
        <v>2</v>
      </c>
      <c r="D1530" s="6" t="n">
        <v>8</v>
      </c>
      <c r="E1530" s="6"/>
      <c r="F1530" s="6"/>
    </row>
    <row r="1531" customFormat="false" ht="15" hidden="false" customHeight="false" outlineLevel="0" collapsed="false">
      <c r="A1531" s="5" t="s">
        <v>1733</v>
      </c>
      <c r="B1531" s="5" t="s">
        <v>378</v>
      </c>
      <c r="C1531" s="6" t="n">
        <v>6</v>
      </c>
      <c r="D1531" s="6" t="n">
        <v>12</v>
      </c>
      <c r="E1531" s="6"/>
      <c r="F1531" s="6"/>
    </row>
    <row r="1532" customFormat="false" ht="15" hidden="false" customHeight="false" outlineLevel="0" collapsed="false">
      <c r="A1532" s="5" t="s">
        <v>1734</v>
      </c>
      <c r="B1532" s="5" t="s">
        <v>378</v>
      </c>
      <c r="C1532" s="6" t="n">
        <v>12</v>
      </c>
      <c r="D1532" s="6" t="n">
        <v>0</v>
      </c>
      <c r="E1532" s="6"/>
      <c r="F1532" s="6"/>
    </row>
    <row r="1533" customFormat="false" ht="15" hidden="false" customHeight="false" outlineLevel="0" collapsed="false">
      <c r="A1533" s="5" t="s">
        <v>1735</v>
      </c>
      <c r="B1533" s="5" t="s">
        <v>380</v>
      </c>
      <c r="C1533" s="6" t="n">
        <v>6</v>
      </c>
      <c r="D1533" s="6" t="n">
        <v>12</v>
      </c>
      <c r="E1533" s="6"/>
      <c r="F1533" s="6"/>
    </row>
    <row r="1534" customFormat="false" ht="15" hidden="false" customHeight="false" outlineLevel="0" collapsed="false">
      <c r="A1534" s="5" t="s">
        <v>1736</v>
      </c>
      <c r="B1534" s="5" t="s">
        <v>380</v>
      </c>
      <c r="C1534" s="6" t="n">
        <v>6</v>
      </c>
      <c r="D1534" s="6" t="n">
        <v>0</v>
      </c>
      <c r="E1534" s="6"/>
      <c r="F1534" s="6"/>
    </row>
    <row r="1535" customFormat="false" ht="15" hidden="false" customHeight="false" outlineLevel="0" collapsed="false">
      <c r="A1535" s="5" t="s">
        <v>1737</v>
      </c>
      <c r="B1535" s="5" t="s">
        <v>380</v>
      </c>
      <c r="C1535" s="6" t="n">
        <v>8</v>
      </c>
      <c r="D1535" s="6" t="n">
        <v>12</v>
      </c>
      <c r="E1535" s="6"/>
      <c r="F1535" s="6"/>
    </row>
    <row r="1536" customFormat="false" ht="15" hidden="false" customHeight="false" outlineLevel="0" collapsed="false">
      <c r="A1536" s="5" t="s">
        <v>1738</v>
      </c>
      <c r="B1536" s="5" t="s">
        <v>380</v>
      </c>
      <c r="C1536" s="6" t="n">
        <v>6</v>
      </c>
      <c r="D1536" s="6" t="n">
        <v>12</v>
      </c>
      <c r="E1536" s="6"/>
      <c r="F1536" s="6"/>
    </row>
    <row r="1537" customFormat="false" ht="15" hidden="false" customHeight="false" outlineLevel="0" collapsed="false">
      <c r="A1537" s="5" t="s">
        <v>1739</v>
      </c>
      <c r="B1537" s="5" t="s">
        <v>380</v>
      </c>
      <c r="C1537" s="6" t="n">
        <v>6</v>
      </c>
      <c r="D1537" s="6" t="n">
        <v>0</v>
      </c>
      <c r="E1537" s="6"/>
      <c r="F1537" s="6"/>
    </row>
    <row r="1538" customFormat="false" ht="15" hidden="false" customHeight="false" outlineLevel="0" collapsed="false">
      <c r="A1538" s="5" t="s">
        <v>1740</v>
      </c>
      <c r="B1538" s="5" t="s">
        <v>21</v>
      </c>
      <c r="C1538" s="6" t="n">
        <v>1</v>
      </c>
      <c r="D1538" s="6"/>
      <c r="E1538" s="6"/>
      <c r="F1538" s="6"/>
    </row>
    <row r="1539" customFormat="false" ht="15" hidden="false" customHeight="false" outlineLevel="0" collapsed="false">
      <c r="A1539" s="5" t="s">
        <v>1741</v>
      </c>
      <c r="B1539" s="5" t="s">
        <v>21</v>
      </c>
      <c r="C1539" s="6" t="n">
        <v>2</v>
      </c>
      <c r="D1539" s="6"/>
      <c r="E1539" s="6"/>
      <c r="F1539" s="6"/>
    </row>
    <row r="1540" customFormat="false" ht="15" hidden="false" customHeight="false" outlineLevel="0" collapsed="false">
      <c r="A1540" s="5" t="s">
        <v>1742</v>
      </c>
      <c r="B1540" s="5" t="s">
        <v>21</v>
      </c>
      <c r="C1540" s="6" t="n">
        <v>1</v>
      </c>
      <c r="D1540" s="6"/>
      <c r="E1540" s="6"/>
      <c r="F1540" s="6"/>
    </row>
    <row r="1541" customFormat="false" ht="15" hidden="false" customHeight="false" outlineLevel="0" collapsed="false">
      <c r="A1541" s="5" t="s">
        <v>1743</v>
      </c>
      <c r="B1541" s="5" t="s">
        <v>464</v>
      </c>
      <c r="C1541" s="6" t="n">
        <v>0</v>
      </c>
      <c r="D1541" s="6"/>
      <c r="E1541" s="6"/>
      <c r="F1541" s="6"/>
    </row>
    <row r="1542" customFormat="false" ht="15" hidden="false" customHeight="false" outlineLevel="0" collapsed="false">
      <c r="A1542" s="5" t="s">
        <v>1744</v>
      </c>
      <c r="B1542" s="5" t="s">
        <v>28</v>
      </c>
      <c r="C1542" s="6" t="n">
        <v>2</v>
      </c>
      <c r="D1542" s="6"/>
      <c r="E1542" s="6"/>
      <c r="F1542" s="6"/>
    </row>
    <row r="1543" customFormat="false" ht="15" hidden="false" customHeight="false" outlineLevel="0" collapsed="false">
      <c r="A1543" s="5" t="s">
        <v>1745</v>
      </c>
      <c r="B1543" s="5" t="s">
        <v>28</v>
      </c>
      <c r="C1543" s="6" t="n">
        <v>0</v>
      </c>
      <c r="D1543" s="6"/>
      <c r="E1543" s="6"/>
      <c r="F1543" s="6"/>
    </row>
    <row r="1544" customFormat="false" ht="15" hidden="false" customHeight="false" outlineLevel="0" collapsed="false">
      <c r="A1544" s="5" t="s">
        <v>1746</v>
      </c>
      <c r="B1544" s="5" t="s">
        <v>123</v>
      </c>
      <c r="C1544" s="6" t="n">
        <v>40</v>
      </c>
      <c r="D1544" s="6"/>
      <c r="E1544" s="6"/>
      <c r="F1544" s="6"/>
    </row>
    <row r="1545" customFormat="false" ht="15" hidden="false" customHeight="false" outlineLevel="0" collapsed="false">
      <c r="A1545" s="5" t="s">
        <v>1747</v>
      </c>
      <c r="B1545" s="5" t="s">
        <v>139</v>
      </c>
      <c r="C1545" s="6" t="n">
        <v>52</v>
      </c>
      <c r="D1545" s="6"/>
      <c r="E1545" s="6"/>
      <c r="F1545" s="6"/>
    </row>
    <row r="1546" customFormat="false" ht="15" hidden="false" customHeight="false" outlineLevel="0" collapsed="false">
      <c r="A1546" s="5" t="s">
        <v>1748</v>
      </c>
      <c r="B1546" s="5" t="s">
        <v>139</v>
      </c>
      <c r="C1546" s="6" t="n">
        <v>12</v>
      </c>
      <c r="D1546" s="6"/>
      <c r="E1546" s="6"/>
      <c r="F1546" s="6"/>
    </row>
    <row r="1547" customFormat="false" ht="15" hidden="false" customHeight="false" outlineLevel="0" collapsed="false">
      <c r="A1547" s="5" t="s">
        <v>1749</v>
      </c>
      <c r="B1547" s="5" t="s">
        <v>38</v>
      </c>
      <c r="C1547" s="6" t="n">
        <v>12.5</v>
      </c>
      <c r="D1547" s="6"/>
      <c r="E1547" s="6"/>
      <c r="F1547" s="6"/>
    </row>
    <row r="1548" customFormat="false" ht="15" hidden="false" customHeight="false" outlineLevel="0" collapsed="false">
      <c r="A1548" s="5" t="s">
        <v>1750</v>
      </c>
      <c r="B1548" s="5" t="s">
        <v>685</v>
      </c>
      <c r="C1548" s="6" t="n">
        <v>0</v>
      </c>
      <c r="D1548" s="6"/>
      <c r="E1548" s="6"/>
      <c r="F1548" s="6"/>
    </row>
    <row r="1549" customFormat="false" ht="15" hidden="false" customHeight="false" outlineLevel="0" collapsed="false">
      <c r="A1549" s="5" t="s">
        <v>1751</v>
      </c>
      <c r="B1549" s="5" t="s">
        <v>704</v>
      </c>
      <c r="C1549" s="6" t="n">
        <v>1</v>
      </c>
      <c r="D1549" s="6"/>
      <c r="E1549" s="6"/>
      <c r="F1549" s="6"/>
    </row>
    <row r="1550" customFormat="false" ht="15" hidden="false" customHeight="false" outlineLevel="0" collapsed="false">
      <c r="A1550" s="5" t="s">
        <v>1752</v>
      </c>
      <c r="B1550" s="5" t="s">
        <v>43</v>
      </c>
      <c r="C1550" s="6" t="n">
        <v>16</v>
      </c>
      <c r="D1550" s="6"/>
      <c r="E1550" s="6"/>
      <c r="F1550" s="6"/>
    </row>
    <row r="1551" customFormat="false" ht="15" hidden="false" customHeight="false" outlineLevel="0" collapsed="false">
      <c r="A1551" s="5" t="s">
        <v>1753</v>
      </c>
      <c r="B1551" s="5" t="s">
        <v>43</v>
      </c>
      <c r="C1551" s="6" t="n">
        <v>16</v>
      </c>
      <c r="D1551" s="6"/>
      <c r="E1551" s="6"/>
      <c r="F1551" s="6"/>
    </row>
    <row r="1552" customFormat="false" ht="15" hidden="false" customHeight="false" outlineLevel="0" collapsed="false">
      <c r="A1552" s="5" t="s">
        <v>1754</v>
      </c>
      <c r="B1552" s="5" t="s">
        <v>160</v>
      </c>
      <c r="C1552" s="6" t="n">
        <v>26</v>
      </c>
      <c r="D1552" s="6"/>
      <c r="E1552" s="6"/>
      <c r="F1552" s="6"/>
    </row>
    <row r="1553" customFormat="false" ht="15" hidden="false" customHeight="false" outlineLevel="0" collapsed="false">
      <c r="A1553" s="5" t="s">
        <v>1755</v>
      </c>
      <c r="B1553" s="5" t="s">
        <v>54</v>
      </c>
      <c r="C1553" s="6" t="n">
        <v>12</v>
      </c>
      <c r="D1553" s="6"/>
      <c r="E1553" s="6"/>
      <c r="F1553" s="6"/>
    </row>
    <row r="1554" customFormat="false" ht="15" hidden="false" customHeight="false" outlineLevel="0" collapsed="false">
      <c r="A1554" s="5" t="s">
        <v>1756</v>
      </c>
      <c r="B1554" s="5" t="s">
        <v>54</v>
      </c>
      <c r="C1554" s="6" t="n">
        <v>0</v>
      </c>
      <c r="D1554" s="6"/>
      <c r="E1554" s="6"/>
      <c r="F1554" s="6"/>
    </row>
    <row r="1555" customFormat="false" ht="15" hidden="false" customHeight="false" outlineLevel="0" collapsed="false">
      <c r="A1555" s="5" t="s">
        <v>1757</v>
      </c>
      <c r="B1555" s="5" t="s">
        <v>54</v>
      </c>
      <c r="C1555" s="6" t="n">
        <v>0</v>
      </c>
      <c r="D1555" s="6"/>
      <c r="E1555" s="6"/>
      <c r="F1555" s="6"/>
    </row>
    <row r="1556" customFormat="false" ht="15" hidden="false" customHeight="false" outlineLevel="0" collapsed="false">
      <c r="A1556" s="5" t="s">
        <v>1758</v>
      </c>
      <c r="B1556" s="5" t="s">
        <v>54</v>
      </c>
      <c r="C1556" s="6" t="n">
        <v>2</v>
      </c>
      <c r="D1556" s="6"/>
      <c r="E1556" s="6"/>
      <c r="F1556" s="6"/>
    </row>
    <row r="1557" customFormat="false" ht="15" hidden="false" customHeight="false" outlineLevel="0" collapsed="false">
      <c r="A1557" s="5" t="s">
        <v>1759</v>
      </c>
      <c r="B1557" s="5" t="s">
        <v>54</v>
      </c>
      <c r="C1557" s="6" t="n">
        <v>0</v>
      </c>
      <c r="D1557" s="6"/>
      <c r="E1557" s="6"/>
      <c r="F1557" s="6"/>
    </row>
    <row r="1558" customFormat="false" ht="15" hidden="false" customHeight="false" outlineLevel="0" collapsed="false">
      <c r="A1558" s="5" t="s">
        <v>1760</v>
      </c>
      <c r="B1558" s="5" t="s">
        <v>197</v>
      </c>
      <c r="C1558" s="6" t="n">
        <v>0</v>
      </c>
      <c r="D1558" s="6"/>
      <c r="E1558" s="6"/>
      <c r="F1558" s="6"/>
    </row>
    <row r="1559" customFormat="false" ht="15" hidden="false" customHeight="false" outlineLevel="0" collapsed="false">
      <c r="A1559" s="5" t="s">
        <v>1761</v>
      </c>
      <c r="B1559" s="5" t="s">
        <v>203</v>
      </c>
      <c r="C1559" s="6" t="n">
        <v>50</v>
      </c>
      <c r="D1559" s="6"/>
      <c r="E1559" s="6"/>
      <c r="F1559" s="6"/>
    </row>
    <row r="1560" customFormat="false" ht="15" hidden="false" customHeight="false" outlineLevel="0" collapsed="false">
      <c r="A1560" s="5" t="s">
        <v>1762</v>
      </c>
      <c r="B1560" s="5" t="s">
        <v>206</v>
      </c>
      <c r="C1560" s="6" t="n">
        <v>6</v>
      </c>
      <c r="D1560" s="6"/>
      <c r="E1560" s="6"/>
      <c r="F1560" s="6"/>
    </row>
    <row r="1561" customFormat="false" ht="15" hidden="false" customHeight="false" outlineLevel="0" collapsed="false">
      <c r="A1561" s="5" t="s">
        <v>1763</v>
      </c>
      <c r="B1561" s="5" t="s">
        <v>206</v>
      </c>
      <c r="C1561" s="6" t="n">
        <v>40</v>
      </c>
      <c r="D1561" s="6"/>
      <c r="E1561" s="6"/>
      <c r="F1561" s="6"/>
    </row>
    <row r="1562" customFormat="false" ht="15" hidden="false" customHeight="false" outlineLevel="0" collapsed="false">
      <c r="A1562" s="5" t="s">
        <v>1764</v>
      </c>
      <c r="B1562" s="5" t="s">
        <v>211</v>
      </c>
      <c r="C1562" s="6" t="n">
        <v>12</v>
      </c>
      <c r="D1562" s="6"/>
      <c r="E1562" s="6"/>
      <c r="F1562" s="6"/>
    </row>
    <row r="1563" customFormat="false" ht="15" hidden="false" customHeight="false" outlineLevel="0" collapsed="false">
      <c r="A1563" s="5" t="s">
        <v>1765</v>
      </c>
      <c r="B1563" s="5" t="s">
        <v>213</v>
      </c>
      <c r="C1563" s="6" t="n">
        <v>0</v>
      </c>
      <c r="D1563" s="6"/>
      <c r="E1563" s="6"/>
      <c r="F1563" s="6"/>
    </row>
    <row r="1564" customFormat="false" ht="15" hidden="false" customHeight="false" outlineLevel="0" collapsed="false">
      <c r="A1564" s="5" t="s">
        <v>1766</v>
      </c>
      <c r="B1564" s="5" t="s">
        <v>213</v>
      </c>
      <c r="C1564" s="6" t="n">
        <v>12</v>
      </c>
      <c r="D1564" s="6"/>
      <c r="E1564" s="6"/>
      <c r="F1564" s="6"/>
    </row>
    <row r="1565" customFormat="false" ht="15" hidden="false" customHeight="false" outlineLevel="0" collapsed="false">
      <c r="A1565" s="5" t="s">
        <v>1767</v>
      </c>
      <c r="B1565" s="5" t="s">
        <v>56</v>
      </c>
      <c r="C1565" s="6" t="n">
        <v>50</v>
      </c>
      <c r="D1565" s="6"/>
      <c r="E1565" s="6"/>
      <c r="F1565" s="6"/>
    </row>
    <row r="1566" customFormat="false" ht="15" hidden="false" customHeight="false" outlineLevel="0" collapsed="false">
      <c r="A1566" s="5" t="s">
        <v>1768</v>
      </c>
      <c r="B1566" s="5" t="s">
        <v>232</v>
      </c>
      <c r="C1566" s="6" t="n">
        <v>8</v>
      </c>
      <c r="D1566" s="6"/>
      <c r="E1566" s="6"/>
      <c r="F1566" s="6"/>
    </row>
    <row r="1567" customFormat="false" ht="15" hidden="false" customHeight="false" outlineLevel="0" collapsed="false">
      <c r="A1567" s="5" t="s">
        <v>1769</v>
      </c>
      <c r="B1567" s="5" t="s">
        <v>232</v>
      </c>
      <c r="C1567" s="6" t="n">
        <v>0</v>
      </c>
      <c r="D1567" s="6"/>
      <c r="E1567" s="6"/>
      <c r="F1567" s="6"/>
    </row>
    <row r="1568" customFormat="false" ht="15" hidden="false" customHeight="false" outlineLevel="0" collapsed="false">
      <c r="A1568" s="5" t="s">
        <v>1770</v>
      </c>
      <c r="B1568" s="5" t="s">
        <v>232</v>
      </c>
      <c r="C1568" s="6" t="n">
        <v>16</v>
      </c>
      <c r="D1568" s="6"/>
      <c r="E1568" s="6"/>
      <c r="F1568" s="6"/>
    </row>
    <row r="1569" customFormat="false" ht="15" hidden="false" customHeight="false" outlineLevel="0" collapsed="false">
      <c r="A1569" s="5" t="s">
        <v>1771</v>
      </c>
      <c r="B1569" s="5" t="s">
        <v>236</v>
      </c>
      <c r="C1569" s="6" t="n">
        <v>8</v>
      </c>
      <c r="D1569" s="6"/>
      <c r="E1569" s="6"/>
      <c r="F1569" s="6"/>
    </row>
    <row r="1570" customFormat="false" ht="15" hidden="false" customHeight="false" outlineLevel="0" collapsed="false">
      <c r="A1570" s="5" t="s">
        <v>1772</v>
      </c>
      <c r="B1570" s="5" t="s">
        <v>58</v>
      </c>
      <c r="C1570" s="6" t="n">
        <v>6</v>
      </c>
      <c r="D1570" s="6"/>
      <c r="E1570" s="6"/>
      <c r="F1570" s="6"/>
    </row>
    <row r="1571" customFormat="false" ht="15" hidden="false" customHeight="false" outlineLevel="0" collapsed="false">
      <c r="A1571" s="5" t="s">
        <v>1773</v>
      </c>
      <c r="B1571" s="5" t="s">
        <v>245</v>
      </c>
      <c r="C1571" s="6" t="n">
        <v>1</v>
      </c>
      <c r="D1571" s="6"/>
      <c r="E1571" s="6"/>
      <c r="F1571" s="6"/>
    </row>
    <row r="1572" customFormat="false" ht="15" hidden="false" customHeight="false" outlineLevel="0" collapsed="false">
      <c r="A1572" s="5" t="s">
        <v>1774</v>
      </c>
      <c r="B1572" s="5" t="s">
        <v>1775</v>
      </c>
      <c r="C1572" s="6" t="n">
        <v>14</v>
      </c>
      <c r="D1572" s="6"/>
      <c r="E1572" s="6"/>
      <c r="F1572" s="6"/>
    </row>
    <row r="1573" customFormat="false" ht="15" hidden="false" customHeight="false" outlineLevel="0" collapsed="false">
      <c r="A1573" s="5" t="s">
        <v>1776</v>
      </c>
      <c r="B1573" s="5" t="s">
        <v>258</v>
      </c>
      <c r="C1573" s="6" t="n">
        <v>18</v>
      </c>
      <c r="D1573" s="6"/>
      <c r="E1573" s="6"/>
      <c r="F1573" s="6"/>
    </row>
    <row r="1574" customFormat="false" ht="15" hidden="false" customHeight="false" outlineLevel="0" collapsed="false">
      <c r="A1574" s="5" t="s">
        <v>1777</v>
      </c>
      <c r="B1574" s="5" t="s">
        <v>62</v>
      </c>
      <c r="C1574" s="6" t="n">
        <v>6</v>
      </c>
      <c r="D1574" s="6"/>
      <c r="E1574" s="6"/>
      <c r="F1574" s="6"/>
    </row>
    <row r="1575" customFormat="false" ht="15" hidden="false" customHeight="false" outlineLevel="0" collapsed="false">
      <c r="A1575" s="5" t="s">
        <v>1778</v>
      </c>
      <c r="B1575" s="5" t="s">
        <v>62</v>
      </c>
      <c r="C1575" s="6" t="n">
        <v>30</v>
      </c>
      <c r="D1575" s="6"/>
      <c r="E1575" s="6"/>
      <c r="F1575" s="6"/>
    </row>
    <row r="1576" customFormat="false" ht="15" hidden="false" customHeight="false" outlineLevel="0" collapsed="false">
      <c r="A1576" s="5" t="s">
        <v>1779</v>
      </c>
      <c r="B1576" s="5" t="s">
        <v>268</v>
      </c>
      <c r="C1576" s="6" t="n">
        <v>16</v>
      </c>
      <c r="D1576" s="6"/>
      <c r="E1576" s="6"/>
      <c r="F1576" s="6"/>
    </row>
    <row r="1577" customFormat="false" ht="15" hidden="false" customHeight="false" outlineLevel="0" collapsed="false">
      <c r="A1577" s="5" t="s">
        <v>1780</v>
      </c>
      <c r="B1577" s="5" t="s">
        <v>1225</v>
      </c>
      <c r="C1577" s="6" t="n">
        <v>8</v>
      </c>
      <c r="D1577" s="6"/>
      <c r="E1577" s="6"/>
      <c r="F1577" s="6"/>
    </row>
    <row r="1578" customFormat="false" ht="15" hidden="false" customHeight="false" outlineLevel="0" collapsed="false">
      <c r="A1578" s="5" t="s">
        <v>1781</v>
      </c>
      <c r="B1578" s="5" t="s">
        <v>1225</v>
      </c>
      <c r="C1578" s="6" t="n">
        <v>2</v>
      </c>
      <c r="D1578" s="6"/>
      <c r="E1578" s="6"/>
      <c r="F1578" s="6"/>
    </row>
    <row r="1579" customFormat="false" ht="15" hidden="false" customHeight="false" outlineLevel="0" collapsed="false">
      <c r="A1579" s="5" t="s">
        <v>1782</v>
      </c>
      <c r="B1579" s="5" t="s">
        <v>1287</v>
      </c>
      <c r="C1579" s="6" t="n">
        <v>12</v>
      </c>
      <c r="D1579" s="6"/>
      <c r="E1579" s="6"/>
      <c r="F1579" s="6"/>
    </row>
    <row r="1580" customFormat="false" ht="15" hidden="false" customHeight="false" outlineLevel="0" collapsed="false">
      <c r="A1580" s="5" t="s">
        <v>1783</v>
      </c>
      <c r="B1580" s="5" t="s">
        <v>1287</v>
      </c>
      <c r="C1580" s="6" t="n">
        <v>0</v>
      </c>
      <c r="D1580" s="6"/>
      <c r="E1580" s="6"/>
      <c r="F1580" s="6"/>
    </row>
    <row r="1581" customFormat="false" ht="15" hidden="false" customHeight="false" outlineLevel="0" collapsed="false">
      <c r="A1581" s="5" t="s">
        <v>1784</v>
      </c>
      <c r="B1581" s="5" t="s">
        <v>66</v>
      </c>
      <c r="C1581" s="6" t="n">
        <v>8</v>
      </c>
      <c r="D1581" s="6"/>
      <c r="E1581" s="6"/>
      <c r="F1581" s="6"/>
    </row>
    <row r="1582" customFormat="false" ht="15" hidden="false" customHeight="false" outlineLevel="0" collapsed="false">
      <c r="A1582" s="5" t="s">
        <v>1785</v>
      </c>
      <c r="B1582" s="5" t="s">
        <v>72</v>
      </c>
      <c r="C1582" s="6" t="n">
        <v>7</v>
      </c>
      <c r="D1582" s="6"/>
      <c r="E1582" s="6"/>
      <c r="F1582" s="6"/>
    </row>
    <row r="1583" customFormat="false" ht="15" hidden="false" customHeight="false" outlineLevel="0" collapsed="false">
      <c r="A1583" s="5" t="s">
        <v>1786</v>
      </c>
      <c r="B1583" s="5" t="s">
        <v>1346</v>
      </c>
      <c r="C1583" s="6" t="n">
        <v>0</v>
      </c>
      <c r="D1583" s="6"/>
      <c r="E1583" s="6"/>
      <c r="F1583" s="6"/>
    </row>
    <row r="1584" customFormat="false" ht="15" hidden="false" customHeight="false" outlineLevel="0" collapsed="false">
      <c r="A1584" s="5" t="s">
        <v>1787</v>
      </c>
      <c r="B1584" s="5" t="s">
        <v>298</v>
      </c>
      <c r="C1584" s="6" t="n">
        <v>10</v>
      </c>
      <c r="D1584" s="6"/>
      <c r="E1584" s="6"/>
      <c r="F1584" s="6"/>
    </row>
    <row r="1585" customFormat="false" ht="15" hidden="false" customHeight="false" outlineLevel="0" collapsed="false">
      <c r="A1585" s="5" t="s">
        <v>1788</v>
      </c>
      <c r="B1585" s="5" t="s">
        <v>1371</v>
      </c>
      <c r="C1585" s="6" t="n">
        <v>6</v>
      </c>
      <c r="D1585" s="6"/>
      <c r="E1585" s="6"/>
      <c r="F1585" s="6"/>
    </row>
    <row r="1586" customFormat="false" ht="15" hidden="false" customHeight="false" outlineLevel="0" collapsed="false">
      <c r="A1586" s="5" t="s">
        <v>1789</v>
      </c>
      <c r="B1586" s="5" t="s">
        <v>74</v>
      </c>
      <c r="C1586" s="6" t="n">
        <v>4</v>
      </c>
      <c r="D1586" s="6"/>
      <c r="E1586" s="6"/>
      <c r="F1586" s="6"/>
    </row>
    <row r="1587" customFormat="false" ht="15" hidden="false" customHeight="false" outlineLevel="0" collapsed="false">
      <c r="A1587" s="5" t="s">
        <v>1790</v>
      </c>
      <c r="B1587" s="5" t="s">
        <v>74</v>
      </c>
      <c r="C1587" s="6" t="n">
        <v>10</v>
      </c>
      <c r="D1587" s="6"/>
      <c r="E1587" s="6"/>
      <c r="F1587" s="6"/>
    </row>
    <row r="1588" customFormat="false" ht="15" hidden="false" customHeight="false" outlineLevel="0" collapsed="false">
      <c r="A1588" s="5" t="s">
        <v>1791</v>
      </c>
      <c r="B1588" s="5" t="s">
        <v>74</v>
      </c>
      <c r="C1588" s="6" t="n">
        <v>6</v>
      </c>
      <c r="D1588" s="6"/>
      <c r="E1588" s="6"/>
      <c r="F1588" s="6"/>
    </row>
    <row r="1589" customFormat="false" ht="15" hidden="false" customHeight="false" outlineLevel="0" collapsed="false">
      <c r="A1589" s="5" t="s">
        <v>1792</v>
      </c>
      <c r="B1589" s="5" t="s">
        <v>306</v>
      </c>
      <c r="C1589" s="6" t="n">
        <v>0</v>
      </c>
      <c r="D1589" s="6"/>
      <c r="E1589" s="6"/>
      <c r="F1589" s="6"/>
    </row>
    <row r="1590" customFormat="false" ht="15" hidden="false" customHeight="false" outlineLevel="0" collapsed="false">
      <c r="A1590" s="5" t="s">
        <v>1793</v>
      </c>
      <c r="B1590" s="5" t="s">
        <v>1419</v>
      </c>
      <c r="C1590" s="6" t="n">
        <v>0</v>
      </c>
      <c r="D1590" s="6"/>
      <c r="E1590" s="6"/>
      <c r="F1590" s="6"/>
    </row>
    <row r="1591" customFormat="false" ht="15" hidden="false" customHeight="false" outlineLevel="0" collapsed="false">
      <c r="A1591" s="5" t="s">
        <v>1794</v>
      </c>
      <c r="B1591" s="5" t="s">
        <v>1421</v>
      </c>
      <c r="C1591" s="6" t="n">
        <v>10</v>
      </c>
      <c r="D1591" s="6"/>
      <c r="E1591" s="6"/>
      <c r="F1591" s="6"/>
    </row>
    <row r="1592" customFormat="false" ht="15" hidden="false" customHeight="false" outlineLevel="0" collapsed="false">
      <c r="A1592" s="5" t="s">
        <v>1795</v>
      </c>
      <c r="B1592" s="5" t="s">
        <v>76</v>
      </c>
      <c r="C1592" s="6" t="n">
        <v>0</v>
      </c>
      <c r="D1592" s="6"/>
      <c r="E1592" s="6"/>
      <c r="F1592" s="6"/>
    </row>
    <row r="1593" customFormat="false" ht="15" hidden="false" customHeight="false" outlineLevel="0" collapsed="false">
      <c r="A1593" s="5" t="s">
        <v>1796</v>
      </c>
      <c r="B1593" s="5" t="s">
        <v>78</v>
      </c>
      <c r="C1593" s="6" t="n">
        <v>16</v>
      </c>
      <c r="D1593" s="6"/>
      <c r="E1593" s="6"/>
      <c r="F1593" s="6"/>
    </row>
    <row r="1594" customFormat="false" ht="15" hidden="false" customHeight="false" outlineLevel="0" collapsed="false">
      <c r="A1594" s="5" t="s">
        <v>1797</v>
      </c>
      <c r="B1594" s="5" t="s">
        <v>333</v>
      </c>
      <c r="C1594" s="6" t="n">
        <v>12</v>
      </c>
      <c r="D1594" s="6"/>
      <c r="E1594" s="6"/>
      <c r="F1594" s="6"/>
    </row>
    <row r="1595" customFormat="false" ht="15" hidden="false" customHeight="false" outlineLevel="0" collapsed="false">
      <c r="A1595" s="5" t="s">
        <v>1798</v>
      </c>
      <c r="B1595" s="5" t="s">
        <v>333</v>
      </c>
      <c r="C1595" s="6" t="n">
        <v>12</v>
      </c>
      <c r="D1595" s="6"/>
      <c r="E1595" s="6"/>
      <c r="F1595" s="6"/>
    </row>
    <row r="1596" customFormat="false" ht="15" hidden="false" customHeight="false" outlineLevel="0" collapsed="false">
      <c r="A1596" s="5" t="s">
        <v>1799</v>
      </c>
      <c r="B1596" s="5" t="s">
        <v>87</v>
      </c>
      <c r="C1596" s="6" t="n">
        <v>2</v>
      </c>
      <c r="D1596" s="6"/>
      <c r="E1596" s="6"/>
      <c r="F1596" s="6"/>
    </row>
    <row r="1597" customFormat="false" ht="15" hidden="false" customHeight="false" outlineLevel="0" collapsed="false">
      <c r="A1597" s="5" t="s">
        <v>1800</v>
      </c>
      <c r="B1597" s="5" t="s">
        <v>87</v>
      </c>
      <c r="C1597" s="6" t="n">
        <v>4</v>
      </c>
      <c r="D1597" s="6"/>
      <c r="E1597" s="6"/>
      <c r="F1597" s="6"/>
    </row>
    <row r="1598" customFormat="false" ht="15" hidden="false" customHeight="false" outlineLevel="0" collapsed="false">
      <c r="A1598" s="5" t="s">
        <v>1801</v>
      </c>
      <c r="B1598" s="5" t="s">
        <v>87</v>
      </c>
      <c r="C1598" s="6" t="n">
        <v>6</v>
      </c>
      <c r="D1598" s="6"/>
      <c r="E1598" s="6"/>
      <c r="F1598" s="6"/>
    </row>
    <row r="1599" customFormat="false" ht="15" hidden="false" customHeight="false" outlineLevel="0" collapsed="false">
      <c r="A1599" s="5" t="s">
        <v>1802</v>
      </c>
      <c r="B1599" s="5" t="s">
        <v>374</v>
      </c>
      <c r="C1599" s="6" t="n">
        <v>2</v>
      </c>
      <c r="D1599" s="6"/>
      <c r="E1599" s="6"/>
      <c r="F1599" s="6"/>
    </row>
    <row r="1600" customFormat="false" ht="15" hidden="false" customHeight="false" outlineLevel="0" collapsed="false">
      <c r="A1600" s="5" t="s">
        <v>1803</v>
      </c>
      <c r="B1600" s="5" t="s">
        <v>374</v>
      </c>
      <c r="C1600" s="6" t="n">
        <v>0</v>
      </c>
      <c r="D1600" s="6"/>
      <c r="E1600" s="6"/>
      <c r="F1600" s="6"/>
    </row>
    <row r="1601" customFormat="false" ht="15" hidden="false" customHeight="false" outlineLevel="0" collapsed="false">
      <c r="A1601" s="5" t="s">
        <v>1804</v>
      </c>
      <c r="B1601" s="5" t="s">
        <v>380</v>
      </c>
      <c r="C1601" s="6" t="n">
        <v>14</v>
      </c>
      <c r="D1601" s="6"/>
      <c r="E1601" s="6"/>
      <c r="F1601" s="6"/>
    </row>
    <row r="1602" customFormat="false" ht="15" hidden="false" customHeight="false" outlineLevel="0" collapsed="false">
      <c r="A1602" s="5" t="s">
        <v>1805</v>
      </c>
      <c r="B1602" s="5" t="s">
        <v>380</v>
      </c>
      <c r="C1602" s="6" t="n">
        <v>0</v>
      </c>
      <c r="D1602" s="6"/>
      <c r="E1602" s="6"/>
      <c r="F1602" s="6"/>
    </row>
  </sheetData>
  <autoFilter ref="A1:F16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2" style="0" width="16"/>
  </cols>
  <sheetData>
    <row r="1" customFormat="false" ht="17.35" hidden="false" customHeight="false" outlineLevel="0" collapsed="false">
      <c r="A1" s="1" t="s">
        <v>1806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8" t="s">
        <v>1807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customFormat="false" ht="52.2" hidden="false" customHeight="false" outlineLevel="0" collapsed="false">
      <c r="A4" s="4" t="s">
        <v>19</v>
      </c>
      <c r="B4" s="4" t="s">
        <v>1808</v>
      </c>
      <c r="C4" s="4" t="s">
        <v>1809</v>
      </c>
      <c r="D4" s="4" t="s">
        <v>1810</v>
      </c>
      <c r="E4" s="4" t="s">
        <v>1811</v>
      </c>
      <c r="F4" s="4" t="s">
        <v>1812</v>
      </c>
      <c r="G4" s="4" t="s">
        <v>1813</v>
      </c>
      <c r="H4" s="4" t="s">
        <v>1814</v>
      </c>
      <c r="I4" s="4" t="s">
        <v>1815</v>
      </c>
      <c r="J4" s="4" t="s">
        <v>1816</v>
      </c>
      <c r="K4" s="4" t="s">
        <v>1817</v>
      </c>
      <c r="L4" s="4" t="s">
        <v>1818</v>
      </c>
      <c r="M4" s="4" t="s">
        <v>1819</v>
      </c>
      <c r="N4" s="4" t="s">
        <v>1820</v>
      </c>
    </row>
    <row r="5" customFormat="false" ht="15" hidden="false" customHeight="false" outlineLevel="0" collapsed="false">
      <c r="A5" s="5" t="s">
        <v>96</v>
      </c>
      <c r="B5" s="7" t="n">
        <f aca="false">COUNTIF('Source Data'!$B$2:$B$1602,$A5)</f>
        <v>13</v>
      </c>
      <c r="C5" s="6" t="n">
        <f aca="false">IF(COUNTIFS('Source Data'!$B$2:$B$1602,$A5,'Source Data'!$C$2:$C$1602,"&lt;&gt;")=0,"",AVERAGEIF('Source Data'!$B$2:$B$1602,$A5,'Source Data'!$C$2:$C$1602))</f>
        <v>11.8461538461538</v>
      </c>
      <c r="D5" s="6" t="n">
        <f aca="false">IF(COUNTIFS('Source Data'!$B$2:$B$1602,$A5,'Source Data'!$C$2:$C$1602,"&lt;&gt;")=0,"",_xlfn.MINIFS('Source Data'!$C$2:$C$1602,'Source Data'!$B$2:$B$1602,$A5))</f>
        <v>3.5</v>
      </c>
      <c r="E5" s="6" t="n">
        <f aca="false">IF(COUNTIFS('Source Data'!$B$2:$B$1602,$A5,'Source Data'!$C$2:$C$1602,"&lt;&gt;")=0,"",_xlfn.MAXIFS('Source Data'!$C$2:$C$1602,'Source Data'!$B$2:$B$1602,$A5))</f>
        <v>51</v>
      </c>
      <c r="F5" s="6" t="n">
        <f aca="false">IF(COUNTIFS('Source Data'!$B$2:$B$1602,$A5,'Source Data'!$D$2:$D$1602,"&lt;&gt;")=0,"",AVERAGEIF('Source Data'!$B$2:$B$1602,$A5,'Source Data'!$D$2:$D$1602))</f>
        <v>12.25</v>
      </c>
      <c r="G5" s="6" t="n">
        <f aca="false">IF(COUNTIFS('Source Data'!$B$2:$B$1602,$A5,'Source Data'!$D$2:$D$1602,"&lt;&gt;")=0,"",_xlfn.MINIFS('Source Data'!$D$2:$D$1602,'Source Data'!$B$2:$B$1602,$A5))</f>
        <v>0</v>
      </c>
      <c r="H5" s="6" t="n">
        <f aca="false">IF(COUNTIFS('Source Data'!$B$2:$B$1602,$A5,'Source Data'!$D$2:$D$1602,"&lt;&gt;")=0,"",_xlfn.MAXIFS('Source Data'!$D$2:$D$1602,'Source Data'!$B$2:$B$1602,$A5))</f>
        <v>52</v>
      </c>
      <c r="I5" s="6" t="n">
        <f aca="false">IF(COUNTIFS('Source Data'!$B$2:$B$1602,$A5,'Source Data'!$E$2:$E$1602,"&lt;&gt;")=0,"",AVERAGEIF('Source Data'!$B$2:$B$1602,$A5,'Source Data'!$E$2:$E$1602))</f>
        <v>13.4</v>
      </c>
      <c r="J5" s="6" t="n">
        <f aca="false">IF(COUNTIFS('Source Data'!$B$2:$B$1602,$A5,'Source Data'!$E$2:$E$1602,"&lt;&gt;")=0,"",_xlfn.MINIFS('Source Data'!$E$2:$E$1602,'Source Data'!$B$2:$B$1602,$A5))</f>
        <v>1</v>
      </c>
      <c r="K5" s="6" t="n">
        <f aca="false">IF(COUNTIFS('Source Data'!$B$2:$B$1602,$A5,'Source Data'!$E$2:$E$1602,"&lt;&gt;")=0,"",_xlfn.MAXIFS('Source Data'!$E$2:$E$1602,'Source Data'!$B$2:$B$1602,$A5))</f>
        <v>51</v>
      </c>
      <c r="L5" s="6" t="n">
        <f aca="false">IF(COUNTIFS('Source Data'!$B$2:$B$1602,$A5,'Source Data'!$F$2:$F$1602,"&lt;&gt;")=0,"",AVERAGEIF('Source Data'!$B$2:$B$1602,$A5,'Source Data'!$F$2:$F$1602))</f>
        <v>12</v>
      </c>
      <c r="M5" s="6" t="n">
        <f aca="false">IF(COUNTIFS('Source Data'!$B$2:$B$1602,$A5,'Source Data'!$F$2:$F$1602,"&lt;&gt;")=0,"",_xlfn.MINIFS('Source Data'!$F$2:$F$1602,'Source Data'!$B$2:$B$1602,$A5))</f>
        <v>12</v>
      </c>
      <c r="N5" s="6" t="n">
        <f aca="false">IF(COUNTIFS('Source Data'!$B$2:$B$1602,$A5,'Source Data'!$F$2:$F$1602,"&lt;&gt;")=0,"",_xlfn.MAXIFS('Source Data'!$F$2:$F$1602,'Source Data'!$B$2:$B$1602,$A5))</f>
        <v>12</v>
      </c>
    </row>
    <row r="6" customFormat="false" ht="15" hidden="false" customHeight="false" outlineLevel="0" collapsed="false">
      <c r="A6" s="5" t="s">
        <v>21</v>
      </c>
      <c r="B6" s="7" t="n">
        <f aca="false">COUNTIF('Source Data'!$B$2:$B$1602,$A6)</f>
        <v>50</v>
      </c>
      <c r="C6" s="6" t="n">
        <f aca="false">IF(COUNTIFS('Source Data'!$B$2:$B$1602,$A6,'Source Data'!$C$2:$C$1602,"&lt;&gt;")=0,"",AVERAGEIF('Source Data'!$B$2:$B$1602,$A6,'Source Data'!$C$2:$C$1602))</f>
        <v>9.41</v>
      </c>
      <c r="D6" s="6" t="n">
        <f aca="false">IF(COUNTIFS('Source Data'!$B$2:$B$1602,$A6,'Source Data'!$C$2:$C$1602,"&lt;&gt;")=0,"",_xlfn.MINIFS('Source Data'!$C$2:$C$1602,'Source Data'!$B$2:$B$1602,$A6))</f>
        <v>1</v>
      </c>
      <c r="E6" s="6" t="n">
        <f aca="false">IF(COUNTIFS('Source Data'!$B$2:$B$1602,$A6,'Source Data'!$C$2:$C$1602,"&lt;&gt;")=0,"",_xlfn.MAXIFS('Source Data'!$C$2:$C$1602,'Source Data'!$B$2:$B$1602,$A6))</f>
        <v>48</v>
      </c>
      <c r="F6" s="6" t="n">
        <f aca="false">IF(COUNTIFS('Source Data'!$B$2:$B$1602,$A6,'Source Data'!$D$2:$D$1602,"&lt;&gt;")=0,"",AVERAGEIF('Source Data'!$B$2:$B$1602,$A6,'Source Data'!$D$2:$D$1602))</f>
        <v>5.48936170212766</v>
      </c>
      <c r="G6" s="6" t="n">
        <f aca="false">IF(COUNTIFS('Source Data'!$B$2:$B$1602,$A6,'Source Data'!$D$2:$D$1602,"&lt;&gt;")=0,"",_xlfn.MINIFS('Source Data'!$D$2:$D$1602,'Source Data'!$B$2:$B$1602,$A6))</f>
        <v>0</v>
      </c>
      <c r="H6" s="6" t="n">
        <f aca="false">IF(COUNTIFS('Source Data'!$B$2:$B$1602,$A6,'Source Data'!$D$2:$D$1602,"&lt;&gt;")=0,"",_xlfn.MAXIFS('Source Data'!$D$2:$D$1602,'Source Data'!$B$2:$B$1602,$A6))</f>
        <v>36</v>
      </c>
      <c r="I6" s="6" t="n">
        <f aca="false">IF(COUNTIFS('Source Data'!$B$2:$B$1602,$A6,'Source Data'!$E$2:$E$1602,"&lt;&gt;")=0,"",AVERAGEIF('Source Data'!$B$2:$B$1602,$A6,'Source Data'!$E$2:$E$1602))</f>
        <v>11</v>
      </c>
      <c r="J6" s="6" t="n">
        <f aca="false">IF(COUNTIFS('Source Data'!$B$2:$B$1602,$A6,'Source Data'!$E$2:$E$1602,"&lt;&gt;")=0,"",_xlfn.MINIFS('Source Data'!$E$2:$E$1602,'Source Data'!$B$2:$B$1602,$A6))</f>
        <v>6</v>
      </c>
      <c r="K6" s="6" t="n">
        <f aca="false">IF(COUNTIFS('Source Data'!$B$2:$B$1602,$A6,'Source Data'!$E$2:$E$1602,"&lt;&gt;")=0,"",_xlfn.MAXIFS('Source Data'!$E$2:$E$1602,'Source Data'!$B$2:$B$1602,$A6))</f>
        <v>16</v>
      </c>
      <c r="L6" s="6" t="n">
        <f aca="false">IF(COUNTIFS('Source Data'!$B$2:$B$1602,$A6,'Source Data'!$F$2:$F$1602,"&lt;&gt;")=0,"",AVERAGEIF('Source Data'!$B$2:$B$1602,$A6,'Source Data'!$F$2:$F$1602))</f>
        <v>6</v>
      </c>
      <c r="M6" s="6" t="n">
        <f aca="false">IF(COUNTIFS('Source Data'!$B$2:$B$1602,$A6,'Source Data'!$F$2:$F$1602,"&lt;&gt;")=0,"",_xlfn.MINIFS('Source Data'!$F$2:$F$1602,'Source Data'!$B$2:$B$1602,$A6))</f>
        <v>6</v>
      </c>
      <c r="N6" s="6" t="n">
        <f aca="false">IF(COUNTIFS('Source Data'!$B$2:$B$1602,$A6,'Source Data'!$F$2:$F$1602,"&lt;&gt;")=0,"",_xlfn.MAXIFS('Source Data'!$F$2:$F$1602,'Source Data'!$B$2:$B$1602,$A6))</f>
        <v>6</v>
      </c>
    </row>
    <row r="7" customFormat="false" ht="15" hidden="false" customHeight="false" outlineLevel="0" collapsed="false">
      <c r="A7" s="5" t="s">
        <v>436</v>
      </c>
      <c r="B7" s="7" t="n">
        <f aca="false">COUNTIF('Source Data'!$B$2:$B$1602,$A7)</f>
        <v>3</v>
      </c>
      <c r="C7" s="6" t="n">
        <f aca="false">IF(COUNTIFS('Source Data'!$B$2:$B$1602,$A7,'Source Data'!$C$2:$C$1602,"&lt;&gt;")=0,"",AVERAGEIF('Source Data'!$B$2:$B$1602,$A7,'Source Data'!$C$2:$C$1602))</f>
        <v>9.33333333333333</v>
      </c>
      <c r="D7" s="6" t="n">
        <f aca="false">IF(COUNTIFS('Source Data'!$B$2:$B$1602,$A7,'Source Data'!$C$2:$C$1602,"&lt;&gt;")=0,"",_xlfn.MINIFS('Source Data'!$C$2:$C$1602,'Source Data'!$B$2:$B$1602,$A7))</f>
        <v>4</v>
      </c>
      <c r="E7" s="6" t="n">
        <f aca="false">IF(COUNTIFS('Source Data'!$B$2:$B$1602,$A7,'Source Data'!$C$2:$C$1602,"&lt;&gt;")=0,"",_xlfn.MAXIFS('Source Data'!$C$2:$C$1602,'Source Data'!$B$2:$B$1602,$A7))</f>
        <v>12</v>
      </c>
      <c r="F7" s="6" t="n">
        <f aca="false">IF(COUNTIFS('Source Data'!$B$2:$B$1602,$A7,'Source Data'!$D$2:$D$1602,"&lt;&gt;")=0,"",AVERAGEIF('Source Data'!$B$2:$B$1602,$A7,'Source Data'!$D$2:$D$1602))</f>
        <v>6</v>
      </c>
      <c r="G7" s="6" t="n">
        <f aca="false">IF(COUNTIFS('Source Data'!$B$2:$B$1602,$A7,'Source Data'!$D$2:$D$1602,"&lt;&gt;")=0,"",_xlfn.MINIFS('Source Data'!$D$2:$D$1602,'Source Data'!$B$2:$B$1602,$A7))</f>
        <v>0</v>
      </c>
      <c r="H7" s="6" t="n">
        <f aca="false">IF(COUNTIFS('Source Data'!$B$2:$B$1602,$A7,'Source Data'!$D$2:$D$1602,"&lt;&gt;")=0,"",_xlfn.MAXIFS('Source Data'!$D$2:$D$1602,'Source Data'!$B$2:$B$1602,$A7))</f>
        <v>12</v>
      </c>
      <c r="I7" s="6" t="str">
        <f aca="false">IF(COUNTIFS('Source Data'!$B$2:$B$1602,$A7,'Source Data'!$E$2:$E$1602,"&lt;&gt;")=0,"",AVERAGEIF('Source Data'!$B$2:$B$1602,$A7,'Source Data'!$E$2:$E$1602))</f>
        <v/>
      </c>
      <c r="J7" s="6" t="str">
        <f aca="false">IF(COUNTIFS('Source Data'!$B$2:$B$1602,$A7,'Source Data'!$E$2:$E$1602,"&lt;&gt;")=0,"",_xlfn.MINIFS('Source Data'!$E$2:$E$1602,'Source Data'!$B$2:$B$1602,$A7))</f>
        <v/>
      </c>
      <c r="K7" s="6" t="str">
        <f aca="false">IF(COUNTIFS('Source Data'!$B$2:$B$1602,$A7,'Source Data'!$E$2:$E$1602,"&lt;&gt;")=0,"",_xlfn.MAXIFS('Source Data'!$E$2:$E$1602,'Source Data'!$B$2:$B$1602,$A7))</f>
        <v/>
      </c>
      <c r="L7" s="6" t="str">
        <f aca="false">IF(COUNTIFS('Source Data'!$B$2:$B$1602,$A7,'Source Data'!$F$2:$F$1602,"&lt;&gt;")=0,"",AVERAGEIF('Source Data'!$B$2:$B$1602,$A7,'Source Data'!$F$2:$F$1602))</f>
        <v/>
      </c>
      <c r="M7" s="6" t="str">
        <f aca="false">IF(COUNTIFS('Source Data'!$B$2:$B$1602,$A7,'Source Data'!$F$2:$F$1602,"&lt;&gt;")=0,"",_xlfn.MINIFS('Source Data'!$F$2:$F$1602,'Source Data'!$B$2:$B$1602,$A7))</f>
        <v/>
      </c>
      <c r="N7" s="6" t="str">
        <f aca="false">IF(COUNTIFS('Source Data'!$B$2:$B$1602,$A7,'Source Data'!$F$2:$F$1602,"&lt;&gt;")=0,"",_xlfn.MAXIFS('Source Data'!$F$2:$F$1602,'Source Data'!$B$2:$B$1602,$A7))</f>
        <v/>
      </c>
    </row>
    <row r="8" customFormat="false" ht="15" hidden="false" customHeight="false" outlineLevel="0" collapsed="false">
      <c r="A8" s="5" t="s">
        <v>103</v>
      </c>
      <c r="B8" s="7" t="n">
        <f aca="false">COUNTIF('Source Data'!$B$2:$B$1602,$A8)</f>
        <v>9</v>
      </c>
      <c r="C8" s="6" t="n">
        <f aca="false">IF(COUNTIFS('Source Data'!$B$2:$B$1602,$A8,'Source Data'!$C$2:$C$1602,"&lt;&gt;")=0,"",AVERAGEIF('Source Data'!$B$2:$B$1602,$A8,'Source Data'!$C$2:$C$1602))</f>
        <v>10</v>
      </c>
      <c r="D8" s="6" t="n">
        <f aca="false">IF(COUNTIFS('Source Data'!$B$2:$B$1602,$A8,'Source Data'!$C$2:$C$1602,"&lt;&gt;")=0,"",_xlfn.MINIFS('Source Data'!$C$2:$C$1602,'Source Data'!$B$2:$B$1602,$A8))</f>
        <v>4</v>
      </c>
      <c r="E8" s="6" t="n">
        <f aca="false">IF(COUNTIFS('Source Data'!$B$2:$B$1602,$A8,'Source Data'!$C$2:$C$1602,"&lt;&gt;")=0,"",_xlfn.MAXIFS('Source Data'!$C$2:$C$1602,'Source Data'!$B$2:$B$1602,$A8))</f>
        <v>16</v>
      </c>
      <c r="F8" s="6" t="n">
        <f aca="false">IF(COUNTIFS('Source Data'!$B$2:$B$1602,$A8,'Source Data'!$D$2:$D$1602,"&lt;&gt;")=0,"",AVERAGEIF('Source Data'!$B$2:$B$1602,$A8,'Source Data'!$D$2:$D$1602))</f>
        <v>6.11111111111111</v>
      </c>
      <c r="G8" s="6" t="n">
        <f aca="false">IF(COUNTIFS('Source Data'!$B$2:$B$1602,$A8,'Source Data'!$D$2:$D$1602,"&lt;&gt;")=0,"",_xlfn.MINIFS('Source Data'!$D$2:$D$1602,'Source Data'!$B$2:$B$1602,$A8))</f>
        <v>0</v>
      </c>
      <c r="H8" s="6" t="n">
        <f aca="false">IF(COUNTIFS('Source Data'!$B$2:$B$1602,$A8,'Source Data'!$D$2:$D$1602,"&lt;&gt;")=0,"",_xlfn.MAXIFS('Source Data'!$D$2:$D$1602,'Source Data'!$B$2:$B$1602,$A8))</f>
        <v>12</v>
      </c>
      <c r="I8" s="6" t="n">
        <f aca="false">IF(COUNTIFS('Source Data'!$B$2:$B$1602,$A8,'Source Data'!$E$2:$E$1602,"&lt;&gt;")=0,"",AVERAGEIF('Source Data'!$B$2:$B$1602,$A8,'Source Data'!$E$2:$E$1602))</f>
        <v>7.2</v>
      </c>
      <c r="J8" s="6" t="n">
        <f aca="false">IF(COUNTIFS('Source Data'!$B$2:$B$1602,$A8,'Source Data'!$E$2:$E$1602,"&lt;&gt;")=0,"",_xlfn.MINIFS('Source Data'!$E$2:$E$1602,'Source Data'!$B$2:$B$1602,$A8))</f>
        <v>4</v>
      </c>
      <c r="K8" s="6" t="n">
        <f aca="false">IF(COUNTIFS('Source Data'!$B$2:$B$1602,$A8,'Source Data'!$E$2:$E$1602,"&lt;&gt;")=0,"",_xlfn.MAXIFS('Source Data'!$E$2:$E$1602,'Source Data'!$B$2:$B$1602,$A8))</f>
        <v>12</v>
      </c>
      <c r="L8" s="6" t="str">
        <f aca="false">IF(COUNTIFS('Source Data'!$B$2:$B$1602,$A8,'Source Data'!$F$2:$F$1602,"&lt;&gt;")=0,"",AVERAGEIF('Source Data'!$B$2:$B$1602,$A8,'Source Data'!$F$2:$F$1602))</f>
        <v/>
      </c>
      <c r="M8" s="6" t="str">
        <f aca="false">IF(COUNTIFS('Source Data'!$B$2:$B$1602,$A8,'Source Data'!$F$2:$F$1602,"&lt;&gt;")=0,"",_xlfn.MINIFS('Source Data'!$F$2:$F$1602,'Source Data'!$B$2:$B$1602,$A8))</f>
        <v/>
      </c>
      <c r="N8" s="6" t="str">
        <f aca="false">IF(COUNTIFS('Source Data'!$B$2:$B$1602,$A8,'Source Data'!$F$2:$F$1602,"&lt;&gt;")=0,"",_xlfn.MAXIFS('Source Data'!$F$2:$F$1602,'Source Data'!$B$2:$B$1602,$A8))</f>
        <v/>
      </c>
    </row>
    <row r="9" customFormat="false" ht="15" hidden="false" customHeight="false" outlineLevel="0" collapsed="false">
      <c r="A9" s="5" t="s">
        <v>23</v>
      </c>
      <c r="B9" s="7" t="n">
        <f aca="false">COUNTIF('Source Data'!$B$2:$B$1602,$A9)</f>
        <v>7</v>
      </c>
      <c r="C9" s="6" t="n">
        <f aca="false">IF(COUNTIFS('Source Data'!$B$2:$B$1602,$A9,'Source Data'!$C$2:$C$1602,"&lt;&gt;")=0,"",AVERAGEIF('Source Data'!$B$2:$B$1602,$A9,'Source Data'!$C$2:$C$1602))</f>
        <v>10.1428571428571</v>
      </c>
      <c r="D9" s="6" t="n">
        <f aca="false">IF(COUNTIFS('Source Data'!$B$2:$B$1602,$A9,'Source Data'!$C$2:$C$1602,"&lt;&gt;")=0,"",_xlfn.MINIFS('Source Data'!$C$2:$C$1602,'Source Data'!$B$2:$B$1602,$A9))</f>
        <v>0</v>
      </c>
      <c r="E9" s="6" t="n">
        <f aca="false">IF(COUNTIFS('Source Data'!$B$2:$B$1602,$A9,'Source Data'!$C$2:$C$1602,"&lt;&gt;")=0,"",_xlfn.MAXIFS('Source Data'!$C$2:$C$1602,'Source Data'!$B$2:$B$1602,$A9))</f>
        <v>24</v>
      </c>
      <c r="F9" s="6" t="n">
        <f aca="false">IF(COUNTIFS('Source Data'!$B$2:$B$1602,$A9,'Source Data'!$D$2:$D$1602,"&lt;&gt;")=0,"",AVERAGEIF('Source Data'!$B$2:$B$1602,$A9,'Source Data'!$D$2:$D$1602))</f>
        <v>7.6</v>
      </c>
      <c r="G9" s="6" t="n">
        <f aca="false">IF(COUNTIFS('Source Data'!$B$2:$B$1602,$A9,'Source Data'!$D$2:$D$1602,"&lt;&gt;")=0,"",_xlfn.MINIFS('Source Data'!$D$2:$D$1602,'Source Data'!$B$2:$B$1602,$A9))</f>
        <v>0</v>
      </c>
      <c r="H9" s="6" t="n">
        <f aca="false">IF(COUNTIFS('Source Data'!$B$2:$B$1602,$A9,'Source Data'!$D$2:$D$1602,"&lt;&gt;")=0,"",_xlfn.MAXIFS('Source Data'!$D$2:$D$1602,'Source Data'!$B$2:$B$1602,$A9))</f>
        <v>12</v>
      </c>
      <c r="I9" s="6" t="n">
        <f aca="false">IF(COUNTIFS('Source Data'!$B$2:$B$1602,$A9,'Source Data'!$E$2:$E$1602,"&lt;&gt;")=0,"",AVERAGEIF('Source Data'!$B$2:$B$1602,$A9,'Source Data'!$E$2:$E$1602))</f>
        <v>5.5</v>
      </c>
      <c r="J9" s="6" t="n">
        <f aca="false">IF(COUNTIFS('Source Data'!$B$2:$B$1602,$A9,'Source Data'!$E$2:$E$1602,"&lt;&gt;")=0,"",_xlfn.MINIFS('Source Data'!$E$2:$E$1602,'Source Data'!$B$2:$B$1602,$A9))</f>
        <v>0</v>
      </c>
      <c r="K9" s="6" t="n">
        <f aca="false">IF(COUNTIFS('Source Data'!$B$2:$B$1602,$A9,'Source Data'!$E$2:$E$1602,"&lt;&gt;")=0,"",_xlfn.MAXIFS('Source Data'!$E$2:$E$1602,'Source Data'!$B$2:$B$1602,$A9))</f>
        <v>12</v>
      </c>
      <c r="L9" s="6" t="n">
        <f aca="false">IF(COUNTIFS('Source Data'!$B$2:$B$1602,$A9,'Source Data'!$F$2:$F$1602,"&lt;&gt;")=0,"",AVERAGEIF('Source Data'!$B$2:$B$1602,$A9,'Source Data'!$F$2:$F$1602))</f>
        <v>4</v>
      </c>
      <c r="M9" s="6" t="n">
        <f aca="false">IF(COUNTIFS('Source Data'!$B$2:$B$1602,$A9,'Source Data'!$F$2:$F$1602,"&lt;&gt;")=0,"",_xlfn.MINIFS('Source Data'!$F$2:$F$1602,'Source Data'!$B$2:$B$1602,$A9))</f>
        <v>4</v>
      </c>
      <c r="N9" s="6" t="n">
        <f aca="false">IF(COUNTIFS('Source Data'!$B$2:$B$1602,$A9,'Source Data'!$F$2:$F$1602,"&lt;&gt;")=0,"",_xlfn.MAXIFS('Source Data'!$F$2:$F$1602,'Source Data'!$B$2:$B$1602,$A9))</f>
        <v>4</v>
      </c>
    </row>
    <row r="10" customFormat="false" ht="15" hidden="false" customHeight="false" outlineLevel="0" collapsed="false">
      <c r="A10" s="5" t="s">
        <v>450</v>
      </c>
      <c r="B10" s="7" t="n">
        <f aca="false">COUNTIF('Source Data'!$B$2:$B$1602,$A10)</f>
        <v>2</v>
      </c>
      <c r="C10" s="6" t="n">
        <f aca="false">IF(COUNTIFS('Source Data'!$B$2:$B$1602,$A10,'Source Data'!$C$2:$C$1602,"&lt;&gt;")=0,"",AVERAGEIF('Source Data'!$B$2:$B$1602,$A10,'Source Data'!$C$2:$C$1602))</f>
        <v>5.5</v>
      </c>
      <c r="D10" s="6" t="n">
        <f aca="false">IF(COUNTIFS('Source Data'!$B$2:$B$1602,$A10,'Source Data'!$C$2:$C$1602,"&lt;&gt;")=0,"",_xlfn.MINIFS('Source Data'!$C$2:$C$1602,'Source Data'!$B$2:$B$1602,$A10))</f>
        <v>3</v>
      </c>
      <c r="E10" s="6" t="n">
        <f aca="false">IF(COUNTIFS('Source Data'!$B$2:$B$1602,$A10,'Source Data'!$C$2:$C$1602,"&lt;&gt;")=0,"",_xlfn.MAXIFS('Source Data'!$C$2:$C$1602,'Source Data'!$B$2:$B$1602,$A10))</f>
        <v>8</v>
      </c>
      <c r="F10" s="6" t="n">
        <f aca="false">IF(COUNTIFS('Source Data'!$B$2:$B$1602,$A10,'Source Data'!$D$2:$D$1602,"&lt;&gt;")=0,"",AVERAGEIF('Source Data'!$B$2:$B$1602,$A10,'Source Data'!$D$2:$D$1602))</f>
        <v>6</v>
      </c>
      <c r="G10" s="6" t="n">
        <f aca="false">IF(COUNTIFS('Source Data'!$B$2:$B$1602,$A10,'Source Data'!$D$2:$D$1602,"&lt;&gt;")=0,"",_xlfn.MINIFS('Source Data'!$D$2:$D$1602,'Source Data'!$B$2:$B$1602,$A10))</f>
        <v>0</v>
      </c>
      <c r="H10" s="6" t="n">
        <f aca="false">IF(COUNTIFS('Source Data'!$B$2:$B$1602,$A10,'Source Data'!$D$2:$D$1602,"&lt;&gt;")=0,"",_xlfn.MAXIFS('Source Data'!$D$2:$D$1602,'Source Data'!$B$2:$B$1602,$A10))</f>
        <v>12</v>
      </c>
      <c r="I10" s="6" t="str">
        <f aca="false">IF(COUNTIFS('Source Data'!$B$2:$B$1602,$A10,'Source Data'!$E$2:$E$1602,"&lt;&gt;")=0,"",AVERAGEIF('Source Data'!$B$2:$B$1602,$A10,'Source Data'!$E$2:$E$1602))</f>
        <v/>
      </c>
      <c r="J10" s="6" t="str">
        <f aca="false">IF(COUNTIFS('Source Data'!$B$2:$B$1602,$A10,'Source Data'!$E$2:$E$1602,"&lt;&gt;")=0,"",_xlfn.MINIFS('Source Data'!$E$2:$E$1602,'Source Data'!$B$2:$B$1602,$A10))</f>
        <v/>
      </c>
      <c r="K10" s="6" t="str">
        <f aca="false">IF(COUNTIFS('Source Data'!$B$2:$B$1602,$A10,'Source Data'!$E$2:$E$1602,"&lt;&gt;")=0,"",_xlfn.MAXIFS('Source Data'!$E$2:$E$1602,'Source Data'!$B$2:$B$1602,$A10))</f>
        <v/>
      </c>
      <c r="L10" s="6" t="str">
        <f aca="false">IF(COUNTIFS('Source Data'!$B$2:$B$1602,$A10,'Source Data'!$F$2:$F$1602,"&lt;&gt;")=0,"",AVERAGEIF('Source Data'!$B$2:$B$1602,$A10,'Source Data'!$F$2:$F$1602))</f>
        <v/>
      </c>
      <c r="M10" s="6" t="str">
        <f aca="false">IF(COUNTIFS('Source Data'!$B$2:$B$1602,$A10,'Source Data'!$F$2:$F$1602,"&lt;&gt;")=0,"",_xlfn.MINIFS('Source Data'!$F$2:$F$1602,'Source Data'!$B$2:$B$1602,$A10))</f>
        <v/>
      </c>
      <c r="N10" s="6" t="str">
        <f aca="false">IF(COUNTIFS('Source Data'!$B$2:$B$1602,$A10,'Source Data'!$F$2:$F$1602,"&lt;&gt;")=0,"",_xlfn.MAXIFS('Source Data'!$F$2:$F$1602,'Source Data'!$B$2:$B$1602,$A10))</f>
        <v/>
      </c>
    </row>
    <row r="11" customFormat="false" ht="15" hidden="false" customHeight="false" outlineLevel="0" collapsed="false">
      <c r="A11" s="5" t="s">
        <v>108</v>
      </c>
      <c r="B11" s="7" t="n">
        <f aca="false">COUNTIF('Source Data'!$B$2:$B$1602,$A11)</f>
        <v>6</v>
      </c>
      <c r="C11" s="6" t="n">
        <f aca="false">IF(COUNTIFS('Source Data'!$B$2:$B$1602,$A11,'Source Data'!$C$2:$C$1602,"&lt;&gt;")=0,"",AVERAGEIF('Source Data'!$B$2:$B$1602,$A11,'Source Data'!$C$2:$C$1602))</f>
        <v>11.25</v>
      </c>
      <c r="D11" s="6" t="n">
        <f aca="false">IF(COUNTIFS('Source Data'!$B$2:$B$1602,$A11,'Source Data'!$C$2:$C$1602,"&lt;&gt;")=0,"",_xlfn.MINIFS('Source Data'!$C$2:$C$1602,'Source Data'!$B$2:$B$1602,$A11))</f>
        <v>6</v>
      </c>
      <c r="E11" s="6" t="n">
        <f aca="false">IF(COUNTIFS('Source Data'!$B$2:$B$1602,$A11,'Source Data'!$C$2:$C$1602,"&lt;&gt;")=0,"",_xlfn.MAXIFS('Source Data'!$C$2:$C$1602,'Source Data'!$B$2:$B$1602,$A11))</f>
        <v>24</v>
      </c>
      <c r="F11" s="6" t="n">
        <f aca="false">IF(COUNTIFS('Source Data'!$B$2:$B$1602,$A11,'Source Data'!$D$2:$D$1602,"&lt;&gt;")=0,"",AVERAGEIF('Source Data'!$B$2:$B$1602,$A11,'Source Data'!$D$2:$D$1602))</f>
        <v>4.75</v>
      </c>
      <c r="G11" s="6" t="n">
        <f aca="false">IF(COUNTIFS('Source Data'!$B$2:$B$1602,$A11,'Source Data'!$D$2:$D$1602,"&lt;&gt;")=0,"",_xlfn.MINIFS('Source Data'!$D$2:$D$1602,'Source Data'!$B$2:$B$1602,$A11))</f>
        <v>0</v>
      </c>
      <c r="H11" s="6" t="n">
        <f aca="false">IF(COUNTIFS('Source Data'!$B$2:$B$1602,$A11,'Source Data'!$D$2:$D$1602,"&lt;&gt;")=0,"",_xlfn.MAXIFS('Source Data'!$D$2:$D$1602,'Source Data'!$B$2:$B$1602,$A11))</f>
        <v>14</v>
      </c>
      <c r="I11" s="6" t="n">
        <f aca="false">IF(COUNTIFS('Source Data'!$B$2:$B$1602,$A11,'Source Data'!$E$2:$E$1602,"&lt;&gt;")=0,"",AVERAGEIF('Source Data'!$B$2:$B$1602,$A11,'Source Data'!$E$2:$E$1602))</f>
        <v>6.5</v>
      </c>
      <c r="J11" s="6" t="n">
        <f aca="false">IF(COUNTIFS('Source Data'!$B$2:$B$1602,$A11,'Source Data'!$E$2:$E$1602,"&lt;&gt;")=0,"",_xlfn.MINIFS('Source Data'!$E$2:$E$1602,'Source Data'!$B$2:$B$1602,$A11))</f>
        <v>0</v>
      </c>
      <c r="K11" s="6" t="n">
        <f aca="false">IF(COUNTIFS('Source Data'!$B$2:$B$1602,$A11,'Source Data'!$E$2:$E$1602,"&lt;&gt;")=0,"",_xlfn.MAXIFS('Source Data'!$E$2:$E$1602,'Source Data'!$B$2:$B$1602,$A11))</f>
        <v>12</v>
      </c>
      <c r="L11" s="6" t="str">
        <f aca="false">IF(COUNTIFS('Source Data'!$B$2:$B$1602,$A11,'Source Data'!$F$2:$F$1602,"&lt;&gt;")=0,"",AVERAGEIF('Source Data'!$B$2:$B$1602,$A11,'Source Data'!$F$2:$F$1602))</f>
        <v/>
      </c>
      <c r="M11" s="6" t="str">
        <f aca="false">IF(COUNTIFS('Source Data'!$B$2:$B$1602,$A11,'Source Data'!$F$2:$F$1602,"&lt;&gt;")=0,"",_xlfn.MINIFS('Source Data'!$F$2:$F$1602,'Source Data'!$B$2:$B$1602,$A11))</f>
        <v/>
      </c>
      <c r="N11" s="6" t="str">
        <f aca="false">IF(COUNTIFS('Source Data'!$B$2:$B$1602,$A11,'Source Data'!$F$2:$F$1602,"&lt;&gt;")=0,"",_xlfn.MAXIFS('Source Data'!$F$2:$F$1602,'Source Data'!$B$2:$B$1602,$A11))</f>
        <v/>
      </c>
    </row>
    <row r="12" customFormat="false" ht="15" hidden="false" customHeight="false" outlineLevel="0" collapsed="false">
      <c r="A12" s="5" t="s">
        <v>455</v>
      </c>
      <c r="B12" s="7" t="n">
        <f aca="false">COUNTIF('Source Data'!$B$2:$B$1602,$A12)</f>
        <v>1</v>
      </c>
      <c r="C12" s="6" t="n">
        <f aca="false">IF(COUNTIFS('Source Data'!$B$2:$B$1602,$A12,'Source Data'!$C$2:$C$1602,"&lt;&gt;")=0,"",AVERAGEIF('Source Data'!$B$2:$B$1602,$A12,'Source Data'!$C$2:$C$1602))</f>
        <v>8</v>
      </c>
      <c r="D12" s="6" t="n">
        <f aca="false">IF(COUNTIFS('Source Data'!$B$2:$B$1602,$A12,'Source Data'!$C$2:$C$1602,"&lt;&gt;")=0,"",_xlfn.MINIFS('Source Data'!$C$2:$C$1602,'Source Data'!$B$2:$B$1602,$A12))</f>
        <v>8</v>
      </c>
      <c r="E12" s="6" t="n">
        <f aca="false">IF(COUNTIFS('Source Data'!$B$2:$B$1602,$A12,'Source Data'!$C$2:$C$1602,"&lt;&gt;")=0,"",_xlfn.MAXIFS('Source Data'!$C$2:$C$1602,'Source Data'!$B$2:$B$1602,$A12))</f>
        <v>8</v>
      </c>
      <c r="F12" s="6" t="n">
        <f aca="false">IF(COUNTIFS('Source Data'!$B$2:$B$1602,$A12,'Source Data'!$D$2:$D$1602,"&lt;&gt;")=0,"",AVERAGEIF('Source Data'!$B$2:$B$1602,$A12,'Source Data'!$D$2:$D$1602))</f>
        <v>4</v>
      </c>
      <c r="G12" s="6" t="n">
        <f aca="false">IF(COUNTIFS('Source Data'!$B$2:$B$1602,$A12,'Source Data'!$D$2:$D$1602,"&lt;&gt;")=0,"",_xlfn.MINIFS('Source Data'!$D$2:$D$1602,'Source Data'!$B$2:$B$1602,$A12))</f>
        <v>4</v>
      </c>
      <c r="H12" s="6" t="n">
        <f aca="false">IF(COUNTIFS('Source Data'!$B$2:$B$1602,$A12,'Source Data'!$D$2:$D$1602,"&lt;&gt;")=0,"",_xlfn.MAXIFS('Source Data'!$D$2:$D$1602,'Source Data'!$B$2:$B$1602,$A12))</f>
        <v>4</v>
      </c>
      <c r="I12" s="6" t="str">
        <f aca="false">IF(COUNTIFS('Source Data'!$B$2:$B$1602,$A12,'Source Data'!$E$2:$E$1602,"&lt;&gt;")=0,"",AVERAGEIF('Source Data'!$B$2:$B$1602,$A12,'Source Data'!$E$2:$E$1602))</f>
        <v/>
      </c>
      <c r="J12" s="6" t="str">
        <f aca="false">IF(COUNTIFS('Source Data'!$B$2:$B$1602,$A12,'Source Data'!$E$2:$E$1602,"&lt;&gt;")=0,"",_xlfn.MINIFS('Source Data'!$E$2:$E$1602,'Source Data'!$B$2:$B$1602,$A12))</f>
        <v/>
      </c>
      <c r="K12" s="6" t="str">
        <f aca="false">IF(COUNTIFS('Source Data'!$B$2:$B$1602,$A12,'Source Data'!$E$2:$E$1602,"&lt;&gt;")=0,"",_xlfn.MAXIFS('Source Data'!$E$2:$E$1602,'Source Data'!$B$2:$B$1602,$A12))</f>
        <v/>
      </c>
      <c r="L12" s="6" t="str">
        <f aca="false">IF(COUNTIFS('Source Data'!$B$2:$B$1602,$A12,'Source Data'!$F$2:$F$1602,"&lt;&gt;")=0,"",AVERAGEIF('Source Data'!$B$2:$B$1602,$A12,'Source Data'!$F$2:$F$1602))</f>
        <v/>
      </c>
      <c r="M12" s="6" t="str">
        <f aca="false">IF(COUNTIFS('Source Data'!$B$2:$B$1602,$A12,'Source Data'!$F$2:$F$1602,"&lt;&gt;")=0,"",_xlfn.MINIFS('Source Data'!$F$2:$F$1602,'Source Data'!$B$2:$B$1602,$A12))</f>
        <v/>
      </c>
      <c r="N12" s="6" t="str">
        <f aca="false">IF(COUNTIFS('Source Data'!$B$2:$B$1602,$A12,'Source Data'!$F$2:$F$1602,"&lt;&gt;")=0,"",_xlfn.MAXIFS('Source Data'!$F$2:$F$1602,'Source Data'!$B$2:$B$1602,$A12))</f>
        <v/>
      </c>
    </row>
    <row r="13" customFormat="false" ht="15" hidden="false" customHeight="false" outlineLevel="0" collapsed="false">
      <c r="A13" s="5" t="s">
        <v>113</v>
      </c>
      <c r="B13" s="7" t="n">
        <f aca="false">COUNTIF('Source Data'!$B$2:$B$1602,$A13)</f>
        <v>6</v>
      </c>
      <c r="C13" s="6" t="n">
        <f aca="false">IF(COUNTIFS('Source Data'!$B$2:$B$1602,$A13,'Source Data'!$C$2:$C$1602,"&lt;&gt;")=0,"",AVERAGEIF('Source Data'!$B$2:$B$1602,$A13,'Source Data'!$C$2:$C$1602))</f>
        <v>6</v>
      </c>
      <c r="D13" s="6" t="n">
        <f aca="false">IF(COUNTIFS('Source Data'!$B$2:$B$1602,$A13,'Source Data'!$C$2:$C$1602,"&lt;&gt;")=0,"",_xlfn.MINIFS('Source Data'!$C$2:$C$1602,'Source Data'!$B$2:$B$1602,$A13))</f>
        <v>0</v>
      </c>
      <c r="E13" s="6" t="n">
        <f aca="false">IF(COUNTIFS('Source Data'!$B$2:$B$1602,$A13,'Source Data'!$C$2:$C$1602,"&lt;&gt;")=0,"",_xlfn.MAXIFS('Source Data'!$C$2:$C$1602,'Source Data'!$B$2:$B$1602,$A13))</f>
        <v>12</v>
      </c>
      <c r="F13" s="6" t="n">
        <f aca="false">IF(COUNTIFS('Source Data'!$B$2:$B$1602,$A13,'Source Data'!$D$2:$D$1602,"&lt;&gt;")=0,"",AVERAGEIF('Source Data'!$B$2:$B$1602,$A13,'Source Data'!$D$2:$D$1602))</f>
        <v>3.66666666666667</v>
      </c>
      <c r="G13" s="6" t="n">
        <f aca="false">IF(COUNTIFS('Source Data'!$B$2:$B$1602,$A13,'Source Data'!$D$2:$D$1602,"&lt;&gt;")=0,"",_xlfn.MINIFS('Source Data'!$D$2:$D$1602,'Source Data'!$B$2:$B$1602,$A13))</f>
        <v>0</v>
      </c>
      <c r="H13" s="6" t="n">
        <f aca="false">IF(COUNTIFS('Source Data'!$B$2:$B$1602,$A13,'Source Data'!$D$2:$D$1602,"&lt;&gt;")=0,"",_xlfn.MAXIFS('Source Data'!$D$2:$D$1602,'Source Data'!$B$2:$B$1602,$A13))</f>
        <v>12</v>
      </c>
      <c r="I13" s="6" t="n">
        <f aca="false">IF(COUNTIFS('Source Data'!$B$2:$B$1602,$A13,'Source Data'!$E$2:$E$1602,"&lt;&gt;")=0,"",AVERAGEIF('Source Data'!$B$2:$B$1602,$A13,'Source Data'!$E$2:$E$1602))</f>
        <v>0</v>
      </c>
      <c r="J13" s="6" t="n">
        <f aca="false">IF(COUNTIFS('Source Data'!$B$2:$B$1602,$A13,'Source Data'!$E$2:$E$1602,"&lt;&gt;")=0,"",_xlfn.MINIFS('Source Data'!$E$2:$E$1602,'Source Data'!$B$2:$B$1602,$A13))</f>
        <v>0</v>
      </c>
      <c r="K13" s="6" t="n">
        <f aca="false">IF(COUNTIFS('Source Data'!$B$2:$B$1602,$A13,'Source Data'!$E$2:$E$1602,"&lt;&gt;")=0,"",_xlfn.MAXIFS('Source Data'!$E$2:$E$1602,'Source Data'!$B$2:$B$1602,$A13))</f>
        <v>0</v>
      </c>
      <c r="L13" s="6" t="str">
        <f aca="false">IF(COUNTIFS('Source Data'!$B$2:$B$1602,$A13,'Source Data'!$F$2:$F$1602,"&lt;&gt;")=0,"",AVERAGEIF('Source Data'!$B$2:$B$1602,$A13,'Source Data'!$F$2:$F$1602))</f>
        <v/>
      </c>
      <c r="M13" s="6" t="str">
        <f aca="false">IF(COUNTIFS('Source Data'!$B$2:$B$1602,$A13,'Source Data'!$F$2:$F$1602,"&lt;&gt;")=0,"",_xlfn.MINIFS('Source Data'!$F$2:$F$1602,'Source Data'!$B$2:$B$1602,$A13))</f>
        <v/>
      </c>
      <c r="N13" s="6" t="str">
        <f aca="false">IF(COUNTIFS('Source Data'!$B$2:$B$1602,$A13,'Source Data'!$F$2:$F$1602,"&lt;&gt;")=0,"",_xlfn.MAXIFS('Source Data'!$F$2:$F$1602,'Source Data'!$B$2:$B$1602,$A13))</f>
        <v/>
      </c>
    </row>
    <row r="14" customFormat="false" ht="15" hidden="false" customHeight="false" outlineLevel="0" collapsed="false">
      <c r="A14" s="5" t="s">
        <v>462</v>
      </c>
      <c r="B14" s="7" t="n">
        <f aca="false">COUNTIF('Source Data'!$B$2:$B$1602,$A14)</f>
        <v>1</v>
      </c>
      <c r="C14" s="6" t="n">
        <f aca="false">IF(COUNTIFS('Source Data'!$B$2:$B$1602,$A14,'Source Data'!$C$2:$C$1602,"&lt;&gt;")=0,"",AVERAGEIF('Source Data'!$B$2:$B$1602,$A14,'Source Data'!$C$2:$C$1602))</f>
        <v>4</v>
      </c>
      <c r="D14" s="6" t="n">
        <f aca="false">IF(COUNTIFS('Source Data'!$B$2:$B$1602,$A14,'Source Data'!$C$2:$C$1602,"&lt;&gt;")=0,"",_xlfn.MINIFS('Source Data'!$C$2:$C$1602,'Source Data'!$B$2:$B$1602,$A14))</f>
        <v>4</v>
      </c>
      <c r="E14" s="6" t="n">
        <f aca="false">IF(COUNTIFS('Source Data'!$B$2:$B$1602,$A14,'Source Data'!$C$2:$C$1602,"&lt;&gt;")=0,"",_xlfn.MAXIFS('Source Data'!$C$2:$C$1602,'Source Data'!$B$2:$B$1602,$A14))</f>
        <v>4</v>
      </c>
      <c r="F14" s="6" t="n">
        <f aca="false">IF(COUNTIFS('Source Data'!$B$2:$B$1602,$A14,'Source Data'!$D$2:$D$1602,"&lt;&gt;")=0,"",AVERAGEIF('Source Data'!$B$2:$B$1602,$A14,'Source Data'!$D$2:$D$1602))</f>
        <v>0</v>
      </c>
      <c r="G14" s="6" t="n">
        <f aca="false">IF(COUNTIFS('Source Data'!$B$2:$B$1602,$A14,'Source Data'!$D$2:$D$1602,"&lt;&gt;")=0,"",_xlfn.MINIFS('Source Data'!$D$2:$D$1602,'Source Data'!$B$2:$B$1602,$A14))</f>
        <v>0</v>
      </c>
      <c r="H14" s="6" t="n">
        <f aca="false">IF(COUNTIFS('Source Data'!$B$2:$B$1602,$A14,'Source Data'!$D$2:$D$1602,"&lt;&gt;")=0,"",_xlfn.MAXIFS('Source Data'!$D$2:$D$1602,'Source Data'!$B$2:$B$1602,$A14))</f>
        <v>0</v>
      </c>
      <c r="I14" s="6" t="str">
        <f aca="false">IF(COUNTIFS('Source Data'!$B$2:$B$1602,$A14,'Source Data'!$E$2:$E$1602,"&lt;&gt;")=0,"",AVERAGEIF('Source Data'!$B$2:$B$1602,$A14,'Source Data'!$E$2:$E$1602))</f>
        <v/>
      </c>
      <c r="J14" s="6" t="str">
        <f aca="false">IF(COUNTIFS('Source Data'!$B$2:$B$1602,$A14,'Source Data'!$E$2:$E$1602,"&lt;&gt;")=0,"",_xlfn.MINIFS('Source Data'!$E$2:$E$1602,'Source Data'!$B$2:$B$1602,$A14))</f>
        <v/>
      </c>
      <c r="K14" s="6" t="str">
        <f aca="false">IF(COUNTIFS('Source Data'!$B$2:$B$1602,$A14,'Source Data'!$E$2:$E$1602,"&lt;&gt;")=0,"",_xlfn.MAXIFS('Source Data'!$E$2:$E$1602,'Source Data'!$B$2:$B$1602,$A14))</f>
        <v/>
      </c>
      <c r="L14" s="6" t="str">
        <f aca="false">IF(COUNTIFS('Source Data'!$B$2:$B$1602,$A14,'Source Data'!$F$2:$F$1602,"&lt;&gt;")=0,"",AVERAGEIF('Source Data'!$B$2:$B$1602,$A14,'Source Data'!$F$2:$F$1602))</f>
        <v/>
      </c>
      <c r="M14" s="6" t="str">
        <f aca="false">IF(COUNTIFS('Source Data'!$B$2:$B$1602,$A14,'Source Data'!$F$2:$F$1602,"&lt;&gt;")=0,"",_xlfn.MINIFS('Source Data'!$F$2:$F$1602,'Source Data'!$B$2:$B$1602,$A14))</f>
        <v/>
      </c>
      <c r="N14" s="6" t="str">
        <f aca="false">IF(COUNTIFS('Source Data'!$B$2:$B$1602,$A14,'Source Data'!$F$2:$F$1602,"&lt;&gt;")=0,"",_xlfn.MAXIFS('Source Data'!$F$2:$F$1602,'Source Data'!$B$2:$B$1602,$A14))</f>
        <v/>
      </c>
    </row>
    <row r="15" customFormat="false" ht="15" hidden="false" customHeight="false" outlineLevel="0" collapsed="false">
      <c r="A15" s="5" t="s">
        <v>464</v>
      </c>
      <c r="B15" s="7" t="n">
        <f aca="false">COUNTIF('Source Data'!$B$2:$B$1602,$A15)</f>
        <v>3</v>
      </c>
      <c r="C15" s="6" t="n">
        <f aca="false">IF(COUNTIFS('Source Data'!$B$2:$B$1602,$A15,'Source Data'!$C$2:$C$1602,"&lt;&gt;")=0,"",AVERAGEIF('Source Data'!$B$2:$B$1602,$A15,'Source Data'!$C$2:$C$1602))</f>
        <v>4.66666666666667</v>
      </c>
      <c r="D15" s="6" t="n">
        <f aca="false">IF(COUNTIFS('Source Data'!$B$2:$B$1602,$A15,'Source Data'!$C$2:$C$1602,"&lt;&gt;")=0,"",_xlfn.MINIFS('Source Data'!$C$2:$C$1602,'Source Data'!$B$2:$B$1602,$A15))</f>
        <v>0</v>
      </c>
      <c r="E15" s="6" t="n">
        <f aca="false">IF(COUNTIFS('Source Data'!$B$2:$B$1602,$A15,'Source Data'!$C$2:$C$1602,"&lt;&gt;")=0,"",_xlfn.MAXIFS('Source Data'!$C$2:$C$1602,'Source Data'!$B$2:$B$1602,$A15))</f>
        <v>12</v>
      </c>
      <c r="F15" s="6" t="n">
        <f aca="false">IF(COUNTIFS('Source Data'!$B$2:$B$1602,$A15,'Source Data'!$D$2:$D$1602,"&lt;&gt;")=0,"",AVERAGEIF('Source Data'!$B$2:$B$1602,$A15,'Source Data'!$D$2:$D$1602))</f>
        <v>11</v>
      </c>
      <c r="G15" s="6" t="n">
        <f aca="false">IF(COUNTIFS('Source Data'!$B$2:$B$1602,$A15,'Source Data'!$D$2:$D$1602,"&lt;&gt;")=0,"",_xlfn.MINIFS('Source Data'!$D$2:$D$1602,'Source Data'!$B$2:$B$1602,$A15))</f>
        <v>10</v>
      </c>
      <c r="H15" s="6" t="n">
        <f aca="false">IF(COUNTIFS('Source Data'!$B$2:$B$1602,$A15,'Source Data'!$D$2:$D$1602,"&lt;&gt;")=0,"",_xlfn.MAXIFS('Source Data'!$D$2:$D$1602,'Source Data'!$B$2:$B$1602,$A15))</f>
        <v>12</v>
      </c>
      <c r="I15" s="6" t="str">
        <f aca="false">IF(COUNTIFS('Source Data'!$B$2:$B$1602,$A15,'Source Data'!$E$2:$E$1602,"&lt;&gt;")=0,"",AVERAGEIF('Source Data'!$B$2:$B$1602,$A15,'Source Data'!$E$2:$E$1602))</f>
        <v/>
      </c>
      <c r="J15" s="6" t="str">
        <f aca="false">IF(COUNTIFS('Source Data'!$B$2:$B$1602,$A15,'Source Data'!$E$2:$E$1602,"&lt;&gt;")=0,"",_xlfn.MINIFS('Source Data'!$E$2:$E$1602,'Source Data'!$B$2:$B$1602,$A15))</f>
        <v/>
      </c>
      <c r="K15" s="6" t="str">
        <f aca="false">IF(COUNTIFS('Source Data'!$B$2:$B$1602,$A15,'Source Data'!$E$2:$E$1602,"&lt;&gt;")=0,"",_xlfn.MAXIFS('Source Data'!$E$2:$E$1602,'Source Data'!$B$2:$B$1602,$A15))</f>
        <v/>
      </c>
      <c r="L15" s="6" t="str">
        <f aca="false">IF(COUNTIFS('Source Data'!$B$2:$B$1602,$A15,'Source Data'!$F$2:$F$1602,"&lt;&gt;")=0,"",AVERAGEIF('Source Data'!$B$2:$B$1602,$A15,'Source Data'!$F$2:$F$1602))</f>
        <v/>
      </c>
      <c r="M15" s="6" t="str">
        <f aca="false">IF(COUNTIFS('Source Data'!$B$2:$B$1602,$A15,'Source Data'!$F$2:$F$1602,"&lt;&gt;")=0,"",_xlfn.MINIFS('Source Data'!$F$2:$F$1602,'Source Data'!$B$2:$B$1602,$A15))</f>
        <v/>
      </c>
      <c r="N15" s="6" t="str">
        <f aca="false">IF(COUNTIFS('Source Data'!$B$2:$B$1602,$A15,'Source Data'!$F$2:$F$1602,"&lt;&gt;")=0,"",_xlfn.MAXIFS('Source Data'!$F$2:$F$1602,'Source Data'!$B$2:$B$1602,$A15))</f>
        <v/>
      </c>
    </row>
    <row r="16" customFormat="false" ht="15" hidden="false" customHeight="false" outlineLevel="0" collapsed="false">
      <c r="A16" s="5" t="s">
        <v>115</v>
      </c>
      <c r="B16" s="7" t="n">
        <f aca="false">COUNTIF('Source Data'!$B$2:$B$1602,$A16)</f>
        <v>5</v>
      </c>
      <c r="C16" s="6" t="n">
        <f aca="false">IF(COUNTIFS('Source Data'!$B$2:$B$1602,$A16,'Source Data'!$C$2:$C$1602,"&lt;&gt;")=0,"",AVERAGEIF('Source Data'!$B$2:$B$1602,$A16,'Source Data'!$C$2:$C$1602))</f>
        <v>19.9</v>
      </c>
      <c r="D16" s="6" t="n">
        <f aca="false">IF(COUNTIFS('Source Data'!$B$2:$B$1602,$A16,'Source Data'!$C$2:$C$1602,"&lt;&gt;")=0,"",_xlfn.MINIFS('Source Data'!$C$2:$C$1602,'Source Data'!$B$2:$B$1602,$A16))</f>
        <v>6</v>
      </c>
      <c r="E16" s="6" t="n">
        <f aca="false">IF(COUNTIFS('Source Data'!$B$2:$B$1602,$A16,'Source Data'!$C$2:$C$1602,"&lt;&gt;")=0,"",_xlfn.MAXIFS('Source Data'!$C$2:$C$1602,'Source Data'!$B$2:$B$1602,$A16))</f>
        <v>36</v>
      </c>
      <c r="F16" s="6" t="n">
        <f aca="false">IF(COUNTIFS('Source Data'!$B$2:$B$1602,$A16,'Source Data'!$D$2:$D$1602,"&lt;&gt;")=0,"",AVERAGEIF('Source Data'!$B$2:$B$1602,$A16,'Source Data'!$D$2:$D$1602))</f>
        <v>9.4</v>
      </c>
      <c r="G16" s="6" t="n">
        <f aca="false">IF(COUNTIFS('Source Data'!$B$2:$B$1602,$A16,'Source Data'!$D$2:$D$1602,"&lt;&gt;")=0,"",_xlfn.MINIFS('Source Data'!$D$2:$D$1602,'Source Data'!$B$2:$B$1602,$A16))</f>
        <v>0</v>
      </c>
      <c r="H16" s="6" t="n">
        <f aca="false">IF(COUNTIFS('Source Data'!$B$2:$B$1602,$A16,'Source Data'!$D$2:$D$1602,"&lt;&gt;")=0,"",_xlfn.MAXIFS('Source Data'!$D$2:$D$1602,'Source Data'!$B$2:$B$1602,$A16))</f>
        <v>25</v>
      </c>
      <c r="I16" s="6" t="n">
        <f aca="false">IF(COUNTIFS('Source Data'!$B$2:$B$1602,$A16,'Source Data'!$E$2:$E$1602,"&lt;&gt;")=0,"",AVERAGEIF('Source Data'!$B$2:$B$1602,$A16,'Source Data'!$E$2:$E$1602))</f>
        <v>16</v>
      </c>
      <c r="J16" s="6" t="n">
        <f aca="false">IF(COUNTIFS('Source Data'!$B$2:$B$1602,$A16,'Source Data'!$E$2:$E$1602,"&lt;&gt;")=0,"",_xlfn.MINIFS('Source Data'!$E$2:$E$1602,'Source Data'!$B$2:$B$1602,$A16))</f>
        <v>16</v>
      </c>
      <c r="K16" s="6" t="n">
        <f aca="false">IF(COUNTIFS('Source Data'!$B$2:$B$1602,$A16,'Source Data'!$E$2:$E$1602,"&lt;&gt;")=0,"",_xlfn.MAXIFS('Source Data'!$E$2:$E$1602,'Source Data'!$B$2:$B$1602,$A16))</f>
        <v>16</v>
      </c>
      <c r="L16" s="6" t="str">
        <f aca="false">IF(COUNTIFS('Source Data'!$B$2:$B$1602,$A16,'Source Data'!$F$2:$F$1602,"&lt;&gt;")=0,"",AVERAGEIF('Source Data'!$B$2:$B$1602,$A16,'Source Data'!$F$2:$F$1602))</f>
        <v/>
      </c>
      <c r="M16" s="6" t="str">
        <f aca="false">IF(COUNTIFS('Source Data'!$B$2:$B$1602,$A16,'Source Data'!$F$2:$F$1602,"&lt;&gt;")=0,"",_xlfn.MINIFS('Source Data'!$F$2:$F$1602,'Source Data'!$B$2:$B$1602,$A16))</f>
        <v/>
      </c>
      <c r="N16" s="6" t="str">
        <f aca="false">IF(COUNTIFS('Source Data'!$B$2:$B$1602,$A16,'Source Data'!$F$2:$F$1602,"&lt;&gt;")=0,"",_xlfn.MAXIFS('Source Data'!$F$2:$F$1602,'Source Data'!$B$2:$B$1602,$A16))</f>
        <v/>
      </c>
    </row>
    <row r="17" customFormat="false" ht="15" hidden="false" customHeight="false" outlineLevel="0" collapsed="false">
      <c r="A17" s="5" t="s">
        <v>25</v>
      </c>
      <c r="B17" s="7" t="n">
        <f aca="false">COUNTIF('Source Data'!$B$2:$B$1602,$A17)</f>
        <v>24</v>
      </c>
      <c r="C17" s="6" t="n">
        <f aca="false">IF(COUNTIFS('Source Data'!$B$2:$B$1602,$A17,'Source Data'!$C$2:$C$1602,"&lt;&gt;")=0,"",AVERAGEIF('Source Data'!$B$2:$B$1602,$A17,'Source Data'!$C$2:$C$1602))</f>
        <v>11.7708333333333</v>
      </c>
      <c r="D17" s="6" t="n">
        <f aca="false">IF(COUNTIFS('Source Data'!$B$2:$B$1602,$A17,'Source Data'!$C$2:$C$1602,"&lt;&gt;")=0,"",_xlfn.MINIFS('Source Data'!$C$2:$C$1602,'Source Data'!$B$2:$B$1602,$A17))</f>
        <v>2</v>
      </c>
      <c r="E17" s="6" t="n">
        <f aca="false">IF(COUNTIFS('Source Data'!$B$2:$B$1602,$A17,'Source Data'!$C$2:$C$1602,"&lt;&gt;")=0,"",_xlfn.MAXIFS('Source Data'!$C$2:$C$1602,'Source Data'!$B$2:$B$1602,$A17))</f>
        <v>26</v>
      </c>
      <c r="F17" s="6" t="n">
        <f aca="false">IF(COUNTIFS('Source Data'!$B$2:$B$1602,$A17,'Source Data'!$D$2:$D$1602,"&lt;&gt;")=0,"",AVERAGEIF('Source Data'!$B$2:$B$1602,$A17,'Source Data'!$D$2:$D$1602))</f>
        <v>6.27083333333333</v>
      </c>
      <c r="G17" s="6" t="n">
        <f aca="false">IF(COUNTIFS('Source Data'!$B$2:$B$1602,$A17,'Source Data'!$D$2:$D$1602,"&lt;&gt;")=0,"",_xlfn.MINIFS('Source Data'!$D$2:$D$1602,'Source Data'!$B$2:$B$1602,$A17))</f>
        <v>0</v>
      </c>
      <c r="H17" s="6" t="n">
        <f aca="false">IF(COUNTIFS('Source Data'!$B$2:$B$1602,$A17,'Source Data'!$D$2:$D$1602,"&lt;&gt;")=0,"",_xlfn.MAXIFS('Source Data'!$D$2:$D$1602,'Source Data'!$B$2:$B$1602,$A17))</f>
        <v>26</v>
      </c>
      <c r="I17" s="6" t="n">
        <f aca="false">IF(COUNTIFS('Source Data'!$B$2:$B$1602,$A17,'Source Data'!$E$2:$E$1602,"&lt;&gt;")=0,"",AVERAGEIF('Source Data'!$B$2:$B$1602,$A17,'Source Data'!$E$2:$E$1602))</f>
        <v>8</v>
      </c>
      <c r="J17" s="6" t="n">
        <f aca="false">IF(COUNTIFS('Source Data'!$B$2:$B$1602,$A17,'Source Data'!$E$2:$E$1602,"&lt;&gt;")=0,"",_xlfn.MINIFS('Source Data'!$E$2:$E$1602,'Source Data'!$B$2:$B$1602,$A17))</f>
        <v>2</v>
      </c>
      <c r="K17" s="6" t="n">
        <f aca="false">IF(COUNTIFS('Source Data'!$B$2:$B$1602,$A17,'Source Data'!$E$2:$E$1602,"&lt;&gt;")=0,"",_xlfn.MAXIFS('Source Data'!$E$2:$E$1602,'Source Data'!$B$2:$B$1602,$A17))</f>
        <v>16</v>
      </c>
      <c r="L17" s="6" t="n">
        <f aca="false">IF(COUNTIFS('Source Data'!$B$2:$B$1602,$A17,'Source Data'!$F$2:$F$1602,"&lt;&gt;")=0,"",AVERAGEIF('Source Data'!$B$2:$B$1602,$A17,'Source Data'!$F$2:$F$1602))</f>
        <v>4</v>
      </c>
      <c r="M17" s="6" t="n">
        <f aca="false">IF(COUNTIFS('Source Data'!$B$2:$B$1602,$A17,'Source Data'!$F$2:$F$1602,"&lt;&gt;")=0,"",_xlfn.MINIFS('Source Data'!$F$2:$F$1602,'Source Data'!$B$2:$B$1602,$A17))</f>
        <v>4</v>
      </c>
      <c r="N17" s="6" t="n">
        <f aca="false">IF(COUNTIFS('Source Data'!$B$2:$B$1602,$A17,'Source Data'!$F$2:$F$1602,"&lt;&gt;")=0,"",_xlfn.MAXIFS('Source Data'!$F$2:$F$1602,'Source Data'!$B$2:$B$1602,$A17))</f>
        <v>4</v>
      </c>
    </row>
    <row r="18" customFormat="false" ht="15" hidden="false" customHeight="false" outlineLevel="0" collapsed="false">
      <c r="A18" s="5" t="s">
        <v>491</v>
      </c>
      <c r="B18" s="7" t="n">
        <f aca="false">COUNTIF('Source Data'!$B$2:$B$1602,$A18)</f>
        <v>3</v>
      </c>
      <c r="C18" s="6" t="n">
        <f aca="false">IF(COUNTIFS('Source Data'!$B$2:$B$1602,$A18,'Source Data'!$C$2:$C$1602,"&lt;&gt;")=0,"",AVERAGEIF('Source Data'!$B$2:$B$1602,$A18,'Source Data'!$C$2:$C$1602))</f>
        <v>3.66666666666667</v>
      </c>
      <c r="D18" s="6" t="n">
        <f aca="false">IF(COUNTIFS('Source Data'!$B$2:$B$1602,$A18,'Source Data'!$C$2:$C$1602,"&lt;&gt;")=0,"",_xlfn.MINIFS('Source Data'!$C$2:$C$1602,'Source Data'!$B$2:$B$1602,$A18))</f>
        <v>0</v>
      </c>
      <c r="E18" s="6" t="n">
        <f aca="false">IF(COUNTIFS('Source Data'!$B$2:$B$1602,$A18,'Source Data'!$C$2:$C$1602,"&lt;&gt;")=0,"",_xlfn.MAXIFS('Source Data'!$C$2:$C$1602,'Source Data'!$B$2:$B$1602,$A18))</f>
        <v>6</v>
      </c>
      <c r="F18" s="6" t="n">
        <f aca="false">IF(COUNTIFS('Source Data'!$B$2:$B$1602,$A18,'Source Data'!$D$2:$D$1602,"&lt;&gt;")=0,"",AVERAGEIF('Source Data'!$B$2:$B$1602,$A18,'Source Data'!$D$2:$D$1602))</f>
        <v>9</v>
      </c>
      <c r="G18" s="6" t="n">
        <f aca="false">IF(COUNTIFS('Source Data'!$B$2:$B$1602,$A18,'Source Data'!$D$2:$D$1602,"&lt;&gt;")=0,"",_xlfn.MINIFS('Source Data'!$D$2:$D$1602,'Source Data'!$B$2:$B$1602,$A18))</f>
        <v>0</v>
      </c>
      <c r="H18" s="6" t="n">
        <f aca="false">IF(COUNTIFS('Source Data'!$B$2:$B$1602,$A18,'Source Data'!$D$2:$D$1602,"&lt;&gt;")=0,"",_xlfn.MAXIFS('Source Data'!$D$2:$D$1602,'Source Data'!$B$2:$B$1602,$A18))</f>
        <v>21</v>
      </c>
      <c r="I18" s="6" t="str">
        <f aca="false">IF(COUNTIFS('Source Data'!$B$2:$B$1602,$A18,'Source Data'!$E$2:$E$1602,"&lt;&gt;")=0,"",AVERAGEIF('Source Data'!$B$2:$B$1602,$A18,'Source Data'!$E$2:$E$1602))</f>
        <v/>
      </c>
      <c r="J18" s="6" t="str">
        <f aca="false">IF(COUNTIFS('Source Data'!$B$2:$B$1602,$A18,'Source Data'!$E$2:$E$1602,"&lt;&gt;")=0,"",_xlfn.MINIFS('Source Data'!$E$2:$E$1602,'Source Data'!$B$2:$B$1602,$A18))</f>
        <v/>
      </c>
      <c r="K18" s="6" t="str">
        <f aca="false">IF(COUNTIFS('Source Data'!$B$2:$B$1602,$A18,'Source Data'!$E$2:$E$1602,"&lt;&gt;")=0,"",_xlfn.MAXIFS('Source Data'!$E$2:$E$1602,'Source Data'!$B$2:$B$1602,$A18))</f>
        <v/>
      </c>
      <c r="L18" s="6" t="str">
        <f aca="false">IF(COUNTIFS('Source Data'!$B$2:$B$1602,$A18,'Source Data'!$F$2:$F$1602,"&lt;&gt;")=0,"",AVERAGEIF('Source Data'!$B$2:$B$1602,$A18,'Source Data'!$F$2:$F$1602))</f>
        <v/>
      </c>
      <c r="M18" s="6" t="str">
        <f aca="false">IF(COUNTIFS('Source Data'!$B$2:$B$1602,$A18,'Source Data'!$F$2:$F$1602,"&lt;&gt;")=0,"",_xlfn.MINIFS('Source Data'!$F$2:$F$1602,'Source Data'!$B$2:$B$1602,$A18))</f>
        <v/>
      </c>
      <c r="N18" s="6" t="str">
        <f aca="false">IF(COUNTIFS('Source Data'!$B$2:$B$1602,$A18,'Source Data'!$F$2:$F$1602,"&lt;&gt;")=0,"",_xlfn.MAXIFS('Source Data'!$F$2:$F$1602,'Source Data'!$B$2:$B$1602,$A18))</f>
        <v/>
      </c>
    </row>
    <row r="19" customFormat="false" ht="15" hidden="false" customHeight="false" outlineLevel="0" collapsed="false">
      <c r="A19" s="5" t="s">
        <v>28</v>
      </c>
      <c r="B19" s="7" t="n">
        <f aca="false">COUNTIF('Source Data'!$B$2:$B$1602,$A19)</f>
        <v>27</v>
      </c>
      <c r="C19" s="6" t="n">
        <f aca="false">IF(COUNTIFS('Source Data'!$B$2:$B$1602,$A19,'Source Data'!$C$2:$C$1602,"&lt;&gt;")=0,"",AVERAGEIF('Source Data'!$B$2:$B$1602,$A19,'Source Data'!$C$2:$C$1602))</f>
        <v>8.11111111111111</v>
      </c>
      <c r="D19" s="6" t="n">
        <f aca="false">IF(COUNTIFS('Source Data'!$B$2:$B$1602,$A19,'Source Data'!$C$2:$C$1602,"&lt;&gt;")=0,"",_xlfn.MINIFS('Source Data'!$C$2:$C$1602,'Source Data'!$B$2:$B$1602,$A19))</f>
        <v>0</v>
      </c>
      <c r="E19" s="6" t="n">
        <f aca="false">IF(COUNTIFS('Source Data'!$B$2:$B$1602,$A19,'Source Data'!$C$2:$C$1602,"&lt;&gt;")=0,"",_xlfn.MAXIFS('Source Data'!$C$2:$C$1602,'Source Data'!$B$2:$B$1602,$A19))</f>
        <v>39</v>
      </c>
      <c r="F19" s="6" t="n">
        <f aca="false">IF(COUNTIFS('Source Data'!$B$2:$B$1602,$A19,'Source Data'!$D$2:$D$1602,"&lt;&gt;")=0,"",AVERAGEIF('Source Data'!$B$2:$B$1602,$A19,'Source Data'!$D$2:$D$1602))</f>
        <v>7.70833333333333</v>
      </c>
      <c r="G19" s="6" t="n">
        <f aca="false">IF(COUNTIFS('Source Data'!$B$2:$B$1602,$A19,'Source Data'!$D$2:$D$1602,"&lt;&gt;")=0,"",_xlfn.MINIFS('Source Data'!$D$2:$D$1602,'Source Data'!$B$2:$B$1602,$A19))</f>
        <v>0</v>
      </c>
      <c r="H19" s="6" t="n">
        <f aca="false">IF(COUNTIFS('Source Data'!$B$2:$B$1602,$A19,'Source Data'!$D$2:$D$1602,"&lt;&gt;")=0,"",_xlfn.MAXIFS('Source Data'!$D$2:$D$1602,'Source Data'!$B$2:$B$1602,$A19))</f>
        <v>52</v>
      </c>
      <c r="I19" s="6" t="n">
        <f aca="false">IF(COUNTIFS('Source Data'!$B$2:$B$1602,$A19,'Source Data'!$E$2:$E$1602,"&lt;&gt;")=0,"",AVERAGEIF('Source Data'!$B$2:$B$1602,$A19,'Source Data'!$E$2:$E$1602))</f>
        <v>0</v>
      </c>
      <c r="J19" s="6" t="n">
        <f aca="false">IF(COUNTIFS('Source Data'!$B$2:$B$1602,$A19,'Source Data'!$E$2:$E$1602,"&lt;&gt;")=0,"",_xlfn.MINIFS('Source Data'!$E$2:$E$1602,'Source Data'!$B$2:$B$1602,$A19))</f>
        <v>0</v>
      </c>
      <c r="K19" s="6" t="n">
        <f aca="false">IF(COUNTIFS('Source Data'!$B$2:$B$1602,$A19,'Source Data'!$E$2:$E$1602,"&lt;&gt;")=0,"",_xlfn.MAXIFS('Source Data'!$E$2:$E$1602,'Source Data'!$B$2:$B$1602,$A19))</f>
        <v>0</v>
      </c>
      <c r="L19" s="6" t="n">
        <f aca="false">IF(COUNTIFS('Source Data'!$B$2:$B$1602,$A19,'Source Data'!$F$2:$F$1602,"&lt;&gt;")=0,"",AVERAGEIF('Source Data'!$B$2:$B$1602,$A19,'Source Data'!$F$2:$F$1602))</f>
        <v>0</v>
      </c>
      <c r="M19" s="6" t="n">
        <f aca="false">IF(COUNTIFS('Source Data'!$B$2:$B$1602,$A19,'Source Data'!$F$2:$F$1602,"&lt;&gt;")=0,"",_xlfn.MINIFS('Source Data'!$F$2:$F$1602,'Source Data'!$B$2:$B$1602,$A19))</f>
        <v>0</v>
      </c>
      <c r="N19" s="6" t="n">
        <f aca="false">IF(COUNTIFS('Source Data'!$B$2:$B$1602,$A19,'Source Data'!$F$2:$F$1602,"&lt;&gt;")=0,"",_xlfn.MAXIFS('Source Data'!$F$2:$F$1602,'Source Data'!$B$2:$B$1602,$A19))</f>
        <v>0</v>
      </c>
    </row>
    <row r="20" customFormat="false" ht="15" hidden="false" customHeight="false" outlineLevel="0" collapsed="false">
      <c r="A20" s="5" t="s">
        <v>120</v>
      </c>
      <c r="B20" s="7" t="n">
        <f aca="false">COUNTIF('Source Data'!$B$2:$B$1602,$A20)</f>
        <v>15</v>
      </c>
      <c r="C20" s="6" t="n">
        <f aca="false">IF(COUNTIFS('Source Data'!$B$2:$B$1602,$A20,'Source Data'!$C$2:$C$1602,"&lt;&gt;")=0,"",AVERAGEIF('Source Data'!$B$2:$B$1602,$A20,'Source Data'!$C$2:$C$1602))</f>
        <v>10.4333333333333</v>
      </c>
      <c r="D20" s="6" t="n">
        <f aca="false">IF(COUNTIFS('Source Data'!$B$2:$B$1602,$A20,'Source Data'!$C$2:$C$1602,"&lt;&gt;")=0,"",_xlfn.MINIFS('Source Data'!$C$2:$C$1602,'Source Data'!$B$2:$B$1602,$A20))</f>
        <v>4</v>
      </c>
      <c r="E20" s="6" t="n">
        <f aca="false">IF(COUNTIFS('Source Data'!$B$2:$B$1602,$A20,'Source Data'!$C$2:$C$1602,"&lt;&gt;")=0,"",_xlfn.MAXIFS('Source Data'!$C$2:$C$1602,'Source Data'!$B$2:$B$1602,$A20))</f>
        <v>16</v>
      </c>
      <c r="F20" s="6" t="n">
        <f aca="false">IF(COUNTIFS('Source Data'!$B$2:$B$1602,$A20,'Source Data'!$D$2:$D$1602,"&lt;&gt;")=0,"",AVERAGEIF('Source Data'!$B$2:$B$1602,$A20,'Source Data'!$D$2:$D$1602))</f>
        <v>3.66666666666667</v>
      </c>
      <c r="G20" s="6" t="n">
        <f aca="false">IF(COUNTIFS('Source Data'!$B$2:$B$1602,$A20,'Source Data'!$D$2:$D$1602,"&lt;&gt;")=0,"",_xlfn.MINIFS('Source Data'!$D$2:$D$1602,'Source Data'!$B$2:$B$1602,$A20))</f>
        <v>0</v>
      </c>
      <c r="H20" s="6" t="n">
        <f aca="false">IF(COUNTIFS('Source Data'!$B$2:$B$1602,$A20,'Source Data'!$D$2:$D$1602,"&lt;&gt;")=0,"",_xlfn.MAXIFS('Source Data'!$D$2:$D$1602,'Source Data'!$B$2:$B$1602,$A20))</f>
        <v>18</v>
      </c>
      <c r="I20" s="6" t="n">
        <f aca="false">IF(COUNTIFS('Source Data'!$B$2:$B$1602,$A20,'Source Data'!$E$2:$E$1602,"&lt;&gt;")=0,"",AVERAGEIF('Source Data'!$B$2:$B$1602,$A20,'Source Data'!$E$2:$E$1602))</f>
        <v>4</v>
      </c>
      <c r="J20" s="6" t="n">
        <f aca="false">IF(COUNTIFS('Source Data'!$B$2:$B$1602,$A20,'Source Data'!$E$2:$E$1602,"&lt;&gt;")=0,"",_xlfn.MINIFS('Source Data'!$E$2:$E$1602,'Source Data'!$B$2:$B$1602,$A20))</f>
        <v>2</v>
      </c>
      <c r="K20" s="6" t="n">
        <f aca="false">IF(COUNTIFS('Source Data'!$B$2:$B$1602,$A20,'Source Data'!$E$2:$E$1602,"&lt;&gt;")=0,"",_xlfn.MAXIFS('Source Data'!$E$2:$E$1602,'Source Data'!$B$2:$B$1602,$A20))</f>
        <v>6</v>
      </c>
      <c r="L20" s="6" t="str">
        <f aca="false">IF(COUNTIFS('Source Data'!$B$2:$B$1602,$A20,'Source Data'!$F$2:$F$1602,"&lt;&gt;")=0,"",AVERAGEIF('Source Data'!$B$2:$B$1602,$A20,'Source Data'!$F$2:$F$1602))</f>
        <v/>
      </c>
      <c r="M20" s="6" t="str">
        <f aca="false">IF(COUNTIFS('Source Data'!$B$2:$B$1602,$A20,'Source Data'!$F$2:$F$1602,"&lt;&gt;")=0,"",_xlfn.MINIFS('Source Data'!$F$2:$F$1602,'Source Data'!$B$2:$B$1602,$A20))</f>
        <v/>
      </c>
      <c r="N20" s="6" t="str">
        <f aca="false">IF(COUNTIFS('Source Data'!$B$2:$B$1602,$A20,'Source Data'!$F$2:$F$1602,"&lt;&gt;")=0,"",_xlfn.MAXIFS('Source Data'!$F$2:$F$1602,'Source Data'!$B$2:$B$1602,$A20))</f>
        <v/>
      </c>
    </row>
    <row r="21" customFormat="false" ht="15" hidden="false" customHeight="false" outlineLevel="0" collapsed="false">
      <c r="A21" s="5" t="s">
        <v>531</v>
      </c>
      <c r="B21" s="7" t="n">
        <f aca="false">COUNTIF('Source Data'!$B$2:$B$1602,$A21)</f>
        <v>1</v>
      </c>
      <c r="C21" s="6" t="n">
        <f aca="false">IF(COUNTIFS('Source Data'!$B$2:$B$1602,$A21,'Source Data'!$C$2:$C$1602,"&lt;&gt;")=0,"",AVERAGEIF('Source Data'!$B$2:$B$1602,$A21,'Source Data'!$C$2:$C$1602))</f>
        <v>13</v>
      </c>
      <c r="D21" s="6" t="n">
        <f aca="false">IF(COUNTIFS('Source Data'!$B$2:$B$1602,$A21,'Source Data'!$C$2:$C$1602,"&lt;&gt;")=0,"",_xlfn.MINIFS('Source Data'!$C$2:$C$1602,'Source Data'!$B$2:$B$1602,$A21))</f>
        <v>13</v>
      </c>
      <c r="E21" s="6" t="n">
        <f aca="false">IF(COUNTIFS('Source Data'!$B$2:$B$1602,$A21,'Source Data'!$C$2:$C$1602,"&lt;&gt;")=0,"",_xlfn.MAXIFS('Source Data'!$C$2:$C$1602,'Source Data'!$B$2:$B$1602,$A21))</f>
        <v>13</v>
      </c>
      <c r="F21" s="6" t="n">
        <f aca="false">IF(COUNTIFS('Source Data'!$B$2:$B$1602,$A21,'Source Data'!$D$2:$D$1602,"&lt;&gt;")=0,"",AVERAGEIF('Source Data'!$B$2:$B$1602,$A21,'Source Data'!$D$2:$D$1602))</f>
        <v>0</v>
      </c>
      <c r="G21" s="6" t="n">
        <f aca="false">IF(COUNTIFS('Source Data'!$B$2:$B$1602,$A21,'Source Data'!$D$2:$D$1602,"&lt;&gt;")=0,"",_xlfn.MINIFS('Source Data'!$D$2:$D$1602,'Source Data'!$B$2:$B$1602,$A21))</f>
        <v>0</v>
      </c>
      <c r="H21" s="6" t="n">
        <f aca="false">IF(COUNTIFS('Source Data'!$B$2:$B$1602,$A21,'Source Data'!$D$2:$D$1602,"&lt;&gt;")=0,"",_xlfn.MAXIFS('Source Data'!$D$2:$D$1602,'Source Data'!$B$2:$B$1602,$A21))</f>
        <v>0</v>
      </c>
      <c r="I21" s="6" t="str">
        <f aca="false">IF(COUNTIFS('Source Data'!$B$2:$B$1602,$A21,'Source Data'!$E$2:$E$1602,"&lt;&gt;")=0,"",AVERAGEIF('Source Data'!$B$2:$B$1602,$A21,'Source Data'!$E$2:$E$1602))</f>
        <v/>
      </c>
      <c r="J21" s="6" t="str">
        <f aca="false">IF(COUNTIFS('Source Data'!$B$2:$B$1602,$A21,'Source Data'!$E$2:$E$1602,"&lt;&gt;")=0,"",_xlfn.MINIFS('Source Data'!$E$2:$E$1602,'Source Data'!$B$2:$B$1602,$A21))</f>
        <v/>
      </c>
      <c r="K21" s="6" t="str">
        <f aca="false">IF(COUNTIFS('Source Data'!$B$2:$B$1602,$A21,'Source Data'!$E$2:$E$1602,"&lt;&gt;")=0,"",_xlfn.MAXIFS('Source Data'!$E$2:$E$1602,'Source Data'!$B$2:$B$1602,$A21))</f>
        <v/>
      </c>
      <c r="L21" s="6" t="str">
        <f aca="false">IF(COUNTIFS('Source Data'!$B$2:$B$1602,$A21,'Source Data'!$F$2:$F$1602,"&lt;&gt;")=0,"",AVERAGEIF('Source Data'!$B$2:$B$1602,$A21,'Source Data'!$F$2:$F$1602))</f>
        <v/>
      </c>
      <c r="M21" s="6" t="str">
        <f aca="false">IF(COUNTIFS('Source Data'!$B$2:$B$1602,$A21,'Source Data'!$F$2:$F$1602,"&lt;&gt;")=0,"",_xlfn.MINIFS('Source Data'!$F$2:$F$1602,'Source Data'!$B$2:$B$1602,$A21))</f>
        <v/>
      </c>
      <c r="N21" s="6" t="str">
        <f aca="false">IF(COUNTIFS('Source Data'!$B$2:$B$1602,$A21,'Source Data'!$F$2:$F$1602,"&lt;&gt;")=0,"",_xlfn.MAXIFS('Source Data'!$F$2:$F$1602,'Source Data'!$B$2:$B$1602,$A21))</f>
        <v/>
      </c>
    </row>
    <row r="22" customFormat="false" ht="15" hidden="false" customHeight="false" outlineLevel="0" collapsed="false">
      <c r="A22" s="5" t="s">
        <v>533</v>
      </c>
      <c r="B22" s="7" t="n">
        <f aca="false">COUNTIF('Source Data'!$B$2:$B$1602,$A22)</f>
        <v>1</v>
      </c>
      <c r="C22" s="6" t="n">
        <f aca="false">IF(COUNTIFS('Source Data'!$B$2:$B$1602,$A22,'Source Data'!$C$2:$C$1602,"&lt;&gt;")=0,"",AVERAGEIF('Source Data'!$B$2:$B$1602,$A22,'Source Data'!$C$2:$C$1602))</f>
        <v>12</v>
      </c>
      <c r="D22" s="6" t="n">
        <f aca="false">IF(COUNTIFS('Source Data'!$B$2:$B$1602,$A22,'Source Data'!$C$2:$C$1602,"&lt;&gt;")=0,"",_xlfn.MINIFS('Source Data'!$C$2:$C$1602,'Source Data'!$B$2:$B$1602,$A22))</f>
        <v>12</v>
      </c>
      <c r="E22" s="6" t="n">
        <f aca="false">IF(COUNTIFS('Source Data'!$B$2:$B$1602,$A22,'Source Data'!$C$2:$C$1602,"&lt;&gt;")=0,"",_xlfn.MAXIFS('Source Data'!$C$2:$C$1602,'Source Data'!$B$2:$B$1602,$A22))</f>
        <v>12</v>
      </c>
      <c r="F22" s="6" t="str">
        <f aca="false">IF(COUNTIFS('Source Data'!$B$2:$B$1602,$A22,'Source Data'!$D$2:$D$1602,"&lt;&gt;")=0,"",AVERAGEIF('Source Data'!$B$2:$B$1602,$A22,'Source Data'!$D$2:$D$1602))</f>
        <v/>
      </c>
      <c r="G22" s="6" t="str">
        <f aca="false">IF(COUNTIFS('Source Data'!$B$2:$B$1602,$A22,'Source Data'!$D$2:$D$1602,"&lt;&gt;")=0,"",_xlfn.MINIFS('Source Data'!$D$2:$D$1602,'Source Data'!$B$2:$B$1602,$A22))</f>
        <v/>
      </c>
      <c r="H22" s="6" t="str">
        <f aca="false">IF(COUNTIFS('Source Data'!$B$2:$B$1602,$A22,'Source Data'!$D$2:$D$1602,"&lt;&gt;")=0,"",_xlfn.MAXIFS('Source Data'!$D$2:$D$1602,'Source Data'!$B$2:$B$1602,$A22))</f>
        <v/>
      </c>
      <c r="I22" s="6" t="n">
        <f aca="false">IF(COUNTIFS('Source Data'!$B$2:$B$1602,$A22,'Source Data'!$E$2:$E$1602,"&lt;&gt;")=0,"",AVERAGEIF('Source Data'!$B$2:$B$1602,$A22,'Source Data'!$E$2:$E$1602))</f>
        <v>6</v>
      </c>
      <c r="J22" s="6" t="n">
        <f aca="false">IF(COUNTIFS('Source Data'!$B$2:$B$1602,$A22,'Source Data'!$E$2:$E$1602,"&lt;&gt;")=0,"",_xlfn.MINIFS('Source Data'!$E$2:$E$1602,'Source Data'!$B$2:$B$1602,$A22))</f>
        <v>6</v>
      </c>
      <c r="K22" s="6" t="n">
        <f aca="false">IF(COUNTIFS('Source Data'!$B$2:$B$1602,$A22,'Source Data'!$E$2:$E$1602,"&lt;&gt;")=0,"",_xlfn.MAXIFS('Source Data'!$E$2:$E$1602,'Source Data'!$B$2:$B$1602,$A22))</f>
        <v>6</v>
      </c>
      <c r="L22" s="6" t="str">
        <f aca="false">IF(COUNTIFS('Source Data'!$B$2:$B$1602,$A22,'Source Data'!$F$2:$F$1602,"&lt;&gt;")=0,"",AVERAGEIF('Source Data'!$B$2:$B$1602,$A22,'Source Data'!$F$2:$F$1602))</f>
        <v/>
      </c>
      <c r="M22" s="6" t="str">
        <f aca="false">IF(COUNTIFS('Source Data'!$B$2:$B$1602,$A22,'Source Data'!$F$2:$F$1602,"&lt;&gt;")=0,"",_xlfn.MINIFS('Source Data'!$F$2:$F$1602,'Source Data'!$B$2:$B$1602,$A22))</f>
        <v/>
      </c>
      <c r="N22" s="6" t="str">
        <f aca="false">IF(COUNTIFS('Source Data'!$B$2:$B$1602,$A22,'Source Data'!$F$2:$F$1602,"&lt;&gt;")=0,"",_xlfn.MAXIFS('Source Data'!$F$2:$F$1602,'Source Data'!$B$2:$B$1602,$A22))</f>
        <v/>
      </c>
    </row>
    <row r="23" customFormat="false" ht="15" hidden="false" customHeight="false" outlineLevel="0" collapsed="false">
      <c r="A23" s="5" t="s">
        <v>123</v>
      </c>
      <c r="B23" s="7" t="n">
        <f aca="false">COUNTIF('Source Data'!$B$2:$B$1602,$A23)</f>
        <v>10</v>
      </c>
      <c r="C23" s="6" t="n">
        <f aca="false">IF(COUNTIFS('Source Data'!$B$2:$B$1602,$A23,'Source Data'!$C$2:$C$1602,"&lt;&gt;")=0,"",AVERAGEIF('Source Data'!$B$2:$B$1602,$A23,'Source Data'!$C$2:$C$1602))</f>
        <v>15.05</v>
      </c>
      <c r="D23" s="6" t="n">
        <f aca="false">IF(COUNTIFS('Source Data'!$B$2:$B$1602,$A23,'Source Data'!$C$2:$C$1602,"&lt;&gt;")=0,"",_xlfn.MINIFS('Source Data'!$C$2:$C$1602,'Source Data'!$B$2:$B$1602,$A23))</f>
        <v>2</v>
      </c>
      <c r="E23" s="6" t="n">
        <f aca="false">IF(COUNTIFS('Source Data'!$B$2:$B$1602,$A23,'Source Data'!$C$2:$C$1602,"&lt;&gt;")=0,"",_xlfn.MAXIFS('Source Data'!$C$2:$C$1602,'Source Data'!$B$2:$B$1602,$A23))</f>
        <v>52</v>
      </c>
      <c r="F23" s="6" t="n">
        <f aca="false">IF(COUNTIFS('Source Data'!$B$2:$B$1602,$A23,'Source Data'!$D$2:$D$1602,"&lt;&gt;")=0,"",AVERAGEIF('Source Data'!$B$2:$B$1602,$A23,'Source Data'!$D$2:$D$1602))</f>
        <v>5.05555555555556</v>
      </c>
      <c r="G23" s="6" t="n">
        <f aca="false">IF(COUNTIFS('Source Data'!$B$2:$B$1602,$A23,'Source Data'!$D$2:$D$1602,"&lt;&gt;")=0,"",_xlfn.MINIFS('Source Data'!$D$2:$D$1602,'Source Data'!$B$2:$B$1602,$A23))</f>
        <v>0</v>
      </c>
      <c r="H23" s="6" t="n">
        <f aca="false">IF(COUNTIFS('Source Data'!$B$2:$B$1602,$A23,'Source Data'!$D$2:$D$1602,"&lt;&gt;")=0,"",_xlfn.MAXIFS('Source Data'!$D$2:$D$1602,'Source Data'!$B$2:$B$1602,$A23))</f>
        <v>24</v>
      </c>
      <c r="I23" s="6" t="n">
        <f aca="false">IF(COUNTIFS('Source Data'!$B$2:$B$1602,$A23,'Source Data'!$E$2:$E$1602,"&lt;&gt;")=0,"",AVERAGEIF('Source Data'!$B$2:$B$1602,$A23,'Source Data'!$E$2:$E$1602))</f>
        <v>4</v>
      </c>
      <c r="J23" s="6" t="n">
        <f aca="false">IF(COUNTIFS('Source Data'!$B$2:$B$1602,$A23,'Source Data'!$E$2:$E$1602,"&lt;&gt;")=0,"",_xlfn.MINIFS('Source Data'!$E$2:$E$1602,'Source Data'!$B$2:$B$1602,$A23))</f>
        <v>2</v>
      </c>
      <c r="K23" s="6" t="n">
        <f aca="false">IF(COUNTIFS('Source Data'!$B$2:$B$1602,$A23,'Source Data'!$E$2:$E$1602,"&lt;&gt;")=0,"",_xlfn.MAXIFS('Source Data'!$E$2:$E$1602,'Source Data'!$B$2:$B$1602,$A23))</f>
        <v>6</v>
      </c>
      <c r="L23" s="6" t="str">
        <f aca="false">IF(COUNTIFS('Source Data'!$B$2:$B$1602,$A23,'Source Data'!$F$2:$F$1602,"&lt;&gt;")=0,"",AVERAGEIF('Source Data'!$B$2:$B$1602,$A23,'Source Data'!$F$2:$F$1602))</f>
        <v/>
      </c>
      <c r="M23" s="6" t="str">
        <f aca="false">IF(COUNTIFS('Source Data'!$B$2:$B$1602,$A23,'Source Data'!$F$2:$F$1602,"&lt;&gt;")=0,"",_xlfn.MINIFS('Source Data'!$F$2:$F$1602,'Source Data'!$B$2:$B$1602,$A23))</f>
        <v/>
      </c>
      <c r="N23" s="6" t="str">
        <f aca="false">IF(COUNTIFS('Source Data'!$B$2:$B$1602,$A23,'Source Data'!$F$2:$F$1602,"&lt;&gt;")=0,"",_xlfn.MAXIFS('Source Data'!$F$2:$F$1602,'Source Data'!$B$2:$B$1602,$A23))</f>
        <v/>
      </c>
    </row>
    <row r="24" customFormat="false" ht="15" hidden="false" customHeight="false" outlineLevel="0" collapsed="false">
      <c r="A24" s="5" t="s">
        <v>30</v>
      </c>
      <c r="B24" s="7" t="n">
        <f aca="false">COUNTIF('Source Data'!$B$2:$B$1602,$A24)</f>
        <v>47</v>
      </c>
      <c r="C24" s="6" t="n">
        <f aca="false">IF(COUNTIFS('Source Data'!$B$2:$B$1602,$A24,'Source Data'!$C$2:$C$1602,"&lt;&gt;")=0,"",AVERAGEIF('Source Data'!$B$2:$B$1602,$A24,'Source Data'!$C$2:$C$1602))</f>
        <v>12.031914893617</v>
      </c>
      <c r="D24" s="6" t="n">
        <f aca="false">IF(COUNTIFS('Source Data'!$B$2:$B$1602,$A24,'Source Data'!$C$2:$C$1602,"&lt;&gt;")=0,"",_xlfn.MINIFS('Source Data'!$C$2:$C$1602,'Source Data'!$B$2:$B$1602,$A24))</f>
        <v>3</v>
      </c>
      <c r="E24" s="6" t="n">
        <f aca="false">IF(COUNTIFS('Source Data'!$B$2:$B$1602,$A24,'Source Data'!$C$2:$C$1602,"&lt;&gt;")=0,"",_xlfn.MAXIFS('Source Data'!$C$2:$C$1602,'Source Data'!$B$2:$B$1602,$A24))</f>
        <v>52</v>
      </c>
      <c r="F24" s="6" t="n">
        <f aca="false">IF(COUNTIFS('Source Data'!$B$2:$B$1602,$A24,'Source Data'!$D$2:$D$1602,"&lt;&gt;")=0,"",AVERAGEIF('Source Data'!$B$2:$B$1602,$A24,'Source Data'!$D$2:$D$1602))</f>
        <v>8.91489361702128</v>
      </c>
      <c r="G24" s="6" t="n">
        <f aca="false">IF(COUNTIFS('Source Data'!$B$2:$B$1602,$A24,'Source Data'!$D$2:$D$1602,"&lt;&gt;")=0,"",_xlfn.MINIFS('Source Data'!$D$2:$D$1602,'Source Data'!$B$2:$B$1602,$A24))</f>
        <v>0</v>
      </c>
      <c r="H24" s="6" t="n">
        <f aca="false">IF(COUNTIFS('Source Data'!$B$2:$B$1602,$A24,'Source Data'!$D$2:$D$1602,"&lt;&gt;")=0,"",_xlfn.MAXIFS('Source Data'!$D$2:$D$1602,'Source Data'!$B$2:$B$1602,$A24))</f>
        <v>52</v>
      </c>
      <c r="I24" s="6" t="n">
        <f aca="false">IF(COUNTIFS('Source Data'!$B$2:$B$1602,$A24,'Source Data'!$E$2:$E$1602,"&lt;&gt;")=0,"",AVERAGEIF('Source Data'!$B$2:$B$1602,$A24,'Source Data'!$E$2:$E$1602))</f>
        <v>8.3</v>
      </c>
      <c r="J24" s="6" t="n">
        <f aca="false">IF(COUNTIFS('Source Data'!$B$2:$B$1602,$A24,'Source Data'!$E$2:$E$1602,"&lt;&gt;")=0,"",_xlfn.MINIFS('Source Data'!$E$2:$E$1602,'Source Data'!$B$2:$B$1602,$A24))</f>
        <v>1</v>
      </c>
      <c r="K24" s="6" t="n">
        <f aca="false">IF(COUNTIFS('Source Data'!$B$2:$B$1602,$A24,'Source Data'!$E$2:$E$1602,"&lt;&gt;")=0,"",_xlfn.MAXIFS('Source Data'!$E$2:$E$1602,'Source Data'!$B$2:$B$1602,$A24))</f>
        <v>21</v>
      </c>
      <c r="L24" s="6" t="n">
        <f aca="false">IF(COUNTIFS('Source Data'!$B$2:$B$1602,$A24,'Source Data'!$F$2:$F$1602,"&lt;&gt;")=0,"",AVERAGEIF('Source Data'!$B$2:$B$1602,$A24,'Source Data'!$F$2:$F$1602))</f>
        <v>8.5</v>
      </c>
      <c r="M24" s="6" t="n">
        <f aca="false">IF(COUNTIFS('Source Data'!$B$2:$B$1602,$A24,'Source Data'!$F$2:$F$1602,"&lt;&gt;")=0,"",_xlfn.MINIFS('Source Data'!$F$2:$F$1602,'Source Data'!$B$2:$B$1602,$A24))</f>
        <v>5</v>
      </c>
      <c r="N24" s="6" t="n">
        <f aca="false">IF(COUNTIFS('Source Data'!$B$2:$B$1602,$A24,'Source Data'!$F$2:$F$1602,"&lt;&gt;")=0,"",_xlfn.MAXIFS('Source Data'!$F$2:$F$1602,'Source Data'!$B$2:$B$1602,$A24))</f>
        <v>12</v>
      </c>
    </row>
    <row r="25" customFormat="false" ht="15" hidden="false" customHeight="false" outlineLevel="0" collapsed="false">
      <c r="A25" s="5" t="s">
        <v>134</v>
      </c>
      <c r="B25" s="7" t="n">
        <f aca="false">COUNTIF('Source Data'!$B$2:$B$1602,$A25)</f>
        <v>12</v>
      </c>
      <c r="C25" s="6" t="n">
        <f aca="false">IF(COUNTIFS('Source Data'!$B$2:$B$1602,$A25,'Source Data'!$C$2:$C$1602,"&lt;&gt;")=0,"",AVERAGEIF('Source Data'!$B$2:$B$1602,$A25,'Source Data'!$C$2:$C$1602))</f>
        <v>13.25</v>
      </c>
      <c r="D25" s="6" t="n">
        <f aca="false">IF(COUNTIFS('Source Data'!$B$2:$B$1602,$A25,'Source Data'!$C$2:$C$1602,"&lt;&gt;")=0,"",_xlfn.MINIFS('Source Data'!$C$2:$C$1602,'Source Data'!$B$2:$B$1602,$A25))</f>
        <v>3</v>
      </c>
      <c r="E25" s="6" t="n">
        <f aca="false">IF(COUNTIFS('Source Data'!$B$2:$B$1602,$A25,'Source Data'!$C$2:$C$1602,"&lt;&gt;")=0,"",_xlfn.MAXIFS('Source Data'!$C$2:$C$1602,'Source Data'!$B$2:$B$1602,$A25))</f>
        <v>26</v>
      </c>
      <c r="F25" s="6" t="n">
        <f aca="false">IF(COUNTIFS('Source Data'!$B$2:$B$1602,$A25,'Source Data'!$D$2:$D$1602,"&lt;&gt;")=0,"",AVERAGEIF('Source Data'!$B$2:$B$1602,$A25,'Source Data'!$D$2:$D$1602))</f>
        <v>6</v>
      </c>
      <c r="G25" s="6" t="n">
        <f aca="false">IF(COUNTIFS('Source Data'!$B$2:$B$1602,$A25,'Source Data'!$D$2:$D$1602,"&lt;&gt;")=0,"",_xlfn.MINIFS('Source Data'!$D$2:$D$1602,'Source Data'!$B$2:$B$1602,$A25))</f>
        <v>0</v>
      </c>
      <c r="H25" s="6" t="n">
        <f aca="false">IF(COUNTIFS('Source Data'!$B$2:$B$1602,$A25,'Source Data'!$D$2:$D$1602,"&lt;&gt;")=0,"",_xlfn.MAXIFS('Source Data'!$D$2:$D$1602,'Source Data'!$B$2:$B$1602,$A25))</f>
        <v>34</v>
      </c>
      <c r="I25" s="6" t="n">
        <f aca="false">IF(COUNTIFS('Source Data'!$B$2:$B$1602,$A25,'Source Data'!$E$2:$E$1602,"&lt;&gt;")=0,"",AVERAGEIF('Source Data'!$B$2:$B$1602,$A25,'Source Data'!$E$2:$E$1602))</f>
        <v>10.6666666666667</v>
      </c>
      <c r="J25" s="6" t="n">
        <f aca="false">IF(COUNTIFS('Source Data'!$B$2:$B$1602,$A25,'Source Data'!$E$2:$E$1602,"&lt;&gt;")=0,"",_xlfn.MINIFS('Source Data'!$E$2:$E$1602,'Source Data'!$B$2:$B$1602,$A25))</f>
        <v>4</v>
      </c>
      <c r="K25" s="6" t="n">
        <f aca="false">IF(COUNTIFS('Source Data'!$B$2:$B$1602,$A25,'Source Data'!$E$2:$E$1602,"&lt;&gt;")=0,"",_xlfn.MAXIFS('Source Data'!$E$2:$E$1602,'Source Data'!$B$2:$B$1602,$A25))</f>
        <v>16</v>
      </c>
      <c r="L25" s="6" t="n">
        <f aca="false">IF(COUNTIFS('Source Data'!$B$2:$B$1602,$A25,'Source Data'!$F$2:$F$1602,"&lt;&gt;")=0,"",AVERAGEIF('Source Data'!$B$2:$B$1602,$A25,'Source Data'!$F$2:$F$1602))</f>
        <v>6</v>
      </c>
      <c r="M25" s="6" t="n">
        <f aca="false">IF(COUNTIFS('Source Data'!$B$2:$B$1602,$A25,'Source Data'!$F$2:$F$1602,"&lt;&gt;")=0,"",_xlfn.MINIFS('Source Data'!$F$2:$F$1602,'Source Data'!$B$2:$B$1602,$A25))</f>
        <v>6</v>
      </c>
      <c r="N25" s="6" t="n">
        <f aca="false">IF(COUNTIFS('Source Data'!$B$2:$B$1602,$A25,'Source Data'!$F$2:$F$1602,"&lt;&gt;")=0,"",_xlfn.MAXIFS('Source Data'!$F$2:$F$1602,'Source Data'!$B$2:$B$1602,$A25))</f>
        <v>6</v>
      </c>
    </row>
    <row r="26" customFormat="false" ht="15" hidden="false" customHeight="false" outlineLevel="0" collapsed="false">
      <c r="A26" s="5" t="s">
        <v>33</v>
      </c>
      <c r="B26" s="7" t="n">
        <f aca="false">COUNTIF('Source Data'!$B$2:$B$1602,$A26)</f>
        <v>17</v>
      </c>
      <c r="C26" s="6" t="n">
        <f aca="false">IF(COUNTIFS('Source Data'!$B$2:$B$1602,$A26,'Source Data'!$C$2:$C$1602,"&lt;&gt;")=0,"",AVERAGEIF('Source Data'!$B$2:$B$1602,$A26,'Source Data'!$C$2:$C$1602))</f>
        <v>10.3529411764706</v>
      </c>
      <c r="D26" s="6" t="n">
        <f aca="false">IF(COUNTIFS('Source Data'!$B$2:$B$1602,$A26,'Source Data'!$C$2:$C$1602,"&lt;&gt;")=0,"",_xlfn.MINIFS('Source Data'!$C$2:$C$1602,'Source Data'!$B$2:$B$1602,$A26))</f>
        <v>3</v>
      </c>
      <c r="E26" s="6" t="n">
        <f aca="false">IF(COUNTIFS('Source Data'!$B$2:$B$1602,$A26,'Source Data'!$C$2:$C$1602,"&lt;&gt;")=0,"",_xlfn.MAXIFS('Source Data'!$C$2:$C$1602,'Source Data'!$B$2:$B$1602,$A26))</f>
        <v>26</v>
      </c>
      <c r="F26" s="6" t="n">
        <f aca="false">IF(COUNTIFS('Source Data'!$B$2:$B$1602,$A26,'Source Data'!$D$2:$D$1602,"&lt;&gt;")=0,"",AVERAGEIF('Source Data'!$B$2:$B$1602,$A26,'Source Data'!$D$2:$D$1602))</f>
        <v>8.79411764705882</v>
      </c>
      <c r="G26" s="6" t="n">
        <f aca="false">IF(COUNTIFS('Source Data'!$B$2:$B$1602,$A26,'Source Data'!$D$2:$D$1602,"&lt;&gt;")=0,"",_xlfn.MINIFS('Source Data'!$D$2:$D$1602,'Source Data'!$B$2:$B$1602,$A26))</f>
        <v>0</v>
      </c>
      <c r="H26" s="6" t="n">
        <f aca="false">IF(COUNTIFS('Source Data'!$B$2:$B$1602,$A26,'Source Data'!$D$2:$D$1602,"&lt;&gt;")=0,"",_xlfn.MAXIFS('Source Data'!$D$2:$D$1602,'Source Data'!$B$2:$B$1602,$A26))</f>
        <v>26</v>
      </c>
      <c r="I26" s="6" t="n">
        <f aca="false">IF(COUNTIFS('Source Data'!$B$2:$B$1602,$A26,'Source Data'!$E$2:$E$1602,"&lt;&gt;")=0,"",AVERAGEIF('Source Data'!$B$2:$B$1602,$A26,'Source Data'!$E$2:$E$1602))</f>
        <v>6.66666666666667</v>
      </c>
      <c r="J26" s="6" t="n">
        <f aca="false">IF(COUNTIFS('Source Data'!$B$2:$B$1602,$A26,'Source Data'!$E$2:$E$1602,"&lt;&gt;")=0,"",_xlfn.MINIFS('Source Data'!$E$2:$E$1602,'Source Data'!$B$2:$B$1602,$A26))</f>
        <v>2</v>
      </c>
      <c r="K26" s="6" t="n">
        <f aca="false">IF(COUNTIFS('Source Data'!$B$2:$B$1602,$A26,'Source Data'!$E$2:$E$1602,"&lt;&gt;")=0,"",_xlfn.MAXIFS('Source Data'!$E$2:$E$1602,'Source Data'!$B$2:$B$1602,$A26))</f>
        <v>12</v>
      </c>
      <c r="L26" s="6" t="n">
        <f aca="false">IF(COUNTIFS('Source Data'!$B$2:$B$1602,$A26,'Source Data'!$F$2:$F$1602,"&lt;&gt;")=0,"",AVERAGEIF('Source Data'!$B$2:$B$1602,$A26,'Source Data'!$F$2:$F$1602))</f>
        <v>6</v>
      </c>
      <c r="M26" s="6" t="n">
        <f aca="false">IF(COUNTIFS('Source Data'!$B$2:$B$1602,$A26,'Source Data'!$F$2:$F$1602,"&lt;&gt;")=0,"",_xlfn.MINIFS('Source Data'!$F$2:$F$1602,'Source Data'!$B$2:$B$1602,$A26))</f>
        <v>6</v>
      </c>
      <c r="N26" s="6" t="n">
        <f aca="false">IF(COUNTIFS('Source Data'!$B$2:$B$1602,$A26,'Source Data'!$F$2:$F$1602,"&lt;&gt;")=0,"",_xlfn.MAXIFS('Source Data'!$F$2:$F$1602,'Source Data'!$B$2:$B$1602,$A26))</f>
        <v>6</v>
      </c>
    </row>
    <row r="27" customFormat="false" ht="15" hidden="false" customHeight="false" outlineLevel="0" collapsed="false">
      <c r="A27" s="5" t="s">
        <v>139</v>
      </c>
      <c r="B27" s="7" t="n">
        <f aca="false">COUNTIF('Source Data'!$B$2:$B$1602,$A27)</f>
        <v>11</v>
      </c>
      <c r="C27" s="6" t="n">
        <f aca="false">IF(COUNTIFS('Source Data'!$B$2:$B$1602,$A27,'Source Data'!$C$2:$C$1602,"&lt;&gt;")=0,"",AVERAGEIF('Source Data'!$B$2:$B$1602,$A27,'Source Data'!$C$2:$C$1602))</f>
        <v>17</v>
      </c>
      <c r="D27" s="6" t="n">
        <f aca="false">IF(COUNTIFS('Source Data'!$B$2:$B$1602,$A27,'Source Data'!$C$2:$C$1602,"&lt;&gt;")=0,"",_xlfn.MINIFS('Source Data'!$C$2:$C$1602,'Source Data'!$B$2:$B$1602,$A27))</f>
        <v>8</v>
      </c>
      <c r="E27" s="6" t="n">
        <f aca="false">IF(COUNTIFS('Source Data'!$B$2:$B$1602,$A27,'Source Data'!$C$2:$C$1602,"&lt;&gt;")=0,"",_xlfn.MAXIFS('Source Data'!$C$2:$C$1602,'Source Data'!$B$2:$B$1602,$A27))</f>
        <v>52</v>
      </c>
      <c r="F27" s="6" t="n">
        <f aca="false">IF(COUNTIFS('Source Data'!$B$2:$B$1602,$A27,'Source Data'!$D$2:$D$1602,"&lt;&gt;")=0,"",AVERAGEIF('Source Data'!$B$2:$B$1602,$A27,'Source Data'!$D$2:$D$1602))</f>
        <v>9.11111111111111</v>
      </c>
      <c r="G27" s="6" t="n">
        <f aca="false">IF(COUNTIFS('Source Data'!$B$2:$B$1602,$A27,'Source Data'!$D$2:$D$1602,"&lt;&gt;")=0,"",_xlfn.MINIFS('Source Data'!$D$2:$D$1602,'Source Data'!$B$2:$B$1602,$A27))</f>
        <v>0</v>
      </c>
      <c r="H27" s="6" t="n">
        <f aca="false">IF(COUNTIFS('Source Data'!$B$2:$B$1602,$A27,'Source Data'!$D$2:$D$1602,"&lt;&gt;")=0,"",_xlfn.MAXIFS('Source Data'!$D$2:$D$1602,'Source Data'!$B$2:$B$1602,$A27))</f>
        <v>31</v>
      </c>
      <c r="I27" s="6" t="n">
        <f aca="false">IF(COUNTIFS('Source Data'!$B$2:$B$1602,$A27,'Source Data'!$E$2:$E$1602,"&lt;&gt;")=0,"",AVERAGEIF('Source Data'!$B$2:$B$1602,$A27,'Source Data'!$E$2:$E$1602))</f>
        <v>10.6666666666667</v>
      </c>
      <c r="J27" s="6" t="n">
        <f aca="false">IF(COUNTIFS('Source Data'!$B$2:$B$1602,$A27,'Source Data'!$E$2:$E$1602,"&lt;&gt;")=0,"",_xlfn.MINIFS('Source Data'!$E$2:$E$1602,'Source Data'!$B$2:$B$1602,$A27))</f>
        <v>8</v>
      </c>
      <c r="K27" s="6" t="n">
        <f aca="false">IF(COUNTIFS('Source Data'!$B$2:$B$1602,$A27,'Source Data'!$E$2:$E$1602,"&lt;&gt;")=0,"",_xlfn.MAXIFS('Source Data'!$E$2:$E$1602,'Source Data'!$B$2:$B$1602,$A27))</f>
        <v>16</v>
      </c>
      <c r="L27" s="6" t="str">
        <f aca="false">IF(COUNTIFS('Source Data'!$B$2:$B$1602,$A27,'Source Data'!$F$2:$F$1602,"&lt;&gt;")=0,"",AVERAGEIF('Source Data'!$B$2:$B$1602,$A27,'Source Data'!$F$2:$F$1602))</f>
        <v/>
      </c>
      <c r="M27" s="6" t="str">
        <f aca="false">IF(COUNTIFS('Source Data'!$B$2:$B$1602,$A27,'Source Data'!$F$2:$F$1602,"&lt;&gt;")=0,"",_xlfn.MINIFS('Source Data'!$F$2:$F$1602,'Source Data'!$B$2:$B$1602,$A27))</f>
        <v/>
      </c>
      <c r="N27" s="6" t="str">
        <f aca="false">IF(COUNTIFS('Source Data'!$B$2:$B$1602,$A27,'Source Data'!$F$2:$F$1602,"&lt;&gt;")=0,"",_xlfn.MAXIFS('Source Data'!$F$2:$F$1602,'Source Data'!$B$2:$B$1602,$A27))</f>
        <v/>
      </c>
    </row>
    <row r="28" customFormat="false" ht="15" hidden="false" customHeight="false" outlineLevel="0" collapsed="false">
      <c r="A28" s="5" t="s">
        <v>609</v>
      </c>
      <c r="B28" s="7" t="n">
        <f aca="false">COUNTIF('Source Data'!$B$2:$B$1602,$A28)</f>
        <v>2</v>
      </c>
      <c r="C28" s="6" t="n">
        <f aca="false">IF(COUNTIFS('Source Data'!$B$2:$B$1602,$A28,'Source Data'!$C$2:$C$1602,"&lt;&gt;")=0,"",AVERAGEIF('Source Data'!$B$2:$B$1602,$A28,'Source Data'!$C$2:$C$1602))</f>
        <v>11</v>
      </c>
      <c r="D28" s="6" t="n">
        <f aca="false">IF(COUNTIFS('Source Data'!$B$2:$B$1602,$A28,'Source Data'!$C$2:$C$1602,"&lt;&gt;")=0,"",_xlfn.MINIFS('Source Data'!$C$2:$C$1602,'Source Data'!$B$2:$B$1602,$A28))</f>
        <v>6</v>
      </c>
      <c r="E28" s="6" t="n">
        <f aca="false">IF(COUNTIFS('Source Data'!$B$2:$B$1602,$A28,'Source Data'!$C$2:$C$1602,"&lt;&gt;")=0,"",_xlfn.MAXIFS('Source Data'!$C$2:$C$1602,'Source Data'!$B$2:$B$1602,$A28))</f>
        <v>16</v>
      </c>
      <c r="F28" s="6" t="n">
        <f aca="false">IF(COUNTIFS('Source Data'!$B$2:$B$1602,$A28,'Source Data'!$D$2:$D$1602,"&lt;&gt;")=0,"",AVERAGEIF('Source Data'!$B$2:$B$1602,$A28,'Source Data'!$D$2:$D$1602))</f>
        <v>0</v>
      </c>
      <c r="G28" s="6" t="n">
        <f aca="false">IF(COUNTIFS('Source Data'!$B$2:$B$1602,$A28,'Source Data'!$D$2:$D$1602,"&lt;&gt;")=0,"",_xlfn.MINIFS('Source Data'!$D$2:$D$1602,'Source Data'!$B$2:$B$1602,$A28))</f>
        <v>0</v>
      </c>
      <c r="H28" s="6" t="n">
        <f aca="false">IF(COUNTIFS('Source Data'!$B$2:$B$1602,$A28,'Source Data'!$D$2:$D$1602,"&lt;&gt;")=0,"",_xlfn.MAXIFS('Source Data'!$D$2:$D$1602,'Source Data'!$B$2:$B$1602,$A28))</f>
        <v>0</v>
      </c>
      <c r="I28" s="6" t="n">
        <f aca="false">IF(COUNTIFS('Source Data'!$B$2:$B$1602,$A28,'Source Data'!$E$2:$E$1602,"&lt;&gt;")=0,"",AVERAGEIF('Source Data'!$B$2:$B$1602,$A28,'Source Data'!$E$2:$E$1602))</f>
        <v>16</v>
      </c>
      <c r="J28" s="6" t="n">
        <f aca="false">IF(COUNTIFS('Source Data'!$B$2:$B$1602,$A28,'Source Data'!$E$2:$E$1602,"&lt;&gt;")=0,"",_xlfn.MINIFS('Source Data'!$E$2:$E$1602,'Source Data'!$B$2:$B$1602,$A28))</f>
        <v>16</v>
      </c>
      <c r="K28" s="6" t="n">
        <f aca="false">IF(COUNTIFS('Source Data'!$B$2:$B$1602,$A28,'Source Data'!$E$2:$E$1602,"&lt;&gt;")=0,"",_xlfn.MAXIFS('Source Data'!$E$2:$E$1602,'Source Data'!$B$2:$B$1602,$A28))</f>
        <v>16</v>
      </c>
      <c r="L28" s="6" t="str">
        <f aca="false">IF(COUNTIFS('Source Data'!$B$2:$B$1602,$A28,'Source Data'!$F$2:$F$1602,"&lt;&gt;")=0,"",AVERAGEIF('Source Data'!$B$2:$B$1602,$A28,'Source Data'!$F$2:$F$1602))</f>
        <v/>
      </c>
      <c r="M28" s="6" t="str">
        <f aca="false">IF(COUNTIFS('Source Data'!$B$2:$B$1602,$A28,'Source Data'!$F$2:$F$1602,"&lt;&gt;")=0,"",_xlfn.MINIFS('Source Data'!$F$2:$F$1602,'Source Data'!$B$2:$B$1602,$A28))</f>
        <v/>
      </c>
      <c r="N28" s="6" t="str">
        <f aca="false">IF(COUNTIFS('Source Data'!$B$2:$B$1602,$A28,'Source Data'!$F$2:$F$1602,"&lt;&gt;")=0,"",_xlfn.MAXIFS('Source Data'!$F$2:$F$1602,'Source Data'!$B$2:$B$1602,$A28))</f>
        <v/>
      </c>
    </row>
    <row r="29" customFormat="false" ht="15" hidden="false" customHeight="false" outlineLevel="0" collapsed="false">
      <c r="A29" s="5" t="s">
        <v>143</v>
      </c>
      <c r="B29" s="7" t="n">
        <f aca="false">COUNTIF('Source Data'!$B$2:$B$1602,$A29)</f>
        <v>2</v>
      </c>
      <c r="C29" s="6" t="n">
        <f aca="false">IF(COUNTIFS('Source Data'!$B$2:$B$1602,$A29,'Source Data'!$C$2:$C$1602,"&lt;&gt;")=0,"",AVERAGEIF('Source Data'!$B$2:$B$1602,$A29,'Source Data'!$C$2:$C$1602))</f>
        <v>12</v>
      </c>
      <c r="D29" s="6" t="n">
        <f aca="false">IF(COUNTIFS('Source Data'!$B$2:$B$1602,$A29,'Source Data'!$C$2:$C$1602,"&lt;&gt;")=0,"",_xlfn.MINIFS('Source Data'!$C$2:$C$1602,'Source Data'!$B$2:$B$1602,$A29))</f>
        <v>6</v>
      </c>
      <c r="E29" s="6" t="n">
        <f aca="false">IF(COUNTIFS('Source Data'!$B$2:$B$1602,$A29,'Source Data'!$C$2:$C$1602,"&lt;&gt;")=0,"",_xlfn.MAXIFS('Source Data'!$C$2:$C$1602,'Source Data'!$B$2:$B$1602,$A29))</f>
        <v>18</v>
      </c>
      <c r="F29" s="6" t="n">
        <f aca="false">IF(COUNTIFS('Source Data'!$B$2:$B$1602,$A29,'Source Data'!$D$2:$D$1602,"&lt;&gt;")=0,"",AVERAGEIF('Source Data'!$B$2:$B$1602,$A29,'Source Data'!$D$2:$D$1602))</f>
        <v>9</v>
      </c>
      <c r="G29" s="6" t="n">
        <f aca="false">IF(COUNTIFS('Source Data'!$B$2:$B$1602,$A29,'Source Data'!$D$2:$D$1602,"&lt;&gt;")=0,"",_xlfn.MINIFS('Source Data'!$D$2:$D$1602,'Source Data'!$B$2:$B$1602,$A29))</f>
        <v>0</v>
      </c>
      <c r="H29" s="6" t="n">
        <f aca="false">IF(COUNTIFS('Source Data'!$B$2:$B$1602,$A29,'Source Data'!$D$2:$D$1602,"&lt;&gt;")=0,"",_xlfn.MAXIFS('Source Data'!$D$2:$D$1602,'Source Data'!$B$2:$B$1602,$A29))</f>
        <v>18</v>
      </c>
      <c r="I29" s="6" t="str">
        <f aca="false">IF(COUNTIFS('Source Data'!$B$2:$B$1602,$A29,'Source Data'!$E$2:$E$1602,"&lt;&gt;")=0,"",AVERAGEIF('Source Data'!$B$2:$B$1602,$A29,'Source Data'!$E$2:$E$1602))</f>
        <v/>
      </c>
      <c r="J29" s="6" t="str">
        <f aca="false">IF(COUNTIFS('Source Data'!$B$2:$B$1602,$A29,'Source Data'!$E$2:$E$1602,"&lt;&gt;")=0,"",_xlfn.MINIFS('Source Data'!$E$2:$E$1602,'Source Data'!$B$2:$B$1602,$A29))</f>
        <v/>
      </c>
      <c r="K29" s="6" t="str">
        <f aca="false">IF(COUNTIFS('Source Data'!$B$2:$B$1602,$A29,'Source Data'!$E$2:$E$1602,"&lt;&gt;")=0,"",_xlfn.MAXIFS('Source Data'!$E$2:$E$1602,'Source Data'!$B$2:$B$1602,$A29))</f>
        <v/>
      </c>
      <c r="L29" s="6" t="n">
        <f aca="false">IF(COUNTIFS('Source Data'!$B$2:$B$1602,$A29,'Source Data'!$F$2:$F$1602,"&lt;&gt;")=0,"",AVERAGEIF('Source Data'!$B$2:$B$1602,$A29,'Source Data'!$F$2:$F$1602))</f>
        <v>13</v>
      </c>
      <c r="M29" s="6" t="n">
        <f aca="false">IF(COUNTIFS('Source Data'!$B$2:$B$1602,$A29,'Source Data'!$F$2:$F$1602,"&lt;&gt;")=0,"",_xlfn.MINIFS('Source Data'!$F$2:$F$1602,'Source Data'!$B$2:$B$1602,$A29))</f>
        <v>13</v>
      </c>
      <c r="N29" s="6" t="n">
        <f aca="false">IF(COUNTIFS('Source Data'!$B$2:$B$1602,$A29,'Source Data'!$F$2:$F$1602,"&lt;&gt;")=0,"",_xlfn.MAXIFS('Source Data'!$F$2:$F$1602,'Source Data'!$B$2:$B$1602,$A29))</f>
        <v>13</v>
      </c>
    </row>
    <row r="30" customFormat="false" ht="15" hidden="false" customHeight="false" outlineLevel="0" collapsed="false">
      <c r="A30" s="5" t="s">
        <v>145</v>
      </c>
      <c r="B30" s="7" t="n">
        <f aca="false">COUNTIF('Source Data'!$B$2:$B$1602,$A30)</f>
        <v>8</v>
      </c>
      <c r="C30" s="6" t="n">
        <f aca="false">IF(COUNTIFS('Source Data'!$B$2:$B$1602,$A30,'Source Data'!$C$2:$C$1602,"&lt;&gt;")=0,"",AVERAGEIF('Source Data'!$B$2:$B$1602,$A30,'Source Data'!$C$2:$C$1602))</f>
        <v>13.5</v>
      </c>
      <c r="D30" s="6" t="n">
        <f aca="false">IF(COUNTIFS('Source Data'!$B$2:$B$1602,$A30,'Source Data'!$C$2:$C$1602,"&lt;&gt;")=0,"",_xlfn.MINIFS('Source Data'!$C$2:$C$1602,'Source Data'!$B$2:$B$1602,$A30))</f>
        <v>12</v>
      </c>
      <c r="E30" s="6" t="n">
        <f aca="false">IF(COUNTIFS('Source Data'!$B$2:$B$1602,$A30,'Source Data'!$C$2:$C$1602,"&lt;&gt;")=0,"",_xlfn.MAXIFS('Source Data'!$C$2:$C$1602,'Source Data'!$B$2:$B$1602,$A30))</f>
        <v>24</v>
      </c>
      <c r="F30" s="6" t="n">
        <f aca="false">IF(COUNTIFS('Source Data'!$B$2:$B$1602,$A30,'Source Data'!$D$2:$D$1602,"&lt;&gt;")=0,"",AVERAGEIF('Source Data'!$B$2:$B$1602,$A30,'Source Data'!$D$2:$D$1602))</f>
        <v>5.14285714285714</v>
      </c>
      <c r="G30" s="6" t="n">
        <f aca="false">IF(COUNTIFS('Source Data'!$B$2:$B$1602,$A30,'Source Data'!$D$2:$D$1602,"&lt;&gt;")=0,"",_xlfn.MINIFS('Source Data'!$D$2:$D$1602,'Source Data'!$B$2:$B$1602,$A30))</f>
        <v>0</v>
      </c>
      <c r="H30" s="6" t="n">
        <f aca="false">IF(COUNTIFS('Source Data'!$B$2:$B$1602,$A30,'Source Data'!$D$2:$D$1602,"&lt;&gt;")=0,"",_xlfn.MAXIFS('Source Data'!$D$2:$D$1602,'Source Data'!$B$2:$B$1602,$A30))</f>
        <v>12</v>
      </c>
      <c r="I30" s="6" t="n">
        <f aca="false">IF(COUNTIFS('Source Data'!$B$2:$B$1602,$A30,'Source Data'!$E$2:$E$1602,"&lt;&gt;")=0,"",AVERAGEIF('Source Data'!$B$2:$B$1602,$A30,'Source Data'!$E$2:$E$1602))</f>
        <v>7</v>
      </c>
      <c r="J30" s="6" t="n">
        <f aca="false">IF(COUNTIFS('Source Data'!$B$2:$B$1602,$A30,'Source Data'!$E$2:$E$1602,"&lt;&gt;")=0,"",_xlfn.MINIFS('Source Data'!$E$2:$E$1602,'Source Data'!$B$2:$B$1602,$A30))</f>
        <v>6</v>
      </c>
      <c r="K30" s="6" t="n">
        <f aca="false">IF(COUNTIFS('Source Data'!$B$2:$B$1602,$A30,'Source Data'!$E$2:$E$1602,"&lt;&gt;")=0,"",_xlfn.MAXIFS('Source Data'!$E$2:$E$1602,'Source Data'!$B$2:$B$1602,$A30))</f>
        <v>8</v>
      </c>
      <c r="L30" s="6" t="str">
        <f aca="false">IF(COUNTIFS('Source Data'!$B$2:$B$1602,$A30,'Source Data'!$F$2:$F$1602,"&lt;&gt;")=0,"",AVERAGEIF('Source Data'!$B$2:$B$1602,$A30,'Source Data'!$F$2:$F$1602))</f>
        <v/>
      </c>
      <c r="M30" s="6" t="str">
        <f aca="false">IF(COUNTIFS('Source Data'!$B$2:$B$1602,$A30,'Source Data'!$F$2:$F$1602,"&lt;&gt;")=0,"",_xlfn.MINIFS('Source Data'!$F$2:$F$1602,'Source Data'!$B$2:$B$1602,$A30))</f>
        <v/>
      </c>
      <c r="N30" s="6" t="str">
        <f aca="false">IF(COUNTIFS('Source Data'!$B$2:$B$1602,$A30,'Source Data'!$F$2:$F$1602,"&lt;&gt;")=0,"",_xlfn.MAXIFS('Source Data'!$F$2:$F$1602,'Source Data'!$B$2:$B$1602,$A30))</f>
        <v/>
      </c>
    </row>
    <row r="31" customFormat="false" ht="15" hidden="false" customHeight="false" outlineLevel="0" collapsed="false">
      <c r="A31" s="5" t="s">
        <v>35</v>
      </c>
      <c r="B31" s="7" t="n">
        <f aca="false">COUNTIF('Source Data'!$B$2:$B$1602,$A31)</f>
        <v>7</v>
      </c>
      <c r="C31" s="6" t="n">
        <f aca="false">IF(COUNTIFS('Source Data'!$B$2:$B$1602,$A31,'Source Data'!$C$2:$C$1602,"&lt;&gt;")=0,"",AVERAGEIF('Source Data'!$B$2:$B$1602,$A31,'Source Data'!$C$2:$C$1602))</f>
        <v>5.78571428571429</v>
      </c>
      <c r="D31" s="6" t="n">
        <f aca="false">IF(COUNTIFS('Source Data'!$B$2:$B$1602,$A31,'Source Data'!$C$2:$C$1602,"&lt;&gt;")=0,"",_xlfn.MINIFS('Source Data'!$C$2:$C$1602,'Source Data'!$B$2:$B$1602,$A31))</f>
        <v>2</v>
      </c>
      <c r="E31" s="6" t="n">
        <f aca="false">IF(COUNTIFS('Source Data'!$B$2:$B$1602,$A31,'Source Data'!$C$2:$C$1602,"&lt;&gt;")=0,"",_xlfn.MAXIFS('Source Data'!$C$2:$C$1602,'Source Data'!$B$2:$B$1602,$A31))</f>
        <v>16</v>
      </c>
      <c r="F31" s="6" t="n">
        <f aca="false">IF(COUNTIFS('Source Data'!$B$2:$B$1602,$A31,'Source Data'!$D$2:$D$1602,"&lt;&gt;")=0,"",AVERAGEIF('Source Data'!$B$2:$B$1602,$A31,'Source Data'!$D$2:$D$1602))</f>
        <v>5.42857142857143</v>
      </c>
      <c r="G31" s="6" t="n">
        <f aca="false">IF(COUNTIFS('Source Data'!$B$2:$B$1602,$A31,'Source Data'!$D$2:$D$1602,"&lt;&gt;")=0,"",_xlfn.MINIFS('Source Data'!$D$2:$D$1602,'Source Data'!$B$2:$B$1602,$A31))</f>
        <v>0</v>
      </c>
      <c r="H31" s="6" t="n">
        <f aca="false">IF(COUNTIFS('Source Data'!$B$2:$B$1602,$A31,'Source Data'!$D$2:$D$1602,"&lt;&gt;")=0,"",_xlfn.MAXIFS('Source Data'!$D$2:$D$1602,'Source Data'!$B$2:$B$1602,$A31))</f>
        <v>12</v>
      </c>
      <c r="I31" s="6" t="n">
        <f aca="false">IF(COUNTIFS('Source Data'!$B$2:$B$1602,$A31,'Source Data'!$E$2:$E$1602,"&lt;&gt;")=0,"",AVERAGEIF('Source Data'!$B$2:$B$1602,$A31,'Source Data'!$E$2:$E$1602))</f>
        <v>7</v>
      </c>
      <c r="J31" s="6" t="n">
        <f aca="false">IF(COUNTIFS('Source Data'!$B$2:$B$1602,$A31,'Source Data'!$E$2:$E$1602,"&lt;&gt;")=0,"",_xlfn.MINIFS('Source Data'!$E$2:$E$1602,'Source Data'!$B$2:$B$1602,$A31))</f>
        <v>2</v>
      </c>
      <c r="K31" s="6" t="n">
        <f aca="false">IF(COUNTIFS('Source Data'!$B$2:$B$1602,$A31,'Source Data'!$E$2:$E$1602,"&lt;&gt;")=0,"",_xlfn.MAXIFS('Source Data'!$E$2:$E$1602,'Source Data'!$B$2:$B$1602,$A31))</f>
        <v>16</v>
      </c>
      <c r="L31" s="6" t="n">
        <f aca="false">IF(COUNTIFS('Source Data'!$B$2:$B$1602,$A31,'Source Data'!$F$2:$F$1602,"&lt;&gt;")=0,"",AVERAGEIF('Source Data'!$B$2:$B$1602,$A31,'Source Data'!$F$2:$F$1602))</f>
        <v>6</v>
      </c>
      <c r="M31" s="6" t="n">
        <f aca="false">IF(COUNTIFS('Source Data'!$B$2:$B$1602,$A31,'Source Data'!$F$2:$F$1602,"&lt;&gt;")=0,"",_xlfn.MINIFS('Source Data'!$F$2:$F$1602,'Source Data'!$B$2:$B$1602,$A31))</f>
        <v>0</v>
      </c>
      <c r="N31" s="6" t="n">
        <f aca="false">IF(COUNTIFS('Source Data'!$B$2:$B$1602,$A31,'Source Data'!$F$2:$F$1602,"&lt;&gt;")=0,"",_xlfn.MAXIFS('Source Data'!$F$2:$F$1602,'Source Data'!$B$2:$B$1602,$A31))</f>
        <v>12</v>
      </c>
    </row>
    <row r="32" customFormat="false" ht="15" hidden="false" customHeight="false" outlineLevel="0" collapsed="false">
      <c r="A32" s="5" t="s">
        <v>624</v>
      </c>
      <c r="B32" s="7" t="n">
        <f aca="false">COUNTIF('Source Data'!$B$2:$B$1602,$A32)</f>
        <v>3</v>
      </c>
      <c r="C32" s="6" t="n">
        <f aca="false">IF(COUNTIFS('Source Data'!$B$2:$B$1602,$A32,'Source Data'!$C$2:$C$1602,"&lt;&gt;")=0,"",AVERAGEIF('Source Data'!$B$2:$B$1602,$A32,'Source Data'!$C$2:$C$1602))</f>
        <v>10.6666666666667</v>
      </c>
      <c r="D32" s="6" t="n">
        <f aca="false">IF(COUNTIFS('Source Data'!$B$2:$B$1602,$A32,'Source Data'!$C$2:$C$1602,"&lt;&gt;")=0,"",_xlfn.MINIFS('Source Data'!$C$2:$C$1602,'Source Data'!$B$2:$B$1602,$A32))</f>
        <v>4</v>
      </c>
      <c r="E32" s="6" t="n">
        <f aca="false">IF(COUNTIFS('Source Data'!$B$2:$B$1602,$A32,'Source Data'!$C$2:$C$1602,"&lt;&gt;")=0,"",_xlfn.MAXIFS('Source Data'!$C$2:$C$1602,'Source Data'!$B$2:$B$1602,$A32))</f>
        <v>16</v>
      </c>
      <c r="F32" s="6" t="n">
        <f aca="false">IF(COUNTIFS('Source Data'!$B$2:$B$1602,$A32,'Source Data'!$D$2:$D$1602,"&lt;&gt;")=0,"",AVERAGEIF('Source Data'!$B$2:$B$1602,$A32,'Source Data'!$D$2:$D$1602))</f>
        <v>10.6666666666667</v>
      </c>
      <c r="G32" s="6" t="n">
        <f aca="false">IF(COUNTIFS('Source Data'!$B$2:$B$1602,$A32,'Source Data'!$D$2:$D$1602,"&lt;&gt;")=0,"",_xlfn.MINIFS('Source Data'!$D$2:$D$1602,'Source Data'!$B$2:$B$1602,$A32))</f>
        <v>8</v>
      </c>
      <c r="H32" s="6" t="n">
        <f aca="false">IF(COUNTIFS('Source Data'!$B$2:$B$1602,$A32,'Source Data'!$D$2:$D$1602,"&lt;&gt;")=0,"",_xlfn.MAXIFS('Source Data'!$D$2:$D$1602,'Source Data'!$B$2:$B$1602,$A32))</f>
        <v>12</v>
      </c>
      <c r="I32" s="6" t="str">
        <f aca="false">IF(COUNTIFS('Source Data'!$B$2:$B$1602,$A32,'Source Data'!$E$2:$E$1602,"&lt;&gt;")=0,"",AVERAGEIF('Source Data'!$B$2:$B$1602,$A32,'Source Data'!$E$2:$E$1602))</f>
        <v/>
      </c>
      <c r="J32" s="6" t="str">
        <f aca="false">IF(COUNTIFS('Source Data'!$B$2:$B$1602,$A32,'Source Data'!$E$2:$E$1602,"&lt;&gt;")=0,"",_xlfn.MINIFS('Source Data'!$E$2:$E$1602,'Source Data'!$B$2:$B$1602,$A32))</f>
        <v/>
      </c>
      <c r="K32" s="6" t="str">
        <f aca="false">IF(COUNTIFS('Source Data'!$B$2:$B$1602,$A32,'Source Data'!$E$2:$E$1602,"&lt;&gt;")=0,"",_xlfn.MAXIFS('Source Data'!$E$2:$E$1602,'Source Data'!$B$2:$B$1602,$A32))</f>
        <v/>
      </c>
      <c r="L32" s="6" t="str">
        <f aca="false">IF(COUNTIFS('Source Data'!$B$2:$B$1602,$A32,'Source Data'!$F$2:$F$1602,"&lt;&gt;")=0,"",AVERAGEIF('Source Data'!$B$2:$B$1602,$A32,'Source Data'!$F$2:$F$1602))</f>
        <v/>
      </c>
      <c r="M32" s="6" t="str">
        <f aca="false">IF(COUNTIFS('Source Data'!$B$2:$B$1602,$A32,'Source Data'!$F$2:$F$1602,"&lt;&gt;")=0,"",_xlfn.MINIFS('Source Data'!$F$2:$F$1602,'Source Data'!$B$2:$B$1602,$A32))</f>
        <v/>
      </c>
      <c r="N32" s="6" t="str">
        <f aca="false">IF(COUNTIFS('Source Data'!$B$2:$B$1602,$A32,'Source Data'!$F$2:$F$1602,"&lt;&gt;")=0,"",_xlfn.MAXIFS('Source Data'!$F$2:$F$1602,'Source Data'!$B$2:$B$1602,$A32))</f>
        <v/>
      </c>
    </row>
    <row r="33" customFormat="false" ht="15" hidden="false" customHeight="false" outlineLevel="0" collapsed="false">
      <c r="A33" s="5" t="s">
        <v>38</v>
      </c>
      <c r="B33" s="7" t="n">
        <f aca="false">COUNTIF('Source Data'!$B$2:$B$1602,$A33)</f>
        <v>52</v>
      </c>
      <c r="C33" s="6" t="n">
        <f aca="false">IF(COUNTIFS('Source Data'!$B$2:$B$1602,$A33,'Source Data'!$C$2:$C$1602,"&lt;&gt;")=0,"",AVERAGEIF('Source Data'!$B$2:$B$1602,$A33,'Source Data'!$C$2:$C$1602))</f>
        <v>9.14423076923077</v>
      </c>
      <c r="D33" s="6" t="n">
        <f aca="false">IF(COUNTIFS('Source Data'!$B$2:$B$1602,$A33,'Source Data'!$C$2:$C$1602,"&lt;&gt;")=0,"",_xlfn.MINIFS('Source Data'!$C$2:$C$1602,'Source Data'!$B$2:$B$1602,$A33))</f>
        <v>0</v>
      </c>
      <c r="E33" s="6" t="n">
        <f aca="false">IF(COUNTIFS('Source Data'!$B$2:$B$1602,$A33,'Source Data'!$C$2:$C$1602,"&lt;&gt;")=0,"",_xlfn.MAXIFS('Source Data'!$C$2:$C$1602,'Source Data'!$B$2:$B$1602,$A33))</f>
        <v>52</v>
      </c>
      <c r="F33" s="6" t="n">
        <f aca="false">IF(COUNTIFS('Source Data'!$B$2:$B$1602,$A33,'Source Data'!$D$2:$D$1602,"&lt;&gt;")=0,"",AVERAGEIF('Source Data'!$B$2:$B$1602,$A33,'Source Data'!$D$2:$D$1602))</f>
        <v>8.38775510204082</v>
      </c>
      <c r="G33" s="6" t="n">
        <f aca="false">IF(COUNTIFS('Source Data'!$B$2:$B$1602,$A33,'Source Data'!$D$2:$D$1602,"&lt;&gt;")=0,"",_xlfn.MINIFS('Source Data'!$D$2:$D$1602,'Source Data'!$B$2:$B$1602,$A33))</f>
        <v>0</v>
      </c>
      <c r="H33" s="6" t="n">
        <f aca="false">IF(COUNTIFS('Source Data'!$B$2:$B$1602,$A33,'Source Data'!$D$2:$D$1602,"&lt;&gt;")=0,"",_xlfn.MAXIFS('Source Data'!$D$2:$D$1602,'Source Data'!$B$2:$B$1602,$A33))</f>
        <v>26</v>
      </c>
      <c r="I33" s="6" t="n">
        <f aca="false">IF(COUNTIFS('Source Data'!$B$2:$B$1602,$A33,'Source Data'!$E$2:$E$1602,"&lt;&gt;")=0,"",AVERAGEIF('Source Data'!$B$2:$B$1602,$A33,'Source Data'!$E$2:$E$1602))</f>
        <v>2.16666666666667</v>
      </c>
      <c r="J33" s="6" t="n">
        <f aca="false">IF(COUNTIFS('Source Data'!$B$2:$B$1602,$A33,'Source Data'!$E$2:$E$1602,"&lt;&gt;")=0,"",_xlfn.MINIFS('Source Data'!$E$2:$E$1602,'Source Data'!$B$2:$B$1602,$A33))</f>
        <v>0</v>
      </c>
      <c r="K33" s="6" t="n">
        <f aca="false">IF(COUNTIFS('Source Data'!$B$2:$B$1602,$A33,'Source Data'!$E$2:$E$1602,"&lt;&gt;")=0,"",_xlfn.MAXIFS('Source Data'!$E$2:$E$1602,'Source Data'!$B$2:$B$1602,$A33))</f>
        <v>6</v>
      </c>
      <c r="L33" s="6" t="n">
        <f aca="false">IF(COUNTIFS('Source Data'!$B$2:$B$1602,$A33,'Source Data'!$F$2:$F$1602,"&lt;&gt;")=0,"",AVERAGEIF('Source Data'!$B$2:$B$1602,$A33,'Source Data'!$F$2:$F$1602))</f>
        <v>12</v>
      </c>
      <c r="M33" s="6" t="n">
        <f aca="false">IF(COUNTIFS('Source Data'!$B$2:$B$1602,$A33,'Source Data'!$F$2:$F$1602,"&lt;&gt;")=0,"",_xlfn.MINIFS('Source Data'!$F$2:$F$1602,'Source Data'!$B$2:$B$1602,$A33))</f>
        <v>12</v>
      </c>
      <c r="N33" s="6" t="n">
        <f aca="false">IF(COUNTIFS('Source Data'!$B$2:$B$1602,$A33,'Source Data'!$F$2:$F$1602,"&lt;&gt;")=0,"",_xlfn.MAXIFS('Source Data'!$F$2:$F$1602,'Source Data'!$B$2:$B$1602,$A33))</f>
        <v>12</v>
      </c>
    </row>
    <row r="34" customFormat="false" ht="15" hidden="false" customHeight="false" outlineLevel="0" collapsed="false">
      <c r="A34" s="5" t="s">
        <v>151</v>
      </c>
      <c r="B34" s="7" t="n">
        <f aca="false">COUNTIF('Source Data'!$B$2:$B$1602,$A34)</f>
        <v>11</v>
      </c>
      <c r="C34" s="6" t="n">
        <f aca="false">IF(COUNTIFS('Source Data'!$B$2:$B$1602,$A34,'Source Data'!$C$2:$C$1602,"&lt;&gt;")=0,"",AVERAGEIF('Source Data'!$B$2:$B$1602,$A34,'Source Data'!$C$2:$C$1602))</f>
        <v>11</v>
      </c>
      <c r="D34" s="6" t="n">
        <f aca="false">IF(COUNTIFS('Source Data'!$B$2:$B$1602,$A34,'Source Data'!$C$2:$C$1602,"&lt;&gt;")=0,"",_xlfn.MINIFS('Source Data'!$C$2:$C$1602,'Source Data'!$B$2:$B$1602,$A34))</f>
        <v>2</v>
      </c>
      <c r="E34" s="6" t="n">
        <f aca="false">IF(COUNTIFS('Source Data'!$B$2:$B$1602,$A34,'Source Data'!$C$2:$C$1602,"&lt;&gt;")=0,"",_xlfn.MAXIFS('Source Data'!$C$2:$C$1602,'Source Data'!$B$2:$B$1602,$A34))</f>
        <v>32</v>
      </c>
      <c r="F34" s="6" t="n">
        <f aca="false">IF(COUNTIFS('Source Data'!$B$2:$B$1602,$A34,'Source Data'!$D$2:$D$1602,"&lt;&gt;")=0,"",AVERAGEIF('Source Data'!$B$2:$B$1602,$A34,'Source Data'!$D$2:$D$1602))</f>
        <v>7.27272727272727</v>
      </c>
      <c r="G34" s="6" t="n">
        <f aca="false">IF(COUNTIFS('Source Data'!$B$2:$B$1602,$A34,'Source Data'!$D$2:$D$1602,"&lt;&gt;")=0,"",_xlfn.MINIFS('Source Data'!$D$2:$D$1602,'Source Data'!$B$2:$B$1602,$A34))</f>
        <v>0</v>
      </c>
      <c r="H34" s="6" t="n">
        <f aca="false">IF(COUNTIFS('Source Data'!$B$2:$B$1602,$A34,'Source Data'!$D$2:$D$1602,"&lt;&gt;")=0,"",_xlfn.MAXIFS('Source Data'!$D$2:$D$1602,'Source Data'!$B$2:$B$1602,$A34))</f>
        <v>46</v>
      </c>
      <c r="I34" s="6" t="n">
        <f aca="false">IF(COUNTIFS('Source Data'!$B$2:$B$1602,$A34,'Source Data'!$E$2:$E$1602,"&lt;&gt;")=0,"",AVERAGEIF('Source Data'!$B$2:$B$1602,$A34,'Source Data'!$E$2:$E$1602))</f>
        <v>12</v>
      </c>
      <c r="J34" s="6" t="n">
        <f aca="false">IF(COUNTIFS('Source Data'!$B$2:$B$1602,$A34,'Source Data'!$E$2:$E$1602,"&lt;&gt;")=0,"",_xlfn.MINIFS('Source Data'!$E$2:$E$1602,'Source Data'!$B$2:$B$1602,$A34))</f>
        <v>12</v>
      </c>
      <c r="K34" s="6" t="n">
        <f aca="false">IF(COUNTIFS('Source Data'!$B$2:$B$1602,$A34,'Source Data'!$E$2:$E$1602,"&lt;&gt;")=0,"",_xlfn.MAXIFS('Source Data'!$E$2:$E$1602,'Source Data'!$B$2:$B$1602,$A34))</f>
        <v>12</v>
      </c>
      <c r="L34" s="6" t="str">
        <f aca="false">IF(COUNTIFS('Source Data'!$B$2:$B$1602,$A34,'Source Data'!$F$2:$F$1602,"&lt;&gt;")=0,"",AVERAGEIF('Source Data'!$B$2:$B$1602,$A34,'Source Data'!$F$2:$F$1602))</f>
        <v/>
      </c>
      <c r="M34" s="6" t="str">
        <f aca="false">IF(COUNTIFS('Source Data'!$B$2:$B$1602,$A34,'Source Data'!$F$2:$F$1602,"&lt;&gt;")=0,"",_xlfn.MINIFS('Source Data'!$F$2:$F$1602,'Source Data'!$B$2:$B$1602,$A34))</f>
        <v/>
      </c>
      <c r="N34" s="6" t="str">
        <f aca="false">IF(COUNTIFS('Source Data'!$B$2:$B$1602,$A34,'Source Data'!$F$2:$F$1602,"&lt;&gt;")=0,"",_xlfn.MAXIFS('Source Data'!$F$2:$F$1602,'Source Data'!$B$2:$B$1602,$A34))</f>
        <v/>
      </c>
    </row>
    <row r="35" customFormat="false" ht="15" hidden="false" customHeight="false" outlineLevel="0" collapsed="false">
      <c r="A35" s="5" t="s">
        <v>685</v>
      </c>
      <c r="B35" s="7" t="n">
        <f aca="false">COUNTIF('Source Data'!$B$2:$B$1602,$A35)</f>
        <v>8</v>
      </c>
      <c r="C35" s="6" t="n">
        <f aca="false">IF(COUNTIFS('Source Data'!$B$2:$B$1602,$A35,'Source Data'!$C$2:$C$1602,"&lt;&gt;")=0,"",AVERAGEIF('Source Data'!$B$2:$B$1602,$A35,'Source Data'!$C$2:$C$1602))</f>
        <v>7.75</v>
      </c>
      <c r="D35" s="6" t="n">
        <f aca="false">IF(COUNTIFS('Source Data'!$B$2:$B$1602,$A35,'Source Data'!$C$2:$C$1602,"&lt;&gt;")=0,"",_xlfn.MINIFS('Source Data'!$C$2:$C$1602,'Source Data'!$B$2:$B$1602,$A35))</f>
        <v>0</v>
      </c>
      <c r="E35" s="6" t="n">
        <f aca="false">IF(COUNTIFS('Source Data'!$B$2:$B$1602,$A35,'Source Data'!$C$2:$C$1602,"&lt;&gt;")=0,"",_xlfn.MAXIFS('Source Data'!$C$2:$C$1602,'Source Data'!$B$2:$B$1602,$A35))</f>
        <v>16</v>
      </c>
      <c r="F35" s="6" t="n">
        <f aca="false">IF(COUNTIFS('Source Data'!$B$2:$B$1602,$A35,'Source Data'!$D$2:$D$1602,"&lt;&gt;")=0,"",AVERAGEIF('Source Data'!$B$2:$B$1602,$A35,'Source Data'!$D$2:$D$1602))</f>
        <v>19.4285714285714</v>
      </c>
      <c r="G35" s="6" t="n">
        <f aca="false">IF(COUNTIFS('Source Data'!$B$2:$B$1602,$A35,'Source Data'!$D$2:$D$1602,"&lt;&gt;")=0,"",_xlfn.MINIFS('Source Data'!$D$2:$D$1602,'Source Data'!$B$2:$B$1602,$A35))</f>
        <v>4</v>
      </c>
      <c r="H35" s="6" t="n">
        <f aca="false">IF(COUNTIFS('Source Data'!$B$2:$B$1602,$A35,'Source Data'!$D$2:$D$1602,"&lt;&gt;")=0,"",_xlfn.MAXIFS('Source Data'!$D$2:$D$1602,'Source Data'!$B$2:$B$1602,$A35))</f>
        <v>52</v>
      </c>
      <c r="I35" s="6" t="str">
        <f aca="false">IF(COUNTIFS('Source Data'!$B$2:$B$1602,$A35,'Source Data'!$E$2:$E$1602,"&lt;&gt;")=0,"",AVERAGEIF('Source Data'!$B$2:$B$1602,$A35,'Source Data'!$E$2:$E$1602))</f>
        <v/>
      </c>
      <c r="J35" s="6" t="str">
        <f aca="false">IF(COUNTIFS('Source Data'!$B$2:$B$1602,$A35,'Source Data'!$E$2:$E$1602,"&lt;&gt;")=0,"",_xlfn.MINIFS('Source Data'!$E$2:$E$1602,'Source Data'!$B$2:$B$1602,$A35))</f>
        <v/>
      </c>
      <c r="K35" s="6" t="str">
        <f aca="false">IF(COUNTIFS('Source Data'!$B$2:$B$1602,$A35,'Source Data'!$E$2:$E$1602,"&lt;&gt;")=0,"",_xlfn.MAXIFS('Source Data'!$E$2:$E$1602,'Source Data'!$B$2:$B$1602,$A35))</f>
        <v/>
      </c>
      <c r="L35" s="6" t="str">
        <f aca="false">IF(COUNTIFS('Source Data'!$B$2:$B$1602,$A35,'Source Data'!$F$2:$F$1602,"&lt;&gt;")=0,"",AVERAGEIF('Source Data'!$B$2:$B$1602,$A35,'Source Data'!$F$2:$F$1602))</f>
        <v/>
      </c>
      <c r="M35" s="6" t="str">
        <f aca="false">IF(COUNTIFS('Source Data'!$B$2:$B$1602,$A35,'Source Data'!$F$2:$F$1602,"&lt;&gt;")=0,"",_xlfn.MINIFS('Source Data'!$F$2:$F$1602,'Source Data'!$B$2:$B$1602,$A35))</f>
        <v/>
      </c>
      <c r="N35" s="6" t="str">
        <f aca="false">IF(COUNTIFS('Source Data'!$B$2:$B$1602,$A35,'Source Data'!$F$2:$F$1602,"&lt;&gt;")=0,"",_xlfn.MAXIFS('Source Data'!$F$2:$F$1602,'Source Data'!$B$2:$B$1602,$A35))</f>
        <v/>
      </c>
    </row>
    <row r="36" customFormat="false" ht="15" hidden="false" customHeight="false" outlineLevel="0" collapsed="false">
      <c r="A36" s="5" t="s">
        <v>693</v>
      </c>
      <c r="B36" s="7" t="n">
        <f aca="false">COUNTIF('Source Data'!$B$2:$B$1602,$A36)</f>
        <v>6</v>
      </c>
      <c r="C36" s="6" t="n">
        <f aca="false">IF(COUNTIFS('Source Data'!$B$2:$B$1602,$A36,'Source Data'!$C$2:$C$1602,"&lt;&gt;")=0,"",AVERAGEIF('Source Data'!$B$2:$B$1602,$A36,'Source Data'!$C$2:$C$1602))</f>
        <v>12.9166666666667</v>
      </c>
      <c r="D36" s="6" t="n">
        <f aca="false">IF(COUNTIFS('Source Data'!$B$2:$B$1602,$A36,'Source Data'!$C$2:$C$1602,"&lt;&gt;")=0,"",_xlfn.MINIFS('Source Data'!$C$2:$C$1602,'Source Data'!$B$2:$B$1602,$A36))</f>
        <v>3</v>
      </c>
      <c r="E36" s="6" t="n">
        <f aca="false">IF(COUNTIFS('Source Data'!$B$2:$B$1602,$A36,'Source Data'!$C$2:$C$1602,"&lt;&gt;")=0,"",_xlfn.MAXIFS('Source Data'!$C$2:$C$1602,'Source Data'!$B$2:$B$1602,$A36))</f>
        <v>26</v>
      </c>
      <c r="F36" s="6" t="n">
        <f aca="false">IF(COUNTIFS('Source Data'!$B$2:$B$1602,$A36,'Source Data'!$D$2:$D$1602,"&lt;&gt;")=0,"",AVERAGEIF('Source Data'!$B$2:$B$1602,$A36,'Source Data'!$D$2:$D$1602))</f>
        <v>3.33333333333333</v>
      </c>
      <c r="G36" s="6" t="n">
        <f aca="false">IF(COUNTIFS('Source Data'!$B$2:$B$1602,$A36,'Source Data'!$D$2:$D$1602,"&lt;&gt;")=0,"",_xlfn.MINIFS('Source Data'!$D$2:$D$1602,'Source Data'!$B$2:$B$1602,$A36))</f>
        <v>0</v>
      </c>
      <c r="H36" s="6" t="n">
        <f aca="false">IF(COUNTIFS('Source Data'!$B$2:$B$1602,$A36,'Source Data'!$D$2:$D$1602,"&lt;&gt;")=0,"",_xlfn.MAXIFS('Source Data'!$D$2:$D$1602,'Source Data'!$B$2:$B$1602,$A36))</f>
        <v>12</v>
      </c>
      <c r="I36" s="6" t="str">
        <f aca="false">IF(COUNTIFS('Source Data'!$B$2:$B$1602,$A36,'Source Data'!$E$2:$E$1602,"&lt;&gt;")=0,"",AVERAGEIF('Source Data'!$B$2:$B$1602,$A36,'Source Data'!$E$2:$E$1602))</f>
        <v/>
      </c>
      <c r="J36" s="6" t="str">
        <f aca="false">IF(COUNTIFS('Source Data'!$B$2:$B$1602,$A36,'Source Data'!$E$2:$E$1602,"&lt;&gt;")=0,"",_xlfn.MINIFS('Source Data'!$E$2:$E$1602,'Source Data'!$B$2:$B$1602,$A36))</f>
        <v/>
      </c>
      <c r="K36" s="6" t="str">
        <f aca="false">IF(COUNTIFS('Source Data'!$B$2:$B$1602,$A36,'Source Data'!$E$2:$E$1602,"&lt;&gt;")=0,"",_xlfn.MAXIFS('Source Data'!$E$2:$E$1602,'Source Data'!$B$2:$B$1602,$A36))</f>
        <v/>
      </c>
      <c r="L36" s="6" t="str">
        <f aca="false">IF(COUNTIFS('Source Data'!$B$2:$B$1602,$A36,'Source Data'!$F$2:$F$1602,"&lt;&gt;")=0,"",AVERAGEIF('Source Data'!$B$2:$B$1602,$A36,'Source Data'!$F$2:$F$1602))</f>
        <v/>
      </c>
      <c r="M36" s="6" t="str">
        <f aca="false">IF(COUNTIFS('Source Data'!$B$2:$B$1602,$A36,'Source Data'!$F$2:$F$1602,"&lt;&gt;")=0,"",_xlfn.MINIFS('Source Data'!$F$2:$F$1602,'Source Data'!$B$2:$B$1602,$A36))</f>
        <v/>
      </c>
      <c r="N36" s="6" t="str">
        <f aca="false">IF(COUNTIFS('Source Data'!$B$2:$B$1602,$A36,'Source Data'!$F$2:$F$1602,"&lt;&gt;")=0,"",_xlfn.MAXIFS('Source Data'!$F$2:$F$1602,'Source Data'!$B$2:$B$1602,$A36))</f>
        <v/>
      </c>
    </row>
    <row r="37" customFormat="false" ht="15" hidden="false" customHeight="false" outlineLevel="0" collapsed="false">
      <c r="A37" s="5" t="s">
        <v>700</v>
      </c>
      <c r="B37" s="7" t="n">
        <f aca="false">COUNTIF('Source Data'!$B$2:$B$1602,$A37)</f>
        <v>1</v>
      </c>
      <c r="C37" s="6" t="n">
        <f aca="false">IF(COUNTIFS('Source Data'!$B$2:$B$1602,$A37,'Source Data'!$C$2:$C$1602,"&lt;&gt;")=0,"",AVERAGEIF('Source Data'!$B$2:$B$1602,$A37,'Source Data'!$C$2:$C$1602))</f>
        <v>6</v>
      </c>
      <c r="D37" s="6" t="n">
        <f aca="false">IF(COUNTIFS('Source Data'!$B$2:$B$1602,$A37,'Source Data'!$C$2:$C$1602,"&lt;&gt;")=0,"",_xlfn.MINIFS('Source Data'!$C$2:$C$1602,'Source Data'!$B$2:$B$1602,$A37))</f>
        <v>6</v>
      </c>
      <c r="E37" s="6" t="n">
        <f aca="false">IF(COUNTIFS('Source Data'!$B$2:$B$1602,$A37,'Source Data'!$C$2:$C$1602,"&lt;&gt;")=0,"",_xlfn.MAXIFS('Source Data'!$C$2:$C$1602,'Source Data'!$B$2:$B$1602,$A37))</f>
        <v>6</v>
      </c>
      <c r="F37" s="6" t="n">
        <f aca="false">IF(COUNTIFS('Source Data'!$B$2:$B$1602,$A37,'Source Data'!$D$2:$D$1602,"&lt;&gt;")=0,"",AVERAGEIF('Source Data'!$B$2:$B$1602,$A37,'Source Data'!$D$2:$D$1602))</f>
        <v>0</v>
      </c>
      <c r="G37" s="6" t="n">
        <f aca="false">IF(COUNTIFS('Source Data'!$B$2:$B$1602,$A37,'Source Data'!$D$2:$D$1602,"&lt;&gt;")=0,"",_xlfn.MINIFS('Source Data'!$D$2:$D$1602,'Source Data'!$B$2:$B$1602,$A37))</f>
        <v>0</v>
      </c>
      <c r="H37" s="6" t="n">
        <f aca="false">IF(COUNTIFS('Source Data'!$B$2:$B$1602,$A37,'Source Data'!$D$2:$D$1602,"&lt;&gt;")=0,"",_xlfn.MAXIFS('Source Data'!$D$2:$D$1602,'Source Data'!$B$2:$B$1602,$A37))</f>
        <v>0</v>
      </c>
      <c r="I37" s="6" t="str">
        <f aca="false">IF(COUNTIFS('Source Data'!$B$2:$B$1602,$A37,'Source Data'!$E$2:$E$1602,"&lt;&gt;")=0,"",AVERAGEIF('Source Data'!$B$2:$B$1602,$A37,'Source Data'!$E$2:$E$1602))</f>
        <v/>
      </c>
      <c r="J37" s="6" t="str">
        <f aca="false">IF(COUNTIFS('Source Data'!$B$2:$B$1602,$A37,'Source Data'!$E$2:$E$1602,"&lt;&gt;")=0,"",_xlfn.MINIFS('Source Data'!$E$2:$E$1602,'Source Data'!$B$2:$B$1602,$A37))</f>
        <v/>
      </c>
      <c r="K37" s="6" t="str">
        <f aca="false">IF(COUNTIFS('Source Data'!$B$2:$B$1602,$A37,'Source Data'!$E$2:$E$1602,"&lt;&gt;")=0,"",_xlfn.MAXIFS('Source Data'!$E$2:$E$1602,'Source Data'!$B$2:$B$1602,$A37))</f>
        <v/>
      </c>
      <c r="L37" s="6" t="str">
        <f aca="false">IF(COUNTIFS('Source Data'!$B$2:$B$1602,$A37,'Source Data'!$F$2:$F$1602,"&lt;&gt;")=0,"",AVERAGEIF('Source Data'!$B$2:$B$1602,$A37,'Source Data'!$F$2:$F$1602))</f>
        <v/>
      </c>
      <c r="M37" s="6" t="str">
        <f aca="false">IF(COUNTIFS('Source Data'!$B$2:$B$1602,$A37,'Source Data'!$F$2:$F$1602,"&lt;&gt;")=0,"",_xlfn.MINIFS('Source Data'!$F$2:$F$1602,'Source Data'!$B$2:$B$1602,$A37))</f>
        <v/>
      </c>
      <c r="N37" s="6" t="str">
        <f aca="false">IF(COUNTIFS('Source Data'!$B$2:$B$1602,$A37,'Source Data'!$F$2:$F$1602,"&lt;&gt;")=0,"",_xlfn.MAXIFS('Source Data'!$F$2:$F$1602,'Source Data'!$B$2:$B$1602,$A37))</f>
        <v/>
      </c>
    </row>
    <row r="38" customFormat="false" ht="15" hidden="false" customHeight="false" outlineLevel="0" collapsed="false">
      <c r="A38" s="5" t="s">
        <v>702</v>
      </c>
      <c r="B38" s="7" t="n">
        <f aca="false">COUNTIF('Source Data'!$B$2:$B$1602,$A38)</f>
        <v>1</v>
      </c>
      <c r="C38" s="6" t="n">
        <f aca="false">IF(COUNTIFS('Source Data'!$B$2:$B$1602,$A38,'Source Data'!$C$2:$C$1602,"&lt;&gt;")=0,"",AVERAGEIF('Source Data'!$B$2:$B$1602,$A38,'Source Data'!$C$2:$C$1602))</f>
        <v>4</v>
      </c>
      <c r="D38" s="6" t="n">
        <f aca="false">IF(COUNTIFS('Source Data'!$B$2:$B$1602,$A38,'Source Data'!$C$2:$C$1602,"&lt;&gt;")=0,"",_xlfn.MINIFS('Source Data'!$C$2:$C$1602,'Source Data'!$B$2:$B$1602,$A38))</f>
        <v>4</v>
      </c>
      <c r="E38" s="6" t="n">
        <f aca="false">IF(COUNTIFS('Source Data'!$B$2:$B$1602,$A38,'Source Data'!$C$2:$C$1602,"&lt;&gt;")=0,"",_xlfn.MAXIFS('Source Data'!$C$2:$C$1602,'Source Data'!$B$2:$B$1602,$A38))</f>
        <v>4</v>
      </c>
      <c r="F38" s="6" t="n">
        <f aca="false">IF(COUNTIFS('Source Data'!$B$2:$B$1602,$A38,'Source Data'!$D$2:$D$1602,"&lt;&gt;")=0,"",AVERAGEIF('Source Data'!$B$2:$B$1602,$A38,'Source Data'!$D$2:$D$1602))</f>
        <v>12</v>
      </c>
      <c r="G38" s="6" t="n">
        <f aca="false">IF(COUNTIFS('Source Data'!$B$2:$B$1602,$A38,'Source Data'!$D$2:$D$1602,"&lt;&gt;")=0,"",_xlfn.MINIFS('Source Data'!$D$2:$D$1602,'Source Data'!$B$2:$B$1602,$A38))</f>
        <v>12</v>
      </c>
      <c r="H38" s="6" t="n">
        <f aca="false">IF(COUNTIFS('Source Data'!$B$2:$B$1602,$A38,'Source Data'!$D$2:$D$1602,"&lt;&gt;")=0,"",_xlfn.MAXIFS('Source Data'!$D$2:$D$1602,'Source Data'!$B$2:$B$1602,$A38))</f>
        <v>12</v>
      </c>
      <c r="I38" s="6" t="str">
        <f aca="false">IF(COUNTIFS('Source Data'!$B$2:$B$1602,$A38,'Source Data'!$E$2:$E$1602,"&lt;&gt;")=0,"",AVERAGEIF('Source Data'!$B$2:$B$1602,$A38,'Source Data'!$E$2:$E$1602))</f>
        <v/>
      </c>
      <c r="J38" s="6" t="str">
        <f aca="false">IF(COUNTIFS('Source Data'!$B$2:$B$1602,$A38,'Source Data'!$E$2:$E$1602,"&lt;&gt;")=0,"",_xlfn.MINIFS('Source Data'!$E$2:$E$1602,'Source Data'!$B$2:$B$1602,$A38))</f>
        <v/>
      </c>
      <c r="K38" s="6" t="str">
        <f aca="false">IF(COUNTIFS('Source Data'!$B$2:$B$1602,$A38,'Source Data'!$E$2:$E$1602,"&lt;&gt;")=0,"",_xlfn.MAXIFS('Source Data'!$E$2:$E$1602,'Source Data'!$B$2:$B$1602,$A38))</f>
        <v/>
      </c>
      <c r="L38" s="6" t="str">
        <f aca="false">IF(COUNTIFS('Source Data'!$B$2:$B$1602,$A38,'Source Data'!$F$2:$F$1602,"&lt;&gt;")=0,"",AVERAGEIF('Source Data'!$B$2:$B$1602,$A38,'Source Data'!$F$2:$F$1602))</f>
        <v/>
      </c>
      <c r="M38" s="6" t="str">
        <f aca="false">IF(COUNTIFS('Source Data'!$B$2:$B$1602,$A38,'Source Data'!$F$2:$F$1602,"&lt;&gt;")=0,"",_xlfn.MINIFS('Source Data'!$F$2:$F$1602,'Source Data'!$B$2:$B$1602,$A38))</f>
        <v/>
      </c>
      <c r="N38" s="6" t="str">
        <f aca="false">IF(COUNTIFS('Source Data'!$B$2:$B$1602,$A38,'Source Data'!$F$2:$F$1602,"&lt;&gt;")=0,"",_xlfn.MAXIFS('Source Data'!$F$2:$F$1602,'Source Data'!$B$2:$B$1602,$A38))</f>
        <v/>
      </c>
    </row>
    <row r="39" customFormat="false" ht="15" hidden="false" customHeight="false" outlineLevel="0" collapsed="false">
      <c r="A39" s="5" t="s">
        <v>704</v>
      </c>
      <c r="B39" s="7" t="n">
        <f aca="false">COUNTIF('Source Data'!$B$2:$B$1602,$A39)</f>
        <v>10</v>
      </c>
      <c r="C39" s="6" t="n">
        <f aca="false">IF(COUNTIFS('Source Data'!$B$2:$B$1602,$A39,'Source Data'!$C$2:$C$1602,"&lt;&gt;")=0,"",AVERAGEIF('Source Data'!$B$2:$B$1602,$A39,'Source Data'!$C$2:$C$1602))</f>
        <v>11.2</v>
      </c>
      <c r="D39" s="6" t="n">
        <f aca="false">IF(COUNTIFS('Source Data'!$B$2:$B$1602,$A39,'Source Data'!$C$2:$C$1602,"&lt;&gt;")=0,"",_xlfn.MINIFS('Source Data'!$C$2:$C$1602,'Source Data'!$B$2:$B$1602,$A39))</f>
        <v>1</v>
      </c>
      <c r="E39" s="6" t="n">
        <f aca="false">IF(COUNTIFS('Source Data'!$B$2:$B$1602,$A39,'Source Data'!$C$2:$C$1602,"&lt;&gt;")=0,"",_xlfn.MAXIFS('Source Data'!$C$2:$C$1602,'Source Data'!$B$2:$B$1602,$A39))</f>
        <v>42</v>
      </c>
      <c r="F39" s="6" t="n">
        <f aca="false">IF(COUNTIFS('Source Data'!$B$2:$B$1602,$A39,'Source Data'!$D$2:$D$1602,"&lt;&gt;")=0,"",AVERAGEIF('Source Data'!$B$2:$B$1602,$A39,'Source Data'!$D$2:$D$1602))</f>
        <v>4.375</v>
      </c>
      <c r="G39" s="6" t="n">
        <f aca="false">IF(COUNTIFS('Source Data'!$B$2:$B$1602,$A39,'Source Data'!$D$2:$D$1602,"&lt;&gt;")=0,"",_xlfn.MINIFS('Source Data'!$D$2:$D$1602,'Source Data'!$B$2:$B$1602,$A39))</f>
        <v>0</v>
      </c>
      <c r="H39" s="6" t="n">
        <f aca="false">IF(COUNTIFS('Source Data'!$B$2:$B$1602,$A39,'Source Data'!$D$2:$D$1602,"&lt;&gt;")=0,"",_xlfn.MAXIFS('Source Data'!$D$2:$D$1602,'Source Data'!$B$2:$B$1602,$A39))</f>
        <v>14</v>
      </c>
      <c r="I39" s="6" t="n">
        <f aca="false">IF(COUNTIFS('Source Data'!$B$2:$B$1602,$A39,'Source Data'!$E$2:$E$1602,"&lt;&gt;")=0,"",AVERAGEIF('Source Data'!$B$2:$B$1602,$A39,'Source Data'!$E$2:$E$1602))</f>
        <v>12</v>
      </c>
      <c r="J39" s="6" t="n">
        <f aca="false">IF(COUNTIFS('Source Data'!$B$2:$B$1602,$A39,'Source Data'!$E$2:$E$1602,"&lt;&gt;")=0,"",_xlfn.MINIFS('Source Data'!$E$2:$E$1602,'Source Data'!$B$2:$B$1602,$A39))</f>
        <v>12</v>
      </c>
      <c r="K39" s="6" t="n">
        <f aca="false">IF(COUNTIFS('Source Data'!$B$2:$B$1602,$A39,'Source Data'!$E$2:$E$1602,"&lt;&gt;")=0,"",_xlfn.MAXIFS('Source Data'!$E$2:$E$1602,'Source Data'!$B$2:$B$1602,$A39))</f>
        <v>12</v>
      </c>
      <c r="L39" s="6" t="str">
        <f aca="false">IF(COUNTIFS('Source Data'!$B$2:$B$1602,$A39,'Source Data'!$F$2:$F$1602,"&lt;&gt;")=0,"",AVERAGEIF('Source Data'!$B$2:$B$1602,$A39,'Source Data'!$F$2:$F$1602))</f>
        <v/>
      </c>
      <c r="M39" s="6" t="str">
        <f aca="false">IF(COUNTIFS('Source Data'!$B$2:$B$1602,$A39,'Source Data'!$F$2:$F$1602,"&lt;&gt;")=0,"",_xlfn.MINIFS('Source Data'!$F$2:$F$1602,'Source Data'!$B$2:$B$1602,$A39))</f>
        <v/>
      </c>
      <c r="N39" s="6" t="str">
        <f aca="false">IF(COUNTIFS('Source Data'!$B$2:$B$1602,$A39,'Source Data'!$F$2:$F$1602,"&lt;&gt;")=0,"",_xlfn.MAXIFS('Source Data'!$F$2:$F$1602,'Source Data'!$B$2:$B$1602,$A39))</f>
        <v/>
      </c>
    </row>
    <row r="40" customFormat="false" ht="15" hidden="false" customHeight="false" outlineLevel="0" collapsed="false">
      <c r="A40" s="5" t="s">
        <v>714</v>
      </c>
      <c r="B40" s="7" t="n">
        <f aca="false">COUNTIF('Source Data'!$B$2:$B$1602,$A40)</f>
        <v>1</v>
      </c>
      <c r="C40" s="6" t="n">
        <f aca="false">IF(COUNTIFS('Source Data'!$B$2:$B$1602,$A40,'Source Data'!$C$2:$C$1602,"&lt;&gt;")=0,"",AVERAGEIF('Source Data'!$B$2:$B$1602,$A40,'Source Data'!$C$2:$C$1602))</f>
        <v>16</v>
      </c>
      <c r="D40" s="6" t="n">
        <f aca="false">IF(COUNTIFS('Source Data'!$B$2:$B$1602,$A40,'Source Data'!$C$2:$C$1602,"&lt;&gt;")=0,"",_xlfn.MINIFS('Source Data'!$C$2:$C$1602,'Source Data'!$B$2:$B$1602,$A40))</f>
        <v>16</v>
      </c>
      <c r="E40" s="6" t="n">
        <f aca="false">IF(COUNTIFS('Source Data'!$B$2:$B$1602,$A40,'Source Data'!$C$2:$C$1602,"&lt;&gt;")=0,"",_xlfn.MAXIFS('Source Data'!$C$2:$C$1602,'Source Data'!$B$2:$B$1602,$A40))</f>
        <v>16</v>
      </c>
      <c r="F40" s="6" t="n">
        <f aca="false">IF(COUNTIFS('Source Data'!$B$2:$B$1602,$A40,'Source Data'!$D$2:$D$1602,"&lt;&gt;")=0,"",AVERAGEIF('Source Data'!$B$2:$B$1602,$A40,'Source Data'!$D$2:$D$1602))</f>
        <v>0</v>
      </c>
      <c r="G40" s="6" t="n">
        <f aca="false">IF(COUNTIFS('Source Data'!$B$2:$B$1602,$A40,'Source Data'!$D$2:$D$1602,"&lt;&gt;")=0,"",_xlfn.MINIFS('Source Data'!$D$2:$D$1602,'Source Data'!$B$2:$B$1602,$A40))</f>
        <v>0</v>
      </c>
      <c r="H40" s="6" t="n">
        <f aca="false">IF(COUNTIFS('Source Data'!$B$2:$B$1602,$A40,'Source Data'!$D$2:$D$1602,"&lt;&gt;")=0,"",_xlfn.MAXIFS('Source Data'!$D$2:$D$1602,'Source Data'!$B$2:$B$1602,$A40))</f>
        <v>0</v>
      </c>
      <c r="I40" s="6" t="str">
        <f aca="false">IF(COUNTIFS('Source Data'!$B$2:$B$1602,$A40,'Source Data'!$E$2:$E$1602,"&lt;&gt;")=0,"",AVERAGEIF('Source Data'!$B$2:$B$1602,$A40,'Source Data'!$E$2:$E$1602))</f>
        <v/>
      </c>
      <c r="J40" s="6" t="str">
        <f aca="false">IF(COUNTIFS('Source Data'!$B$2:$B$1602,$A40,'Source Data'!$E$2:$E$1602,"&lt;&gt;")=0,"",_xlfn.MINIFS('Source Data'!$E$2:$E$1602,'Source Data'!$B$2:$B$1602,$A40))</f>
        <v/>
      </c>
      <c r="K40" s="6" t="str">
        <f aca="false">IF(COUNTIFS('Source Data'!$B$2:$B$1602,$A40,'Source Data'!$E$2:$E$1602,"&lt;&gt;")=0,"",_xlfn.MAXIFS('Source Data'!$E$2:$E$1602,'Source Data'!$B$2:$B$1602,$A40))</f>
        <v/>
      </c>
      <c r="L40" s="6" t="str">
        <f aca="false">IF(COUNTIFS('Source Data'!$B$2:$B$1602,$A40,'Source Data'!$F$2:$F$1602,"&lt;&gt;")=0,"",AVERAGEIF('Source Data'!$B$2:$B$1602,$A40,'Source Data'!$F$2:$F$1602))</f>
        <v/>
      </c>
      <c r="M40" s="6" t="str">
        <f aca="false">IF(COUNTIFS('Source Data'!$B$2:$B$1602,$A40,'Source Data'!$F$2:$F$1602,"&lt;&gt;")=0,"",_xlfn.MINIFS('Source Data'!$F$2:$F$1602,'Source Data'!$B$2:$B$1602,$A40))</f>
        <v/>
      </c>
      <c r="N40" s="6" t="str">
        <f aca="false">IF(COUNTIFS('Source Data'!$B$2:$B$1602,$A40,'Source Data'!$F$2:$F$1602,"&lt;&gt;")=0,"",_xlfn.MAXIFS('Source Data'!$F$2:$F$1602,'Source Data'!$B$2:$B$1602,$A40))</f>
        <v/>
      </c>
    </row>
    <row r="41" customFormat="false" ht="15" hidden="false" customHeight="false" outlineLevel="0" collapsed="false">
      <c r="A41" s="5" t="s">
        <v>40</v>
      </c>
      <c r="B41" s="7" t="n">
        <f aca="false">COUNTIF('Source Data'!$B$2:$B$1602,$A41)</f>
        <v>14</v>
      </c>
      <c r="C41" s="6" t="n">
        <f aca="false">IF(COUNTIFS('Source Data'!$B$2:$B$1602,$A41,'Source Data'!$C$2:$C$1602,"&lt;&gt;")=0,"",AVERAGEIF('Source Data'!$B$2:$B$1602,$A41,'Source Data'!$C$2:$C$1602))</f>
        <v>8.14285714285714</v>
      </c>
      <c r="D41" s="6" t="n">
        <f aca="false">IF(COUNTIFS('Source Data'!$B$2:$B$1602,$A41,'Source Data'!$C$2:$C$1602,"&lt;&gt;")=0,"",_xlfn.MINIFS('Source Data'!$C$2:$C$1602,'Source Data'!$B$2:$B$1602,$A41))</f>
        <v>0</v>
      </c>
      <c r="E41" s="6" t="n">
        <f aca="false">IF(COUNTIFS('Source Data'!$B$2:$B$1602,$A41,'Source Data'!$C$2:$C$1602,"&lt;&gt;")=0,"",_xlfn.MAXIFS('Source Data'!$C$2:$C$1602,'Source Data'!$B$2:$B$1602,$A41))</f>
        <v>15</v>
      </c>
      <c r="F41" s="6" t="n">
        <f aca="false">IF(COUNTIFS('Source Data'!$B$2:$B$1602,$A41,'Source Data'!$D$2:$D$1602,"&lt;&gt;")=0,"",AVERAGEIF('Source Data'!$B$2:$B$1602,$A41,'Source Data'!$D$2:$D$1602))</f>
        <v>9.25</v>
      </c>
      <c r="G41" s="6" t="n">
        <f aca="false">IF(COUNTIFS('Source Data'!$B$2:$B$1602,$A41,'Source Data'!$D$2:$D$1602,"&lt;&gt;")=0,"",_xlfn.MINIFS('Source Data'!$D$2:$D$1602,'Source Data'!$B$2:$B$1602,$A41))</f>
        <v>0</v>
      </c>
      <c r="H41" s="6" t="n">
        <f aca="false">IF(COUNTIFS('Source Data'!$B$2:$B$1602,$A41,'Source Data'!$D$2:$D$1602,"&lt;&gt;")=0,"",_xlfn.MAXIFS('Source Data'!$D$2:$D$1602,'Source Data'!$B$2:$B$1602,$A41))</f>
        <v>52</v>
      </c>
      <c r="I41" s="6" t="n">
        <f aca="false">IF(COUNTIFS('Source Data'!$B$2:$B$1602,$A41,'Source Data'!$E$2:$E$1602,"&lt;&gt;")=0,"",AVERAGEIF('Source Data'!$B$2:$B$1602,$A41,'Source Data'!$E$2:$E$1602))</f>
        <v>0.666666666666667</v>
      </c>
      <c r="J41" s="6" t="n">
        <f aca="false">IF(COUNTIFS('Source Data'!$B$2:$B$1602,$A41,'Source Data'!$E$2:$E$1602,"&lt;&gt;")=0,"",_xlfn.MINIFS('Source Data'!$E$2:$E$1602,'Source Data'!$B$2:$B$1602,$A41))</f>
        <v>0</v>
      </c>
      <c r="K41" s="6" t="n">
        <f aca="false">IF(COUNTIFS('Source Data'!$B$2:$B$1602,$A41,'Source Data'!$E$2:$E$1602,"&lt;&gt;")=0,"",_xlfn.MAXIFS('Source Data'!$E$2:$E$1602,'Source Data'!$B$2:$B$1602,$A41))</f>
        <v>2</v>
      </c>
      <c r="L41" s="6" t="n">
        <f aca="false">IF(COUNTIFS('Source Data'!$B$2:$B$1602,$A41,'Source Data'!$F$2:$F$1602,"&lt;&gt;")=0,"",AVERAGEIF('Source Data'!$B$2:$B$1602,$A41,'Source Data'!$F$2:$F$1602))</f>
        <v>9</v>
      </c>
      <c r="M41" s="6" t="n">
        <f aca="false">IF(COUNTIFS('Source Data'!$B$2:$B$1602,$A41,'Source Data'!$F$2:$F$1602,"&lt;&gt;")=0,"",_xlfn.MINIFS('Source Data'!$F$2:$F$1602,'Source Data'!$B$2:$B$1602,$A41))</f>
        <v>6</v>
      </c>
      <c r="N41" s="6" t="n">
        <f aca="false">IF(COUNTIFS('Source Data'!$B$2:$B$1602,$A41,'Source Data'!$F$2:$F$1602,"&lt;&gt;")=0,"",_xlfn.MAXIFS('Source Data'!$F$2:$F$1602,'Source Data'!$B$2:$B$1602,$A41))</f>
        <v>12</v>
      </c>
    </row>
    <row r="42" customFormat="false" ht="15" hidden="false" customHeight="false" outlineLevel="0" collapsed="false">
      <c r="A42" s="5" t="s">
        <v>727</v>
      </c>
      <c r="B42" s="7" t="n">
        <f aca="false">COUNTIF('Source Data'!$B$2:$B$1602,$A42)</f>
        <v>1</v>
      </c>
      <c r="C42" s="6" t="n">
        <f aca="false">IF(COUNTIFS('Source Data'!$B$2:$B$1602,$A42,'Source Data'!$C$2:$C$1602,"&lt;&gt;")=0,"",AVERAGEIF('Source Data'!$B$2:$B$1602,$A42,'Source Data'!$C$2:$C$1602))</f>
        <v>12</v>
      </c>
      <c r="D42" s="6" t="n">
        <f aca="false">IF(COUNTIFS('Source Data'!$B$2:$B$1602,$A42,'Source Data'!$C$2:$C$1602,"&lt;&gt;")=0,"",_xlfn.MINIFS('Source Data'!$C$2:$C$1602,'Source Data'!$B$2:$B$1602,$A42))</f>
        <v>12</v>
      </c>
      <c r="E42" s="6" t="n">
        <f aca="false">IF(COUNTIFS('Source Data'!$B$2:$B$1602,$A42,'Source Data'!$C$2:$C$1602,"&lt;&gt;")=0,"",_xlfn.MAXIFS('Source Data'!$C$2:$C$1602,'Source Data'!$B$2:$B$1602,$A42))</f>
        <v>12</v>
      </c>
      <c r="F42" s="6" t="n">
        <f aca="false">IF(COUNTIFS('Source Data'!$B$2:$B$1602,$A42,'Source Data'!$D$2:$D$1602,"&lt;&gt;")=0,"",AVERAGEIF('Source Data'!$B$2:$B$1602,$A42,'Source Data'!$D$2:$D$1602))</f>
        <v>0</v>
      </c>
      <c r="G42" s="6" t="n">
        <f aca="false">IF(COUNTIFS('Source Data'!$B$2:$B$1602,$A42,'Source Data'!$D$2:$D$1602,"&lt;&gt;")=0,"",_xlfn.MINIFS('Source Data'!$D$2:$D$1602,'Source Data'!$B$2:$B$1602,$A42))</f>
        <v>0</v>
      </c>
      <c r="H42" s="6" t="n">
        <f aca="false">IF(COUNTIFS('Source Data'!$B$2:$B$1602,$A42,'Source Data'!$D$2:$D$1602,"&lt;&gt;")=0,"",_xlfn.MAXIFS('Source Data'!$D$2:$D$1602,'Source Data'!$B$2:$B$1602,$A42))</f>
        <v>0</v>
      </c>
      <c r="I42" s="6" t="str">
        <f aca="false">IF(COUNTIFS('Source Data'!$B$2:$B$1602,$A42,'Source Data'!$E$2:$E$1602,"&lt;&gt;")=0,"",AVERAGEIF('Source Data'!$B$2:$B$1602,$A42,'Source Data'!$E$2:$E$1602))</f>
        <v/>
      </c>
      <c r="J42" s="6" t="str">
        <f aca="false">IF(COUNTIFS('Source Data'!$B$2:$B$1602,$A42,'Source Data'!$E$2:$E$1602,"&lt;&gt;")=0,"",_xlfn.MINIFS('Source Data'!$E$2:$E$1602,'Source Data'!$B$2:$B$1602,$A42))</f>
        <v/>
      </c>
      <c r="K42" s="6" t="str">
        <f aca="false">IF(COUNTIFS('Source Data'!$B$2:$B$1602,$A42,'Source Data'!$E$2:$E$1602,"&lt;&gt;")=0,"",_xlfn.MAXIFS('Source Data'!$E$2:$E$1602,'Source Data'!$B$2:$B$1602,$A42))</f>
        <v/>
      </c>
      <c r="L42" s="6" t="str">
        <f aca="false">IF(COUNTIFS('Source Data'!$B$2:$B$1602,$A42,'Source Data'!$F$2:$F$1602,"&lt;&gt;")=0,"",AVERAGEIF('Source Data'!$B$2:$B$1602,$A42,'Source Data'!$F$2:$F$1602))</f>
        <v/>
      </c>
      <c r="M42" s="6" t="str">
        <f aca="false">IF(COUNTIFS('Source Data'!$B$2:$B$1602,$A42,'Source Data'!$F$2:$F$1602,"&lt;&gt;")=0,"",_xlfn.MINIFS('Source Data'!$F$2:$F$1602,'Source Data'!$B$2:$B$1602,$A42))</f>
        <v/>
      </c>
      <c r="N42" s="6" t="str">
        <f aca="false">IF(COUNTIFS('Source Data'!$B$2:$B$1602,$A42,'Source Data'!$F$2:$F$1602,"&lt;&gt;")=0,"",_xlfn.MAXIFS('Source Data'!$F$2:$F$1602,'Source Data'!$B$2:$B$1602,$A42))</f>
        <v/>
      </c>
    </row>
    <row r="43" customFormat="false" ht="15" hidden="false" customHeight="false" outlineLevel="0" collapsed="false">
      <c r="A43" s="5" t="s">
        <v>729</v>
      </c>
      <c r="B43" s="7" t="n">
        <f aca="false">COUNTIF('Source Data'!$B$2:$B$1602,$A43)</f>
        <v>2</v>
      </c>
      <c r="C43" s="6" t="n">
        <f aca="false">IF(COUNTIFS('Source Data'!$B$2:$B$1602,$A43,'Source Data'!$C$2:$C$1602,"&lt;&gt;")=0,"",AVERAGEIF('Source Data'!$B$2:$B$1602,$A43,'Source Data'!$C$2:$C$1602))</f>
        <v>14</v>
      </c>
      <c r="D43" s="6" t="n">
        <f aca="false">IF(COUNTIFS('Source Data'!$B$2:$B$1602,$A43,'Source Data'!$C$2:$C$1602,"&lt;&gt;")=0,"",_xlfn.MINIFS('Source Data'!$C$2:$C$1602,'Source Data'!$B$2:$B$1602,$A43))</f>
        <v>12</v>
      </c>
      <c r="E43" s="6" t="n">
        <f aca="false">IF(COUNTIFS('Source Data'!$B$2:$B$1602,$A43,'Source Data'!$C$2:$C$1602,"&lt;&gt;")=0,"",_xlfn.MAXIFS('Source Data'!$C$2:$C$1602,'Source Data'!$B$2:$B$1602,$A43))</f>
        <v>16</v>
      </c>
      <c r="F43" s="6" t="n">
        <f aca="false">IF(COUNTIFS('Source Data'!$B$2:$B$1602,$A43,'Source Data'!$D$2:$D$1602,"&lt;&gt;")=0,"",AVERAGEIF('Source Data'!$B$2:$B$1602,$A43,'Source Data'!$D$2:$D$1602))</f>
        <v>4</v>
      </c>
      <c r="G43" s="6" t="n">
        <f aca="false">IF(COUNTIFS('Source Data'!$B$2:$B$1602,$A43,'Source Data'!$D$2:$D$1602,"&lt;&gt;")=0,"",_xlfn.MINIFS('Source Data'!$D$2:$D$1602,'Source Data'!$B$2:$B$1602,$A43))</f>
        <v>0</v>
      </c>
      <c r="H43" s="6" t="n">
        <f aca="false">IF(COUNTIFS('Source Data'!$B$2:$B$1602,$A43,'Source Data'!$D$2:$D$1602,"&lt;&gt;")=0,"",_xlfn.MAXIFS('Source Data'!$D$2:$D$1602,'Source Data'!$B$2:$B$1602,$A43))</f>
        <v>8</v>
      </c>
      <c r="I43" s="6" t="str">
        <f aca="false">IF(COUNTIFS('Source Data'!$B$2:$B$1602,$A43,'Source Data'!$E$2:$E$1602,"&lt;&gt;")=0,"",AVERAGEIF('Source Data'!$B$2:$B$1602,$A43,'Source Data'!$E$2:$E$1602))</f>
        <v/>
      </c>
      <c r="J43" s="6" t="str">
        <f aca="false">IF(COUNTIFS('Source Data'!$B$2:$B$1602,$A43,'Source Data'!$E$2:$E$1602,"&lt;&gt;")=0,"",_xlfn.MINIFS('Source Data'!$E$2:$E$1602,'Source Data'!$B$2:$B$1602,$A43))</f>
        <v/>
      </c>
      <c r="K43" s="6" t="str">
        <f aca="false">IF(COUNTIFS('Source Data'!$B$2:$B$1602,$A43,'Source Data'!$E$2:$E$1602,"&lt;&gt;")=0,"",_xlfn.MAXIFS('Source Data'!$E$2:$E$1602,'Source Data'!$B$2:$B$1602,$A43))</f>
        <v/>
      </c>
      <c r="L43" s="6" t="str">
        <f aca="false">IF(COUNTIFS('Source Data'!$B$2:$B$1602,$A43,'Source Data'!$F$2:$F$1602,"&lt;&gt;")=0,"",AVERAGEIF('Source Data'!$B$2:$B$1602,$A43,'Source Data'!$F$2:$F$1602))</f>
        <v/>
      </c>
      <c r="M43" s="6" t="str">
        <f aca="false">IF(COUNTIFS('Source Data'!$B$2:$B$1602,$A43,'Source Data'!$F$2:$F$1602,"&lt;&gt;")=0,"",_xlfn.MINIFS('Source Data'!$F$2:$F$1602,'Source Data'!$B$2:$B$1602,$A43))</f>
        <v/>
      </c>
      <c r="N43" s="6" t="str">
        <f aca="false">IF(COUNTIFS('Source Data'!$B$2:$B$1602,$A43,'Source Data'!$F$2:$F$1602,"&lt;&gt;")=0,"",_xlfn.MAXIFS('Source Data'!$F$2:$F$1602,'Source Data'!$B$2:$B$1602,$A43))</f>
        <v/>
      </c>
    </row>
    <row r="44" customFormat="false" ht="15" hidden="false" customHeight="false" outlineLevel="0" collapsed="false">
      <c r="A44" s="5" t="s">
        <v>43</v>
      </c>
      <c r="B44" s="7" t="n">
        <f aca="false">COUNTIF('Source Data'!$B$2:$B$1602,$A44)</f>
        <v>27</v>
      </c>
      <c r="C44" s="6" t="n">
        <f aca="false">IF(COUNTIFS('Source Data'!$B$2:$B$1602,$A44,'Source Data'!$C$2:$C$1602,"&lt;&gt;")=0,"",AVERAGEIF('Source Data'!$B$2:$B$1602,$A44,'Source Data'!$C$2:$C$1602))</f>
        <v>12.6666666666667</v>
      </c>
      <c r="D44" s="6" t="n">
        <f aca="false">IF(COUNTIFS('Source Data'!$B$2:$B$1602,$A44,'Source Data'!$C$2:$C$1602,"&lt;&gt;")=0,"",_xlfn.MINIFS('Source Data'!$C$2:$C$1602,'Source Data'!$B$2:$B$1602,$A44))</f>
        <v>0</v>
      </c>
      <c r="E44" s="6" t="n">
        <f aca="false">IF(COUNTIFS('Source Data'!$B$2:$B$1602,$A44,'Source Data'!$C$2:$C$1602,"&lt;&gt;")=0,"",_xlfn.MAXIFS('Source Data'!$C$2:$C$1602,'Source Data'!$B$2:$B$1602,$A44))</f>
        <v>39</v>
      </c>
      <c r="F44" s="6" t="n">
        <f aca="false">IF(COUNTIFS('Source Data'!$B$2:$B$1602,$A44,'Source Data'!$D$2:$D$1602,"&lt;&gt;")=0,"",AVERAGEIF('Source Data'!$B$2:$B$1602,$A44,'Source Data'!$D$2:$D$1602))</f>
        <v>7.04166666666667</v>
      </c>
      <c r="G44" s="6" t="n">
        <f aca="false">IF(COUNTIFS('Source Data'!$B$2:$B$1602,$A44,'Source Data'!$D$2:$D$1602,"&lt;&gt;")=0,"",_xlfn.MINIFS('Source Data'!$D$2:$D$1602,'Source Data'!$B$2:$B$1602,$A44))</f>
        <v>0</v>
      </c>
      <c r="H44" s="6" t="n">
        <f aca="false">IF(COUNTIFS('Source Data'!$B$2:$B$1602,$A44,'Source Data'!$D$2:$D$1602,"&lt;&gt;")=0,"",_xlfn.MAXIFS('Source Data'!$D$2:$D$1602,'Source Data'!$B$2:$B$1602,$A44))</f>
        <v>52</v>
      </c>
      <c r="I44" s="6" t="n">
        <f aca="false">IF(COUNTIFS('Source Data'!$B$2:$B$1602,$A44,'Source Data'!$E$2:$E$1602,"&lt;&gt;")=0,"",AVERAGEIF('Source Data'!$B$2:$B$1602,$A44,'Source Data'!$E$2:$E$1602))</f>
        <v>10.2</v>
      </c>
      <c r="J44" s="6" t="n">
        <f aca="false">IF(COUNTIFS('Source Data'!$B$2:$B$1602,$A44,'Source Data'!$E$2:$E$1602,"&lt;&gt;")=0,"",_xlfn.MINIFS('Source Data'!$E$2:$E$1602,'Source Data'!$B$2:$B$1602,$A44))</f>
        <v>2</v>
      </c>
      <c r="K44" s="6" t="n">
        <f aca="false">IF(COUNTIFS('Source Data'!$B$2:$B$1602,$A44,'Source Data'!$E$2:$E$1602,"&lt;&gt;")=0,"",_xlfn.MAXIFS('Source Data'!$E$2:$E$1602,'Source Data'!$B$2:$B$1602,$A44))</f>
        <v>18</v>
      </c>
      <c r="L44" s="6" t="n">
        <f aca="false">IF(COUNTIFS('Source Data'!$B$2:$B$1602,$A44,'Source Data'!$F$2:$F$1602,"&lt;&gt;")=0,"",AVERAGEIF('Source Data'!$B$2:$B$1602,$A44,'Source Data'!$F$2:$F$1602))</f>
        <v>4</v>
      </c>
      <c r="M44" s="6" t="n">
        <f aca="false">IF(COUNTIFS('Source Data'!$B$2:$B$1602,$A44,'Source Data'!$F$2:$F$1602,"&lt;&gt;")=0,"",_xlfn.MINIFS('Source Data'!$F$2:$F$1602,'Source Data'!$B$2:$B$1602,$A44))</f>
        <v>0</v>
      </c>
      <c r="N44" s="6" t="n">
        <f aca="false">IF(COUNTIFS('Source Data'!$B$2:$B$1602,$A44,'Source Data'!$F$2:$F$1602,"&lt;&gt;")=0,"",_xlfn.MAXIFS('Source Data'!$F$2:$F$1602,'Source Data'!$B$2:$B$1602,$A44))</f>
        <v>12</v>
      </c>
    </row>
    <row r="45" customFormat="false" ht="15" hidden="false" customHeight="false" outlineLevel="0" collapsed="false">
      <c r="A45" s="5" t="s">
        <v>157</v>
      </c>
      <c r="B45" s="7" t="n">
        <f aca="false">COUNTIF('Source Data'!$B$2:$B$1602,$A45)</f>
        <v>4</v>
      </c>
      <c r="C45" s="6" t="n">
        <f aca="false">IF(COUNTIFS('Source Data'!$B$2:$B$1602,$A45,'Source Data'!$C$2:$C$1602,"&lt;&gt;")=0,"",AVERAGEIF('Source Data'!$B$2:$B$1602,$A45,'Source Data'!$C$2:$C$1602))</f>
        <v>16</v>
      </c>
      <c r="D45" s="6" t="n">
        <f aca="false">IF(COUNTIFS('Source Data'!$B$2:$B$1602,$A45,'Source Data'!$C$2:$C$1602,"&lt;&gt;")=0,"",_xlfn.MINIFS('Source Data'!$C$2:$C$1602,'Source Data'!$B$2:$B$1602,$A45))</f>
        <v>12</v>
      </c>
      <c r="E45" s="6" t="n">
        <f aca="false">IF(COUNTIFS('Source Data'!$B$2:$B$1602,$A45,'Source Data'!$C$2:$C$1602,"&lt;&gt;")=0,"",_xlfn.MAXIFS('Source Data'!$C$2:$C$1602,'Source Data'!$B$2:$B$1602,$A45))</f>
        <v>20</v>
      </c>
      <c r="F45" s="6" t="n">
        <f aca="false">IF(COUNTIFS('Source Data'!$B$2:$B$1602,$A45,'Source Data'!$D$2:$D$1602,"&lt;&gt;")=0,"",AVERAGEIF('Source Data'!$B$2:$B$1602,$A45,'Source Data'!$D$2:$D$1602))</f>
        <v>1.25</v>
      </c>
      <c r="G45" s="6" t="n">
        <f aca="false">IF(COUNTIFS('Source Data'!$B$2:$B$1602,$A45,'Source Data'!$D$2:$D$1602,"&lt;&gt;")=0,"",_xlfn.MINIFS('Source Data'!$D$2:$D$1602,'Source Data'!$B$2:$B$1602,$A45))</f>
        <v>0</v>
      </c>
      <c r="H45" s="6" t="n">
        <f aca="false">IF(COUNTIFS('Source Data'!$B$2:$B$1602,$A45,'Source Data'!$D$2:$D$1602,"&lt;&gt;")=0,"",_xlfn.MAXIFS('Source Data'!$D$2:$D$1602,'Source Data'!$B$2:$B$1602,$A45))</f>
        <v>5</v>
      </c>
      <c r="I45" s="6" t="n">
        <f aca="false">IF(COUNTIFS('Source Data'!$B$2:$B$1602,$A45,'Source Data'!$E$2:$E$1602,"&lt;&gt;")=0,"",AVERAGEIF('Source Data'!$B$2:$B$1602,$A45,'Source Data'!$E$2:$E$1602))</f>
        <v>9</v>
      </c>
      <c r="J45" s="6" t="n">
        <f aca="false">IF(COUNTIFS('Source Data'!$B$2:$B$1602,$A45,'Source Data'!$E$2:$E$1602,"&lt;&gt;")=0,"",_xlfn.MINIFS('Source Data'!$E$2:$E$1602,'Source Data'!$B$2:$B$1602,$A45))</f>
        <v>2</v>
      </c>
      <c r="K45" s="6" t="n">
        <f aca="false">IF(COUNTIFS('Source Data'!$B$2:$B$1602,$A45,'Source Data'!$E$2:$E$1602,"&lt;&gt;")=0,"",_xlfn.MAXIFS('Source Data'!$E$2:$E$1602,'Source Data'!$B$2:$B$1602,$A45))</f>
        <v>16</v>
      </c>
      <c r="L45" s="6" t="str">
        <f aca="false">IF(COUNTIFS('Source Data'!$B$2:$B$1602,$A45,'Source Data'!$F$2:$F$1602,"&lt;&gt;")=0,"",AVERAGEIF('Source Data'!$B$2:$B$1602,$A45,'Source Data'!$F$2:$F$1602))</f>
        <v/>
      </c>
      <c r="M45" s="6" t="str">
        <f aca="false">IF(COUNTIFS('Source Data'!$B$2:$B$1602,$A45,'Source Data'!$F$2:$F$1602,"&lt;&gt;")=0,"",_xlfn.MINIFS('Source Data'!$F$2:$F$1602,'Source Data'!$B$2:$B$1602,$A45))</f>
        <v/>
      </c>
      <c r="N45" s="6" t="str">
        <f aca="false">IF(COUNTIFS('Source Data'!$B$2:$B$1602,$A45,'Source Data'!$F$2:$F$1602,"&lt;&gt;")=0,"",_xlfn.MAXIFS('Source Data'!$F$2:$F$1602,'Source Data'!$B$2:$B$1602,$A45))</f>
        <v/>
      </c>
    </row>
    <row r="46" customFormat="false" ht="15" hidden="false" customHeight="false" outlineLevel="0" collapsed="false">
      <c r="A46" s="5" t="s">
        <v>754</v>
      </c>
      <c r="B46" s="7" t="n">
        <f aca="false">COUNTIF('Source Data'!$B$2:$B$1602,$A46)</f>
        <v>1</v>
      </c>
      <c r="C46" s="6" t="n">
        <f aca="false">IF(COUNTIFS('Source Data'!$B$2:$B$1602,$A46,'Source Data'!$C$2:$C$1602,"&lt;&gt;")=0,"",AVERAGEIF('Source Data'!$B$2:$B$1602,$A46,'Source Data'!$C$2:$C$1602))</f>
        <v>16</v>
      </c>
      <c r="D46" s="6" t="n">
        <f aca="false">IF(COUNTIFS('Source Data'!$B$2:$B$1602,$A46,'Source Data'!$C$2:$C$1602,"&lt;&gt;")=0,"",_xlfn.MINIFS('Source Data'!$C$2:$C$1602,'Source Data'!$B$2:$B$1602,$A46))</f>
        <v>16</v>
      </c>
      <c r="E46" s="6" t="n">
        <f aca="false">IF(COUNTIFS('Source Data'!$B$2:$B$1602,$A46,'Source Data'!$C$2:$C$1602,"&lt;&gt;")=0,"",_xlfn.MAXIFS('Source Data'!$C$2:$C$1602,'Source Data'!$B$2:$B$1602,$A46))</f>
        <v>16</v>
      </c>
      <c r="F46" s="6" t="n">
        <f aca="false">IF(COUNTIFS('Source Data'!$B$2:$B$1602,$A46,'Source Data'!$D$2:$D$1602,"&lt;&gt;")=0,"",AVERAGEIF('Source Data'!$B$2:$B$1602,$A46,'Source Data'!$D$2:$D$1602))</f>
        <v>0</v>
      </c>
      <c r="G46" s="6" t="n">
        <f aca="false">IF(COUNTIFS('Source Data'!$B$2:$B$1602,$A46,'Source Data'!$D$2:$D$1602,"&lt;&gt;")=0,"",_xlfn.MINIFS('Source Data'!$D$2:$D$1602,'Source Data'!$B$2:$B$1602,$A46))</f>
        <v>0</v>
      </c>
      <c r="H46" s="6" t="n">
        <f aca="false">IF(COUNTIFS('Source Data'!$B$2:$B$1602,$A46,'Source Data'!$D$2:$D$1602,"&lt;&gt;")=0,"",_xlfn.MAXIFS('Source Data'!$D$2:$D$1602,'Source Data'!$B$2:$B$1602,$A46))</f>
        <v>0</v>
      </c>
      <c r="I46" s="6" t="str">
        <f aca="false">IF(COUNTIFS('Source Data'!$B$2:$B$1602,$A46,'Source Data'!$E$2:$E$1602,"&lt;&gt;")=0,"",AVERAGEIF('Source Data'!$B$2:$B$1602,$A46,'Source Data'!$E$2:$E$1602))</f>
        <v/>
      </c>
      <c r="J46" s="6" t="str">
        <f aca="false">IF(COUNTIFS('Source Data'!$B$2:$B$1602,$A46,'Source Data'!$E$2:$E$1602,"&lt;&gt;")=0,"",_xlfn.MINIFS('Source Data'!$E$2:$E$1602,'Source Data'!$B$2:$B$1602,$A46))</f>
        <v/>
      </c>
      <c r="K46" s="6" t="str">
        <f aca="false">IF(COUNTIFS('Source Data'!$B$2:$B$1602,$A46,'Source Data'!$E$2:$E$1602,"&lt;&gt;")=0,"",_xlfn.MAXIFS('Source Data'!$E$2:$E$1602,'Source Data'!$B$2:$B$1602,$A46))</f>
        <v/>
      </c>
      <c r="L46" s="6" t="str">
        <f aca="false">IF(COUNTIFS('Source Data'!$B$2:$B$1602,$A46,'Source Data'!$F$2:$F$1602,"&lt;&gt;")=0,"",AVERAGEIF('Source Data'!$B$2:$B$1602,$A46,'Source Data'!$F$2:$F$1602))</f>
        <v/>
      </c>
      <c r="M46" s="6" t="str">
        <f aca="false">IF(COUNTIFS('Source Data'!$B$2:$B$1602,$A46,'Source Data'!$F$2:$F$1602,"&lt;&gt;")=0,"",_xlfn.MINIFS('Source Data'!$F$2:$F$1602,'Source Data'!$B$2:$B$1602,$A46))</f>
        <v/>
      </c>
      <c r="N46" s="6" t="str">
        <f aca="false">IF(COUNTIFS('Source Data'!$B$2:$B$1602,$A46,'Source Data'!$F$2:$F$1602,"&lt;&gt;")=0,"",_xlfn.MAXIFS('Source Data'!$F$2:$F$1602,'Source Data'!$B$2:$B$1602,$A46))</f>
        <v/>
      </c>
    </row>
    <row r="47" customFormat="false" ht="15" hidden="false" customHeight="false" outlineLevel="0" collapsed="false">
      <c r="A47" s="5" t="s">
        <v>160</v>
      </c>
      <c r="B47" s="7" t="n">
        <f aca="false">COUNTIF('Source Data'!$B$2:$B$1602,$A47)</f>
        <v>47</v>
      </c>
      <c r="C47" s="6" t="n">
        <f aca="false">IF(COUNTIFS('Source Data'!$B$2:$B$1602,$A47,'Source Data'!$C$2:$C$1602,"&lt;&gt;")=0,"",AVERAGEIF('Source Data'!$B$2:$B$1602,$A47,'Source Data'!$C$2:$C$1602))</f>
        <v>13.7765957446809</v>
      </c>
      <c r="D47" s="6" t="n">
        <f aca="false">IF(COUNTIFS('Source Data'!$B$2:$B$1602,$A47,'Source Data'!$C$2:$C$1602,"&lt;&gt;")=0,"",_xlfn.MINIFS('Source Data'!$C$2:$C$1602,'Source Data'!$B$2:$B$1602,$A47))</f>
        <v>2</v>
      </c>
      <c r="E47" s="6" t="n">
        <f aca="false">IF(COUNTIFS('Source Data'!$B$2:$B$1602,$A47,'Source Data'!$C$2:$C$1602,"&lt;&gt;")=0,"",_xlfn.MAXIFS('Source Data'!$C$2:$C$1602,'Source Data'!$B$2:$B$1602,$A47))</f>
        <v>26</v>
      </c>
      <c r="F47" s="6" t="n">
        <f aca="false">IF(COUNTIFS('Source Data'!$B$2:$B$1602,$A47,'Source Data'!$D$2:$D$1602,"&lt;&gt;")=0,"",AVERAGEIF('Source Data'!$B$2:$B$1602,$A47,'Source Data'!$D$2:$D$1602))</f>
        <v>4.35714285714286</v>
      </c>
      <c r="G47" s="6" t="n">
        <f aca="false">IF(COUNTIFS('Source Data'!$B$2:$B$1602,$A47,'Source Data'!$D$2:$D$1602,"&lt;&gt;")=0,"",_xlfn.MINIFS('Source Data'!$D$2:$D$1602,'Source Data'!$B$2:$B$1602,$A47))</f>
        <v>0</v>
      </c>
      <c r="H47" s="6" t="n">
        <f aca="false">IF(COUNTIFS('Source Data'!$B$2:$B$1602,$A47,'Source Data'!$D$2:$D$1602,"&lt;&gt;")=0,"",_xlfn.MAXIFS('Source Data'!$D$2:$D$1602,'Source Data'!$B$2:$B$1602,$A47))</f>
        <v>26</v>
      </c>
      <c r="I47" s="6" t="n">
        <f aca="false">IF(COUNTIFS('Source Data'!$B$2:$B$1602,$A47,'Source Data'!$E$2:$E$1602,"&lt;&gt;")=0,"",AVERAGEIF('Source Data'!$B$2:$B$1602,$A47,'Source Data'!$E$2:$E$1602))</f>
        <v>8.13157894736842</v>
      </c>
      <c r="J47" s="6" t="n">
        <f aca="false">IF(COUNTIFS('Source Data'!$B$2:$B$1602,$A47,'Source Data'!$E$2:$E$1602,"&lt;&gt;")=0,"",_xlfn.MINIFS('Source Data'!$E$2:$E$1602,'Source Data'!$B$2:$B$1602,$A47))</f>
        <v>2</v>
      </c>
      <c r="K47" s="6" t="n">
        <f aca="false">IF(COUNTIFS('Source Data'!$B$2:$B$1602,$A47,'Source Data'!$E$2:$E$1602,"&lt;&gt;")=0,"",_xlfn.MAXIFS('Source Data'!$E$2:$E$1602,'Source Data'!$B$2:$B$1602,$A47))</f>
        <v>20</v>
      </c>
      <c r="L47" s="6" t="str">
        <f aca="false">IF(COUNTIFS('Source Data'!$B$2:$B$1602,$A47,'Source Data'!$F$2:$F$1602,"&lt;&gt;")=0,"",AVERAGEIF('Source Data'!$B$2:$B$1602,$A47,'Source Data'!$F$2:$F$1602))</f>
        <v/>
      </c>
      <c r="M47" s="6" t="str">
        <f aca="false">IF(COUNTIFS('Source Data'!$B$2:$B$1602,$A47,'Source Data'!$F$2:$F$1602,"&lt;&gt;")=0,"",_xlfn.MINIFS('Source Data'!$F$2:$F$1602,'Source Data'!$B$2:$B$1602,$A47))</f>
        <v/>
      </c>
      <c r="N47" s="6" t="str">
        <f aca="false">IF(COUNTIFS('Source Data'!$B$2:$B$1602,$A47,'Source Data'!$F$2:$F$1602,"&lt;&gt;")=0,"",_xlfn.MAXIFS('Source Data'!$F$2:$F$1602,'Source Data'!$B$2:$B$1602,$A47))</f>
        <v/>
      </c>
    </row>
    <row r="48" customFormat="false" ht="15" hidden="false" customHeight="false" outlineLevel="0" collapsed="false">
      <c r="A48" s="5" t="s">
        <v>787</v>
      </c>
      <c r="B48" s="7" t="n">
        <f aca="false">COUNTIF('Source Data'!$B$2:$B$1602,$A48)</f>
        <v>1</v>
      </c>
      <c r="C48" s="6" t="n">
        <f aca="false">IF(COUNTIFS('Source Data'!$B$2:$B$1602,$A48,'Source Data'!$C$2:$C$1602,"&lt;&gt;")=0,"",AVERAGEIF('Source Data'!$B$2:$B$1602,$A48,'Source Data'!$C$2:$C$1602))</f>
        <v>12</v>
      </c>
      <c r="D48" s="6" t="n">
        <f aca="false">IF(COUNTIFS('Source Data'!$B$2:$B$1602,$A48,'Source Data'!$C$2:$C$1602,"&lt;&gt;")=0,"",_xlfn.MINIFS('Source Data'!$C$2:$C$1602,'Source Data'!$B$2:$B$1602,$A48))</f>
        <v>12</v>
      </c>
      <c r="E48" s="6" t="n">
        <f aca="false">IF(COUNTIFS('Source Data'!$B$2:$B$1602,$A48,'Source Data'!$C$2:$C$1602,"&lt;&gt;")=0,"",_xlfn.MAXIFS('Source Data'!$C$2:$C$1602,'Source Data'!$B$2:$B$1602,$A48))</f>
        <v>12</v>
      </c>
      <c r="F48" s="6" t="n">
        <f aca="false">IF(COUNTIFS('Source Data'!$B$2:$B$1602,$A48,'Source Data'!$D$2:$D$1602,"&lt;&gt;")=0,"",AVERAGEIF('Source Data'!$B$2:$B$1602,$A48,'Source Data'!$D$2:$D$1602))</f>
        <v>1</v>
      </c>
      <c r="G48" s="6" t="n">
        <f aca="false">IF(COUNTIFS('Source Data'!$B$2:$B$1602,$A48,'Source Data'!$D$2:$D$1602,"&lt;&gt;")=0,"",_xlfn.MINIFS('Source Data'!$D$2:$D$1602,'Source Data'!$B$2:$B$1602,$A48))</f>
        <v>1</v>
      </c>
      <c r="H48" s="6" t="n">
        <f aca="false">IF(COUNTIFS('Source Data'!$B$2:$B$1602,$A48,'Source Data'!$D$2:$D$1602,"&lt;&gt;")=0,"",_xlfn.MAXIFS('Source Data'!$D$2:$D$1602,'Source Data'!$B$2:$B$1602,$A48))</f>
        <v>1</v>
      </c>
      <c r="I48" s="6" t="str">
        <f aca="false">IF(COUNTIFS('Source Data'!$B$2:$B$1602,$A48,'Source Data'!$E$2:$E$1602,"&lt;&gt;")=0,"",AVERAGEIF('Source Data'!$B$2:$B$1602,$A48,'Source Data'!$E$2:$E$1602))</f>
        <v/>
      </c>
      <c r="J48" s="6" t="str">
        <f aca="false">IF(COUNTIFS('Source Data'!$B$2:$B$1602,$A48,'Source Data'!$E$2:$E$1602,"&lt;&gt;")=0,"",_xlfn.MINIFS('Source Data'!$E$2:$E$1602,'Source Data'!$B$2:$B$1602,$A48))</f>
        <v/>
      </c>
      <c r="K48" s="6" t="str">
        <f aca="false">IF(COUNTIFS('Source Data'!$B$2:$B$1602,$A48,'Source Data'!$E$2:$E$1602,"&lt;&gt;")=0,"",_xlfn.MAXIFS('Source Data'!$E$2:$E$1602,'Source Data'!$B$2:$B$1602,$A48))</f>
        <v/>
      </c>
      <c r="L48" s="6" t="str">
        <f aca="false">IF(COUNTIFS('Source Data'!$B$2:$B$1602,$A48,'Source Data'!$F$2:$F$1602,"&lt;&gt;")=0,"",AVERAGEIF('Source Data'!$B$2:$B$1602,$A48,'Source Data'!$F$2:$F$1602))</f>
        <v/>
      </c>
      <c r="M48" s="6" t="str">
        <f aca="false">IF(COUNTIFS('Source Data'!$B$2:$B$1602,$A48,'Source Data'!$F$2:$F$1602,"&lt;&gt;")=0,"",_xlfn.MINIFS('Source Data'!$F$2:$F$1602,'Source Data'!$B$2:$B$1602,$A48))</f>
        <v/>
      </c>
      <c r="N48" s="6" t="str">
        <f aca="false">IF(COUNTIFS('Source Data'!$B$2:$B$1602,$A48,'Source Data'!$F$2:$F$1602,"&lt;&gt;")=0,"",_xlfn.MAXIFS('Source Data'!$F$2:$F$1602,'Source Data'!$B$2:$B$1602,$A48))</f>
        <v/>
      </c>
    </row>
    <row r="49" customFormat="false" ht="15" hidden="false" customHeight="false" outlineLevel="0" collapsed="false">
      <c r="A49" s="5" t="s">
        <v>176</v>
      </c>
      <c r="B49" s="7" t="n">
        <f aca="false">COUNTIF('Source Data'!$B$2:$B$1602,$A49)</f>
        <v>5</v>
      </c>
      <c r="C49" s="6" t="n">
        <f aca="false">IF(COUNTIFS('Source Data'!$B$2:$B$1602,$A49,'Source Data'!$C$2:$C$1602,"&lt;&gt;")=0,"",AVERAGEIF('Source Data'!$B$2:$B$1602,$A49,'Source Data'!$C$2:$C$1602))</f>
        <v>8.5</v>
      </c>
      <c r="D49" s="6" t="n">
        <f aca="false">IF(COUNTIFS('Source Data'!$B$2:$B$1602,$A49,'Source Data'!$C$2:$C$1602,"&lt;&gt;")=0,"",_xlfn.MINIFS('Source Data'!$C$2:$C$1602,'Source Data'!$B$2:$B$1602,$A49))</f>
        <v>4</v>
      </c>
      <c r="E49" s="6" t="n">
        <f aca="false">IF(COUNTIFS('Source Data'!$B$2:$B$1602,$A49,'Source Data'!$C$2:$C$1602,"&lt;&gt;")=0,"",_xlfn.MAXIFS('Source Data'!$C$2:$C$1602,'Source Data'!$B$2:$B$1602,$A49))</f>
        <v>16.5</v>
      </c>
      <c r="F49" s="6" t="n">
        <f aca="false">IF(COUNTIFS('Source Data'!$B$2:$B$1602,$A49,'Source Data'!$D$2:$D$1602,"&lt;&gt;")=0,"",AVERAGEIF('Source Data'!$B$2:$B$1602,$A49,'Source Data'!$D$2:$D$1602))</f>
        <v>3.9</v>
      </c>
      <c r="G49" s="6" t="n">
        <f aca="false">IF(COUNTIFS('Source Data'!$B$2:$B$1602,$A49,'Source Data'!$D$2:$D$1602,"&lt;&gt;")=0,"",_xlfn.MINIFS('Source Data'!$D$2:$D$1602,'Source Data'!$B$2:$B$1602,$A49))</f>
        <v>0</v>
      </c>
      <c r="H49" s="6" t="n">
        <f aca="false">IF(COUNTIFS('Source Data'!$B$2:$B$1602,$A49,'Source Data'!$D$2:$D$1602,"&lt;&gt;")=0,"",_xlfn.MAXIFS('Source Data'!$D$2:$D$1602,'Source Data'!$B$2:$B$1602,$A49))</f>
        <v>13</v>
      </c>
      <c r="I49" s="6" t="n">
        <f aca="false">IF(COUNTIFS('Source Data'!$B$2:$B$1602,$A49,'Source Data'!$E$2:$E$1602,"&lt;&gt;")=0,"",AVERAGEIF('Source Data'!$B$2:$B$1602,$A49,'Source Data'!$E$2:$E$1602))</f>
        <v>2</v>
      </c>
      <c r="J49" s="6" t="n">
        <f aca="false">IF(COUNTIFS('Source Data'!$B$2:$B$1602,$A49,'Source Data'!$E$2:$E$1602,"&lt;&gt;")=0,"",_xlfn.MINIFS('Source Data'!$E$2:$E$1602,'Source Data'!$B$2:$B$1602,$A49))</f>
        <v>2</v>
      </c>
      <c r="K49" s="6" t="n">
        <f aca="false">IF(COUNTIFS('Source Data'!$B$2:$B$1602,$A49,'Source Data'!$E$2:$E$1602,"&lt;&gt;")=0,"",_xlfn.MAXIFS('Source Data'!$E$2:$E$1602,'Source Data'!$B$2:$B$1602,$A49))</f>
        <v>2</v>
      </c>
      <c r="L49" s="6" t="str">
        <f aca="false">IF(COUNTIFS('Source Data'!$B$2:$B$1602,$A49,'Source Data'!$F$2:$F$1602,"&lt;&gt;")=0,"",AVERAGEIF('Source Data'!$B$2:$B$1602,$A49,'Source Data'!$F$2:$F$1602))</f>
        <v/>
      </c>
      <c r="M49" s="6" t="str">
        <f aca="false">IF(COUNTIFS('Source Data'!$B$2:$B$1602,$A49,'Source Data'!$F$2:$F$1602,"&lt;&gt;")=0,"",_xlfn.MINIFS('Source Data'!$F$2:$F$1602,'Source Data'!$B$2:$B$1602,$A49))</f>
        <v/>
      </c>
      <c r="N49" s="6" t="str">
        <f aca="false">IF(COUNTIFS('Source Data'!$B$2:$B$1602,$A49,'Source Data'!$F$2:$F$1602,"&lt;&gt;")=0,"",_xlfn.MAXIFS('Source Data'!$F$2:$F$1602,'Source Data'!$B$2:$B$1602,$A49))</f>
        <v/>
      </c>
    </row>
    <row r="50" customFormat="false" ht="15" hidden="false" customHeight="false" outlineLevel="0" collapsed="false">
      <c r="A50" s="5" t="s">
        <v>178</v>
      </c>
      <c r="B50" s="7" t="n">
        <f aca="false">COUNTIF('Source Data'!$B$2:$B$1602,$A50)</f>
        <v>23</v>
      </c>
      <c r="C50" s="6" t="n">
        <f aca="false">IF(COUNTIFS('Source Data'!$B$2:$B$1602,$A50,'Source Data'!$C$2:$C$1602,"&lt;&gt;")=0,"",AVERAGEIF('Source Data'!$B$2:$B$1602,$A50,'Source Data'!$C$2:$C$1602))</f>
        <v>13.5217391304348</v>
      </c>
      <c r="D50" s="6" t="n">
        <f aca="false">IF(COUNTIFS('Source Data'!$B$2:$B$1602,$A50,'Source Data'!$C$2:$C$1602,"&lt;&gt;")=0,"",_xlfn.MINIFS('Source Data'!$C$2:$C$1602,'Source Data'!$B$2:$B$1602,$A50))</f>
        <v>4</v>
      </c>
      <c r="E50" s="6" t="n">
        <f aca="false">IF(COUNTIFS('Source Data'!$B$2:$B$1602,$A50,'Source Data'!$C$2:$C$1602,"&lt;&gt;")=0,"",_xlfn.MAXIFS('Source Data'!$C$2:$C$1602,'Source Data'!$B$2:$B$1602,$A50))</f>
        <v>28</v>
      </c>
      <c r="F50" s="6" t="n">
        <f aca="false">IF(COUNTIFS('Source Data'!$B$2:$B$1602,$A50,'Source Data'!$D$2:$D$1602,"&lt;&gt;")=0,"",AVERAGEIF('Source Data'!$B$2:$B$1602,$A50,'Source Data'!$D$2:$D$1602))</f>
        <v>10.0434782608696</v>
      </c>
      <c r="G50" s="6" t="n">
        <f aca="false">IF(COUNTIFS('Source Data'!$B$2:$B$1602,$A50,'Source Data'!$D$2:$D$1602,"&lt;&gt;")=0,"",_xlfn.MINIFS('Source Data'!$D$2:$D$1602,'Source Data'!$B$2:$B$1602,$A50))</f>
        <v>0</v>
      </c>
      <c r="H50" s="6" t="n">
        <f aca="false">IF(COUNTIFS('Source Data'!$B$2:$B$1602,$A50,'Source Data'!$D$2:$D$1602,"&lt;&gt;")=0,"",_xlfn.MAXIFS('Source Data'!$D$2:$D$1602,'Source Data'!$B$2:$B$1602,$A50))</f>
        <v>52</v>
      </c>
      <c r="I50" s="6" t="n">
        <f aca="false">IF(COUNTIFS('Source Data'!$B$2:$B$1602,$A50,'Source Data'!$E$2:$E$1602,"&lt;&gt;")=0,"",AVERAGEIF('Source Data'!$B$2:$B$1602,$A50,'Source Data'!$E$2:$E$1602))</f>
        <v>12.6666666666667</v>
      </c>
      <c r="J50" s="6" t="n">
        <f aca="false">IF(COUNTIFS('Source Data'!$B$2:$B$1602,$A50,'Source Data'!$E$2:$E$1602,"&lt;&gt;")=0,"",_xlfn.MINIFS('Source Data'!$E$2:$E$1602,'Source Data'!$B$2:$B$1602,$A50))</f>
        <v>6</v>
      </c>
      <c r="K50" s="6" t="n">
        <f aca="false">IF(COUNTIFS('Source Data'!$B$2:$B$1602,$A50,'Source Data'!$E$2:$E$1602,"&lt;&gt;")=0,"",_xlfn.MAXIFS('Source Data'!$E$2:$E$1602,'Source Data'!$B$2:$B$1602,$A50))</f>
        <v>16</v>
      </c>
      <c r="L50" s="6" t="str">
        <f aca="false">IF(COUNTIFS('Source Data'!$B$2:$B$1602,$A50,'Source Data'!$F$2:$F$1602,"&lt;&gt;")=0,"",AVERAGEIF('Source Data'!$B$2:$B$1602,$A50,'Source Data'!$F$2:$F$1602))</f>
        <v/>
      </c>
      <c r="M50" s="6" t="str">
        <f aca="false">IF(COUNTIFS('Source Data'!$B$2:$B$1602,$A50,'Source Data'!$F$2:$F$1602,"&lt;&gt;")=0,"",_xlfn.MINIFS('Source Data'!$F$2:$F$1602,'Source Data'!$B$2:$B$1602,$A50))</f>
        <v/>
      </c>
      <c r="N50" s="6" t="str">
        <f aca="false">IF(COUNTIFS('Source Data'!$B$2:$B$1602,$A50,'Source Data'!$F$2:$F$1602,"&lt;&gt;")=0,"",_xlfn.MAXIFS('Source Data'!$F$2:$F$1602,'Source Data'!$B$2:$B$1602,$A50))</f>
        <v/>
      </c>
    </row>
    <row r="51" customFormat="false" ht="15" hidden="false" customHeight="false" outlineLevel="0" collapsed="false">
      <c r="A51" s="5" t="s">
        <v>813</v>
      </c>
      <c r="B51" s="7" t="n">
        <f aca="false">COUNTIF('Source Data'!$B$2:$B$1602,$A51)</f>
        <v>2</v>
      </c>
      <c r="C51" s="6" t="n">
        <f aca="false">IF(COUNTIFS('Source Data'!$B$2:$B$1602,$A51,'Source Data'!$C$2:$C$1602,"&lt;&gt;")=0,"",AVERAGEIF('Source Data'!$B$2:$B$1602,$A51,'Source Data'!$C$2:$C$1602))</f>
        <v>15</v>
      </c>
      <c r="D51" s="6" t="n">
        <f aca="false">IF(COUNTIFS('Source Data'!$B$2:$B$1602,$A51,'Source Data'!$C$2:$C$1602,"&lt;&gt;")=0,"",_xlfn.MINIFS('Source Data'!$C$2:$C$1602,'Source Data'!$B$2:$B$1602,$A51))</f>
        <v>12</v>
      </c>
      <c r="E51" s="6" t="n">
        <f aca="false">IF(COUNTIFS('Source Data'!$B$2:$B$1602,$A51,'Source Data'!$C$2:$C$1602,"&lt;&gt;")=0,"",_xlfn.MAXIFS('Source Data'!$C$2:$C$1602,'Source Data'!$B$2:$B$1602,$A51))</f>
        <v>18</v>
      </c>
      <c r="F51" s="6" t="n">
        <f aca="false">IF(COUNTIFS('Source Data'!$B$2:$B$1602,$A51,'Source Data'!$D$2:$D$1602,"&lt;&gt;")=0,"",AVERAGEIF('Source Data'!$B$2:$B$1602,$A51,'Source Data'!$D$2:$D$1602))</f>
        <v>2</v>
      </c>
      <c r="G51" s="6" t="n">
        <f aca="false">IF(COUNTIFS('Source Data'!$B$2:$B$1602,$A51,'Source Data'!$D$2:$D$1602,"&lt;&gt;")=0,"",_xlfn.MINIFS('Source Data'!$D$2:$D$1602,'Source Data'!$B$2:$B$1602,$A51))</f>
        <v>2</v>
      </c>
      <c r="H51" s="6" t="n">
        <f aca="false">IF(COUNTIFS('Source Data'!$B$2:$B$1602,$A51,'Source Data'!$D$2:$D$1602,"&lt;&gt;")=0,"",_xlfn.MAXIFS('Source Data'!$D$2:$D$1602,'Source Data'!$B$2:$B$1602,$A51))</f>
        <v>2</v>
      </c>
      <c r="I51" s="6" t="n">
        <f aca="false">IF(COUNTIFS('Source Data'!$B$2:$B$1602,$A51,'Source Data'!$E$2:$E$1602,"&lt;&gt;")=0,"",AVERAGEIF('Source Data'!$B$2:$B$1602,$A51,'Source Data'!$E$2:$E$1602))</f>
        <v>18</v>
      </c>
      <c r="J51" s="6" t="n">
        <f aca="false">IF(COUNTIFS('Source Data'!$B$2:$B$1602,$A51,'Source Data'!$E$2:$E$1602,"&lt;&gt;")=0,"",_xlfn.MINIFS('Source Data'!$E$2:$E$1602,'Source Data'!$B$2:$B$1602,$A51))</f>
        <v>18</v>
      </c>
      <c r="K51" s="6" t="n">
        <f aca="false">IF(COUNTIFS('Source Data'!$B$2:$B$1602,$A51,'Source Data'!$E$2:$E$1602,"&lt;&gt;")=0,"",_xlfn.MAXIFS('Source Data'!$E$2:$E$1602,'Source Data'!$B$2:$B$1602,$A51))</f>
        <v>18</v>
      </c>
      <c r="L51" s="6" t="str">
        <f aca="false">IF(COUNTIFS('Source Data'!$B$2:$B$1602,$A51,'Source Data'!$F$2:$F$1602,"&lt;&gt;")=0,"",AVERAGEIF('Source Data'!$B$2:$B$1602,$A51,'Source Data'!$F$2:$F$1602))</f>
        <v/>
      </c>
      <c r="M51" s="6" t="str">
        <f aca="false">IF(COUNTIFS('Source Data'!$B$2:$B$1602,$A51,'Source Data'!$F$2:$F$1602,"&lt;&gt;")=0,"",_xlfn.MINIFS('Source Data'!$F$2:$F$1602,'Source Data'!$B$2:$B$1602,$A51))</f>
        <v/>
      </c>
      <c r="N51" s="6" t="str">
        <f aca="false">IF(COUNTIFS('Source Data'!$B$2:$B$1602,$A51,'Source Data'!$F$2:$F$1602,"&lt;&gt;")=0,"",_xlfn.MAXIFS('Source Data'!$F$2:$F$1602,'Source Data'!$B$2:$B$1602,$A51))</f>
        <v/>
      </c>
    </row>
    <row r="52" customFormat="false" ht="15" hidden="false" customHeight="false" outlineLevel="0" collapsed="false">
      <c r="A52" s="5" t="s">
        <v>816</v>
      </c>
      <c r="B52" s="7" t="n">
        <f aca="false">COUNTIF('Source Data'!$B$2:$B$1602,$A52)</f>
        <v>5</v>
      </c>
      <c r="C52" s="6" t="n">
        <f aca="false">IF(COUNTIFS('Source Data'!$B$2:$B$1602,$A52,'Source Data'!$C$2:$C$1602,"&lt;&gt;")=0,"",AVERAGEIF('Source Data'!$B$2:$B$1602,$A52,'Source Data'!$C$2:$C$1602))</f>
        <v>7.2</v>
      </c>
      <c r="D52" s="6" t="n">
        <f aca="false">IF(COUNTIFS('Source Data'!$B$2:$B$1602,$A52,'Source Data'!$C$2:$C$1602,"&lt;&gt;")=0,"",_xlfn.MINIFS('Source Data'!$C$2:$C$1602,'Source Data'!$B$2:$B$1602,$A52))</f>
        <v>6</v>
      </c>
      <c r="E52" s="6" t="n">
        <f aca="false">IF(COUNTIFS('Source Data'!$B$2:$B$1602,$A52,'Source Data'!$C$2:$C$1602,"&lt;&gt;")=0,"",_xlfn.MAXIFS('Source Data'!$C$2:$C$1602,'Source Data'!$B$2:$B$1602,$A52))</f>
        <v>12</v>
      </c>
      <c r="F52" s="6" t="n">
        <f aca="false">IF(COUNTIFS('Source Data'!$B$2:$B$1602,$A52,'Source Data'!$D$2:$D$1602,"&lt;&gt;")=0,"",AVERAGEIF('Source Data'!$B$2:$B$1602,$A52,'Source Data'!$D$2:$D$1602))</f>
        <v>3.4</v>
      </c>
      <c r="G52" s="6" t="n">
        <f aca="false">IF(COUNTIFS('Source Data'!$B$2:$B$1602,$A52,'Source Data'!$D$2:$D$1602,"&lt;&gt;")=0,"",_xlfn.MINIFS('Source Data'!$D$2:$D$1602,'Source Data'!$B$2:$B$1602,$A52))</f>
        <v>0</v>
      </c>
      <c r="H52" s="6" t="n">
        <f aca="false">IF(COUNTIFS('Source Data'!$B$2:$B$1602,$A52,'Source Data'!$D$2:$D$1602,"&lt;&gt;")=0,"",_xlfn.MAXIFS('Source Data'!$D$2:$D$1602,'Source Data'!$B$2:$B$1602,$A52))</f>
        <v>6</v>
      </c>
      <c r="I52" s="6" t="str">
        <f aca="false">IF(COUNTIFS('Source Data'!$B$2:$B$1602,$A52,'Source Data'!$E$2:$E$1602,"&lt;&gt;")=0,"",AVERAGEIF('Source Data'!$B$2:$B$1602,$A52,'Source Data'!$E$2:$E$1602))</f>
        <v/>
      </c>
      <c r="J52" s="6" t="str">
        <f aca="false">IF(COUNTIFS('Source Data'!$B$2:$B$1602,$A52,'Source Data'!$E$2:$E$1602,"&lt;&gt;")=0,"",_xlfn.MINIFS('Source Data'!$E$2:$E$1602,'Source Data'!$B$2:$B$1602,$A52))</f>
        <v/>
      </c>
      <c r="K52" s="6" t="str">
        <f aca="false">IF(COUNTIFS('Source Data'!$B$2:$B$1602,$A52,'Source Data'!$E$2:$E$1602,"&lt;&gt;")=0,"",_xlfn.MAXIFS('Source Data'!$E$2:$E$1602,'Source Data'!$B$2:$B$1602,$A52))</f>
        <v/>
      </c>
      <c r="L52" s="6" t="str">
        <f aca="false">IF(COUNTIFS('Source Data'!$B$2:$B$1602,$A52,'Source Data'!$F$2:$F$1602,"&lt;&gt;")=0,"",AVERAGEIF('Source Data'!$B$2:$B$1602,$A52,'Source Data'!$F$2:$F$1602))</f>
        <v/>
      </c>
      <c r="M52" s="6" t="str">
        <f aca="false">IF(COUNTIFS('Source Data'!$B$2:$B$1602,$A52,'Source Data'!$F$2:$F$1602,"&lt;&gt;")=0,"",_xlfn.MINIFS('Source Data'!$F$2:$F$1602,'Source Data'!$B$2:$B$1602,$A52))</f>
        <v/>
      </c>
      <c r="N52" s="6" t="str">
        <f aca="false">IF(COUNTIFS('Source Data'!$B$2:$B$1602,$A52,'Source Data'!$F$2:$F$1602,"&lt;&gt;")=0,"",_xlfn.MAXIFS('Source Data'!$F$2:$F$1602,'Source Data'!$B$2:$B$1602,$A52))</f>
        <v/>
      </c>
    </row>
    <row r="53" customFormat="false" ht="15" hidden="false" customHeight="false" outlineLevel="0" collapsed="false">
      <c r="A53" s="5" t="s">
        <v>46</v>
      </c>
      <c r="B53" s="7" t="n">
        <f aca="false">COUNTIF('Source Data'!$B$2:$B$1602,$A53)</f>
        <v>2</v>
      </c>
      <c r="C53" s="6" t="n">
        <f aca="false">IF(COUNTIFS('Source Data'!$B$2:$B$1602,$A53,'Source Data'!$C$2:$C$1602,"&lt;&gt;")=0,"",AVERAGEIF('Source Data'!$B$2:$B$1602,$A53,'Source Data'!$C$2:$C$1602))</f>
        <v>3.75</v>
      </c>
      <c r="D53" s="6" t="n">
        <f aca="false">IF(COUNTIFS('Source Data'!$B$2:$B$1602,$A53,'Source Data'!$C$2:$C$1602,"&lt;&gt;")=0,"",_xlfn.MINIFS('Source Data'!$C$2:$C$1602,'Source Data'!$B$2:$B$1602,$A53))</f>
        <v>1.5</v>
      </c>
      <c r="E53" s="6" t="n">
        <f aca="false">IF(COUNTIFS('Source Data'!$B$2:$B$1602,$A53,'Source Data'!$C$2:$C$1602,"&lt;&gt;")=0,"",_xlfn.MAXIFS('Source Data'!$C$2:$C$1602,'Source Data'!$B$2:$B$1602,$A53))</f>
        <v>6</v>
      </c>
      <c r="F53" s="6" t="n">
        <f aca="false">IF(COUNTIFS('Source Data'!$B$2:$B$1602,$A53,'Source Data'!$D$2:$D$1602,"&lt;&gt;")=0,"",AVERAGEIF('Source Data'!$B$2:$B$1602,$A53,'Source Data'!$D$2:$D$1602))</f>
        <v>9</v>
      </c>
      <c r="G53" s="6" t="n">
        <f aca="false">IF(COUNTIFS('Source Data'!$B$2:$B$1602,$A53,'Source Data'!$D$2:$D$1602,"&lt;&gt;")=0,"",_xlfn.MINIFS('Source Data'!$D$2:$D$1602,'Source Data'!$B$2:$B$1602,$A53))</f>
        <v>6</v>
      </c>
      <c r="H53" s="6" t="n">
        <f aca="false">IF(COUNTIFS('Source Data'!$B$2:$B$1602,$A53,'Source Data'!$D$2:$D$1602,"&lt;&gt;")=0,"",_xlfn.MAXIFS('Source Data'!$D$2:$D$1602,'Source Data'!$B$2:$B$1602,$A53))</f>
        <v>12</v>
      </c>
      <c r="I53" s="6" t="n">
        <f aca="false">IF(COUNTIFS('Source Data'!$B$2:$B$1602,$A53,'Source Data'!$E$2:$E$1602,"&lt;&gt;")=0,"",AVERAGEIF('Source Data'!$B$2:$B$1602,$A53,'Source Data'!$E$2:$E$1602))</f>
        <v>6</v>
      </c>
      <c r="J53" s="6" t="n">
        <f aca="false">IF(COUNTIFS('Source Data'!$B$2:$B$1602,$A53,'Source Data'!$E$2:$E$1602,"&lt;&gt;")=0,"",_xlfn.MINIFS('Source Data'!$E$2:$E$1602,'Source Data'!$B$2:$B$1602,$A53))</f>
        <v>6</v>
      </c>
      <c r="K53" s="6" t="n">
        <f aca="false">IF(COUNTIFS('Source Data'!$B$2:$B$1602,$A53,'Source Data'!$E$2:$E$1602,"&lt;&gt;")=0,"",_xlfn.MAXIFS('Source Data'!$E$2:$E$1602,'Source Data'!$B$2:$B$1602,$A53))</f>
        <v>6</v>
      </c>
      <c r="L53" s="6" t="n">
        <f aca="false">IF(COUNTIFS('Source Data'!$B$2:$B$1602,$A53,'Source Data'!$F$2:$F$1602,"&lt;&gt;")=0,"",AVERAGEIF('Source Data'!$B$2:$B$1602,$A53,'Source Data'!$F$2:$F$1602))</f>
        <v>6</v>
      </c>
      <c r="M53" s="6" t="n">
        <f aca="false">IF(COUNTIFS('Source Data'!$B$2:$B$1602,$A53,'Source Data'!$F$2:$F$1602,"&lt;&gt;")=0,"",_xlfn.MINIFS('Source Data'!$F$2:$F$1602,'Source Data'!$B$2:$B$1602,$A53))</f>
        <v>6</v>
      </c>
      <c r="N53" s="6" t="n">
        <f aca="false">IF(COUNTIFS('Source Data'!$B$2:$B$1602,$A53,'Source Data'!$F$2:$F$1602,"&lt;&gt;")=0,"",_xlfn.MAXIFS('Source Data'!$F$2:$F$1602,'Source Data'!$B$2:$B$1602,$A53))</f>
        <v>6</v>
      </c>
    </row>
    <row r="54" customFormat="false" ht="15" hidden="false" customHeight="false" outlineLevel="0" collapsed="false">
      <c r="A54" s="5" t="s">
        <v>48</v>
      </c>
      <c r="B54" s="7" t="n">
        <f aca="false">COUNTIF('Source Data'!$B$2:$B$1602,$A54)</f>
        <v>4</v>
      </c>
      <c r="C54" s="6" t="n">
        <f aca="false">IF(COUNTIFS('Source Data'!$B$2:$B$1602,$A54,'Source Data'!$C$2:$C$1602,"&lt;&gt;")=0,"",AVERAGEIF('Source Data'!$B$2:$B$1602,$A54,'Source Data'!$C$2:$C$1602))</f>
        <v>19.25</v>
      </c>
      <c r="D54" s="6" t="n">
        <f aca="false">IF(COUNTIFS('Source Data'!$B$2:$B$1602,$A54,'Source Data'!$C$2:$C$1602,"&lt;&gt;")=0,"",_xlfn.MINIFS('Source Data'!$C$2:$C$1602,'Source Data'!$B$2:$B$1602,$A54))</f>
        <v>0</v>
      </c>
      <c r="E54" s="6" t="n">
        <f aca="false">IF(COUNTIFS('Source Data'!$B$2:$B$1602,$A54,'Source Data'!$C$2:$C$1602,"&lt;&gt;")=0,"",_xlfn.MAXIFS('Source Data'!$C$2:$C$1602,'Source Data'!$B$2:$B$1602,$A54))</f>
        <v>52</v>
      </c>
      <c r="F54" s="6" t="n">
        <f aca="false">IF(COUNTIFS('Source Data'!$B$2:$B$1602,$A54,'Source Data'!$D$2:$D$1602,"&lt;&gt;")=0,"",AVERAGEIF('Source Data'!$B$2:$B$1602,$A54,'Source Data'!$D$2:$D$1602))</f>
        <v>14.5</v>
      </c>
      <c r="G54" s="6" t="n">
        <f aca="false">IF(COUNTIFS('Source Data'!$B$2:$B$1602,$A54,'Source Data'!$D$2:$D$1602,"&lt;&gt;")=0,"",_xlfn.MINIFS('Source Data'!$D$2:$D$1602,'Source Data'!$B$2:$B$1602,$A54))</f>
        <v>0</v>
      </c>
      <c r="H54" s="6" t="n">
        <f aca="false">IF(COUNTIFS('Source Data'!$B$2:$B$1602,$A54,'Source Data'!$D$2:$D$1602,"&lt;&gt;")=0,"",_xlfn.MAXIFS('Source Data'!$D$2:$D$1602,'Source Data'!$B$2:$B$1602,$A54))</f>
        <v>26</v>
      </c>
      <c r="I54" s="6" t="n">
        <f aca="false">IF(COUNTIFS('Source Data'!$B$2:$B$1602,$A54,'Source Data'!$E$2:$E$1602,"&lt;&gt;")=0,"",AVERAGEIF('Source Data'!$B$2:$B$1602,$A54,'Source Data'!$E$2:$E$1602))</f>
        <v>0</v>
      </c>
      <c r="J54" s="6" t="n">
        <f aca="false">IF(COUNTIFS('Source Data'!$B$2:$B$1602,$A54,'Source Data'!$E$2:$E$1602,"&lt;&gt;")=0,"",_xlfn.MINIFS('Source Data'!$E$2:$E$1602,'Source Data'!$B$2:$B$1602,$A54))</f>
        <v>0</v>
      </c>
      <c r="K54" s="6" t="n">
        <f aca="false">IF(COUNTIFS('Source Data'!$B$2:$B$1602,$A54,'Source Data'!$E$2:$E$1602,"&lt;&gt;")=0,"",_xlfn.MAXIFS('Source Data'!$E$2:$E$1602,'Source Data'!$B$2:$B$1602,$A54))</f>
        <v>0</v>
      </c>
      <c r="L54" s="6" t="n">
        <f aca="false">IF(COUNTIFS('Source Data'!$B$2:$B$1602,$A54,'Source Data'!$F$2:$F$1602,"&lt;&gt;")=0,"",AVERAGEIF('Source Data'!$B$2:$B$1602,$A54,'Source Data'!$F$2:$F$1602))</f>
        <v>12</v>
      </c>
      <c r="M54" s="6" t="n">
        <f aca="false">IF(COUNTIFS('Source Data'!$B$2:$B$1602,$A54,'Source Data'!$F$2:$F$1602,"&lt;&gt;")=0,"",_xlfn.MINIFS('Source Data'!$F$2:$F$1602,'Source Data'!$B$2:$B$1602,$A54))</f>
        <v>12</v>
      </c>
      <c r="N54" s="6" t="n">
        <f aca="false">IF(COUNTIFS('Source Data'!$B$2:$B$1602,$A54,'Source Data'!$F$2:$F$1602,"&lt;&gt;")=0,"",_xlfn.MAXIFS('Source Data'!$F$2:$F$1602,'Source Data'!$B$2:$B$1602,$A54))</f>
        <v>12</v>
      </c>
    </row>
    <row r="55" customFormat="false" ht="15" hidden="false" customHeight="false" outlineLevel="0" collapsed="false">
      <c r="A55" s="5" t="s">
        <v>50</v>
      </c>
      <c r="B55" s="7" t="n">
        <f aca="false">COUNTIF('Source Data'!$B$2:$B$1602,$A55)</f>
        <v>18</v>
      </c>
      <c r="C55" s="6" t="n">
        <f aca="false">IF(COUNTIFS('Source Data'!$B$2:$B$1602,$A55,'Source Data'!$C$2:$C$1602,"&lt;&gt;")=0,"",AVERAGEIF('Source Data'!$B$2:$B$1602,$A55,'Source Data'!$C$2:$C$1602))</f>
        <v>10.3333333333333</v>
      </c>
      <c r="D55" s="6" t="n">
        <f aca="false">IF(COUNTIFS('Source Data'!$B$2:$B$1602,$A55,'Source Data'!$C$2:$C$1602,"&lt;&gt;")=0,"",_xlfn.MINIFS('Source Data'!$C$2:$C$1602,'Source Data'!$B$2:$B$1602,$A55))</f>
        <v>0</v>
      </c>
      <c r="E55" s="6" t="n">
        <f aca="false">IF(COUNTIFS('Source Data'!$B$2:$B$1602,$A55,'Source Data'!$C$2:$C$1602,"&lt;&gt;")=0,"",_xlfn.MAXIFS('Source Data'!$C$2:$C$1602,'Source Data'!$B$2:$B$1602,$A55))</f>
        <v>46</v>
      </c>
      <c r="F55" s="6" t="n">
        <f aca="false">IF(COUNTIFS('Source Data'!$B$2:$B$1602,$A55,'Source Data'!$D$2:$D$1602,"&lt;&gt;")=0,"",AVERAGEIF('Source Data'!$B$2:$B$1602,$A55,'Source Data'!$D$2:$D$1602))</f>
        <v>5.25</v>
      </c>
      <c r="G55" s="6" t="n">
        <f aca="false">IF(COUNTIFS('Source Data'!$B$2:$B$1602,$A55,'Source Data'!$D$2:$D$1602,"&lt;&gt;")=0,"",_xlfn.MINIFS('Source Data'!$D$2:$D$1602,'Source Data'!$B$2:$B$1602,$A55))</f>
        <v>0</v>
      </c>
      <c r="H55" s="6" t="n">
        <f aca="false">IF(COUNTIFS('Source Data'!$B$2:$B$1602,$A55,'Source Data'!$D$2:$D$1602,"&lt;&gt;")=0,"",_xlfn.MAXIFS('Source Data'!$D$2:$D$1602,'Source Data'!$B$2:$B$1602,$A55))</f>
        <v>15</v>
      </c>
      <c r="I55" s="6" t="n">
        <f aca="false">IF(COUNTIFS('Source Data'!$B$2:$B$1602,$A55,'Source Data'!$E$2:$E$1602,"&lt;&gt;")=0,"",AVERAGEIF('Source Data'!$B$2:$B$1602,$A55,'Source Data'!$E$2:$E$1602))</f>
        <v>6</v>
      </c>
      <c r="J55" s="6" t="n">
        <f aca="false">IF(COUNTIFS('Source Data'!$B$2:$B$1602,$A55,'Source Data'!$E$2:$E$1602,"&lt;&gt;")=0,"",_xlfn.MINIFS('Source Data'!$E$2:$E$1602,'Source Data'!$B$2:$B$1602,$A55))</f>
        <v>6</v>
      </c>
      <c r="K55" s="6" t="n">
        <f aca="false">IF(COUNTIFS('Source Data'!$B$2:$B$1602,$A55,'Source Data'!$E$2:$E$1602,"&lt;&gt;")=0,"",_xlfn.MAXIFS('Source Data'!$E$2:$E$1602,'Source Data'!$B$2:$B$1602,$A55))</f>
        <v>6</v>
      </c>
      <c r="L55" s="6" t="n">
        <f aca="false">IF(COUNTIFS('Source Data'!$B$2:$B$1602,$A55,'Source Data'!$F$2:$F$1602,"&lt;&gt;")=0,"",AVERAGEIF('Source Data'!$B$2:$B$1602,$A55,'Source Data'!$F$2:$F$1602))</f>
        <v>0</v>
      </c>
      <c r="M55" s="6" t="n">
        <f aca="false">IF(COUNTIFS('Source Data'!$B$2:$B$1602,$A55,'Source Data'!$F$2:$F$1602,"&lt;&gt;")=0,"",_xlfn.MINIFS('Source Data'!$F$2:$F$1602,'Source Data'!$B$2:$B$1602,$A55))</f>
        <v>0</v>
      </c>
      <c r="N55" s="6" t="n">
        <f aca="false">IF(COUNTIFS('Source Data'!$B$2:$B$1602,$A55,'Source Data'!$F$2:$F$1602,"&lt;&gt;")=0,"",_xlfn.MAXIFS('Source Data'!$F$2:$F$1602,'Source Data'!$B$2:$B$1602,$A55))</f>
        <v>0</v>
      </c>
    </row>
    <row r="56" customFormat="false" ht="15" hidden="false" customHeight="false" outlineLevel="0" collapsed="false">
      <c r="A56" s="5" t="s">
        <v>182</v>
      </c>
      <c r="B56" s="7" t="n">
        <f aca="false">COUNTIF('Source Data'!$B$2:$B$1602,$A56)</f>
        <v>3</v>
      </c>
      <c r="C56" s="6" t="n">
        <f aca="false">IF(COUNTIFS('Source Data'!$B$2:$B$1602,$A56,'Source Data'!$C$2:$C$1602,"&lt;&gt;")=0,"",AVERAGEIF('Source Data'!$B$2:$B$1602,$A56,'Source Data'!$C$2:$C$1602))</f>
        <v>14</v>
      </c>
      <c r="D56" s="6" t="n">
        <f aca="false">IF(COUNTIFS('Source Data'!$B$2:$B$1602,$A56,'Source Data'!$C$2:$C$1602,"&lt;&gt;")=0,"",_xlfn.MINIFS('Source Data'!$C$2:$C$1602,'Source Data'!$B$2:$B$1602,$A56))</f>
        <v>4</v>
      </c>
      <c r="E56" s="6" t="n">
        <f aca="false">IF(COUNTIFS('Source Data'!$B$2:$B$1602,$A56,'Source Data'!$C$2:$C$1602,"&lt;&gt;")=0,"",_xlfn.MAXIFS('Source Data'!$C$2:$C$1602,'Source Data'!$B$2:$B$1602,$A56))</f>
        <v>24</v>
      </c>
      <c r="F56" s="6" t="n">
        <f aca="false">IF(COUNTIFS('Source Data'!$B$2:$B$1602,$A56,'Source Data'!$D$2:$D$1602,"&lt;&gt;")=0,"",AVERAGEIF('Source Data'!$B$2:$B$1602,$A56,'Source Data'!$D$2:$D$1602))</f>
        <v>17.3333333333333</v>
      </c>
      <c r="G56" s="6" t="n">
        <f aca="false">IF(COUNTIFS('Source Data'!$B$2:$B$1602,$A56,'Source Data'!$D$2:$D$1602,"&lt;&gt;")=0,"",_xlfn.MINIFS('Source Data'!$D$2:$D$1602,'Source Data'!$B$2:$B$1602,$A56))</f>
        <v>0</v>
      </c>
      <c r="H56" s="6" t="n">
        <f aca="false">IF(COUNTIFS('Source Data'!$B$2:$B$1602,$A56,'Source Data'!$D$2:$D$1602,"&lt;&gt;")=0,"",_xlfn.MAXIFS('Source Data'!$D$2:$D$1602,'Source Data'!$B$2:$B$1602,$A56))</f>
        <v>52</v>
      </c>
      <c r="I56" s="6" t="n">
        <f aca="false">IF(COUNTIFS('Source Data'!$B$2:$B$1602,$A56,'Source Data'!$E$2:$E$1602,"&lt;&gt;")=0,"",AVERAGEIF('Source Data'!$B$2:$B$1602,$A56,'Source Data'!$E$2:$E$1602))</f>
        <v>4</v>
      </c>
      <c r="J56" s="6" t="n">
        <f aca="false">IF(COUNTIFS('Source Data'!$B$2:$B$1602,$A56,'Source Data'!$E$2:$E$1602,"&lt;&gt;")=0,"",_xlfn.MINIFS('Source Data'!$E$2:$E$1602,'Source Data'!$B$2:$B$1602,$A56))</f>
        <v>4</v>
      </c>
      <c r="K56" s="6" t="n">
        <f aca="false">IF(COUNTIFS('Source Data'!$B$2:$B$1602,$A56,'Source Data'!$E$2:$E$1602,"&lt;&gt;")=0,"",_xlfn.MAXIFS('Source Data'!$E$2:$E$1602,'Source Data'!$B$2:$B$1602,$A56))</f>
        <v>4</v>
      </c>
      <c r="L56" s="6" t="str">
        <f aca="false">IF(COUNTIFS('Source Data'!$B$2:$B$1602,$A56,'Source Data'!$F$2:$F$1602,"&lt;&gt;")=0,"",AVERAGEIF('Source Data'!$B$2:$B$1602,$A56,'Source Data'!$F$2:$F$1602))</f>
        <v/>
      </c>
      <c r="M56" s="6" t="str">
        <f aca="false">IF(COUNTIFS('Source Data'!$B$2:$B$1602,$A56,'Source Data'!$F$2:$F$1602,"&lt;&gt;")=0,"",_xlfn.MINIFS('Source Data'!$F$2:$F$1602,'Source Data'!$B$2:$B$1602,$A56))</f>
        <v/>
      </c>
      <c r="N56" s="6" t="str">
        <f aca="false">IF(COUNTIFS('Source Data'!$B$2:$B$1602,$A56,'Source Data'!$F$2:$F$1602,"&lt;&gt;")=0,"",_xlfn.MAXIFS('Source Data'!$F$2:$F$1602,'Source Data'!$B$2:$B$1602,$A56))</f>
        <v/>
      </c>
    </row>
    <row r="57" customFormat="false" ht="15" hidden="false" customHeight="false" outlineLevel="0" collapsed="false">
      <c r="A57" s="5" t="s">
        <v>845</v>
      </c>
      <c r="B57" s="7" t="n">
        <f aca="false">COUNTIF('Source Data'!$B$2:$B$1602,$A57)</f>
        <v>3</v>
      </c>
      <c r="C57" s="6" t="n">
        <f aca="false">IF(COUNTIFS('Source Data'!$B$2:$B$1602,$A57,'Source Data'!$C$2:$C$1602,"&lt;&gt;")=0,"",AVERAGEIF('Source Data'!$B$2:$B$1602,$A57,'Source Data'!$C$2:$C$1602))</f>
        <v>8.66666666666667</v>
      </c>
      <c r="D57" s="6" t="n">
        <f aca="false">IF(COUNTIFS('Source Data'!$B$2:$B$1602,$A57,'Source Data'!$C$2:$C$1602,"&lt;&gt;")=0,"",_xlfn.MINIFS('Source Data'!$C$2:$C$1602,'Source Data'!$B$2:$B$1602,$A57))</f>
        <v>2</v>
      </c>
      <c r="E57" s="6" t="n">
        <f aca="false">IF(COUNTIFS('Source Data'!$B$2:$B$1602,$A57,'Source Data'!$C$2:$C$1602,"&lt;&gt;")=0,"",_xlfn.MAXIFS('Source Data'!$C$2:$C$1602,'Source Data'!$B$2:$B$1602,$A57))</f>
        <v>12</v>
      </c>
      <c r="F57" s="6" t="n">
        <f aca="false">IF(COUNTIFS('Source Data'!$B$2:$B$1602,$A57,'Source Data'!$D$2:$D$1602,"&lt;&gt;")=0,"",AVERAGEIF('Source Data'!$B$2:$B$1602,$A57,'Source Data'!$D$2:$D$1602))</f>
        <v>8</v>
      </c>
      <c r="G57" s="6" t="n">
        <f aca="false">IF(COUNTIFS('Source Data'!$B$2:$B$1602,$A57,'Source Data'!$D$2:$D$1602,"&lt;&gt;")=0,"",_xlfn.MINIFS('Source Data'!$D$2:$D$1602,'Source Data'!$B$2:$B$1602,$A57))</f>
        <v>0</v>
      </c>
      <c r="H57" s="6" t="n">
        <f aca="false">IF(COUNTIFS('Source Data'!$B$2:$B$1602,$A57,'Source Data'!$D$2:$D$1602,"&lt;&gt;")=0,"",_xlfn.MAXIFS('Source Data'!$D$2:$D$1602,'Source Data'!$B$2:$B$1602,$A57))</f>
        <v>24</v>
      </c>
      <c r="I57" s="6" t="str">
        <f aca="false">IF(COUNTIFS('Source Data'!$B$2:$B$1602,$A57,'Source Data'!$E$2:$E$1602,"&lt;&gt;")=0,"",AVERAGEIF('Source Data'!$B$2:$B$1602,$A57,'Source Data'!$E$2:$E$1602))</f>
        <v/>
      </c>
      <c r="J57" s="6" t="str">
        <f aca="false">IF(COUNTIFS('Source Data'!$B$2:$B$1602,$A57,'Source Data'!$E$2:$E$1602,"&lt;&gt;")=0,"",_xlfn.MINIFS('Source Data'!$E$2:$E$1602,'Source Data'!$B$2:$B$1602,$A57))</f>
        <v/>
      </c>
      <c r="K57" s="6" t="str">
        <f aca="false">IF(COUNTIFS('Source Data'!$B$2:$B$1602,$A57,'Source Data'!$E$2:$E$1602,"&lt;&gt;")=0,"",_xlfn.MAXIFS('Source Data'!$E$2:$E$1602,'Source Data'!$B$2:$B$1602,$A57))</f>
        <v/>
      </c>
      <c r="L57" s="6" t="str">
        <f aca="false">IF(COUNTIFS('Source Data'!$B$2:$B$1602,$A57,'Source Data'!$F$2:$F$1602,"&lt;&gt;")=0,"",AVERAGEIF('Source Data'!$B$2:$B$1602,$A57,'Source Data'!$F$2:$F$1602))</f>
        <v/>
      </c>
      <c r="M57" s="6" t="str">
        <f aca="false">IF(COUNTIFS('Source Data'!$B$2:$B$1602,$A57,'Source Data'!$F$2:$F$1602,"&lt;&gt;")=0,"",_xlfn.MINIFS('Source Data'!$F$2:$F$1602,'Source Data'!$B$2:$B$1602,$A57))</f>
        <v/>
      </c>
      <c r="N57" s="6" t="str">
        <f aca="false">IF(COUNTIFS('Source Data'!$B$2:$B$1602,$A57,'Source Data'!$F$2:$F$1602,"&lt;&gt;")=0,"",_xlfn.MAXIFS('Source Data'!$F$2:$F$1602,'Source Data'!$B$2:$B$1602,$A57))</f>
        <v/>
      </c>
    </row>
    <row r="58" customFormat="false" ht="15" hidden="false" customHeight="false" outlineLevel="0" collapsed="false">
      <c r="A58" s="5" t="s">
        <v>184</v>
      </c>
      <c r="B58" s="7" t="n">
        <f aca="false">COUNTIF('Source Data'!$B$2:$B$1602,$A58)</f>
        <v>4</v>
      </c>
      <c r="C58" s="6" t="n">
        <f aca="false">IF(COUNTIFS('Source Data'!$B$2:$B$1602,$A58,'Source Data'!$C$2:$C$1602,"&lt;&gt;")=0,"",AVERAGEIF('Source Data'!$B$2:$B$1602,$A58,'Source Data'!$C$2:$C$1602))</f>
        <v>5</v>
      </c>
      <c r="D58" s="6" t="n">
        <f aca="false">IF(COUNTIFS('Source Data'!$B$2:$B$1602,$A58,'Source Data'!$C$2:$C$1602,"&lt;&gt;")=0,"",_xlfn.MINIFS('Source Data'!$C$2:$C$1602,'Source Data'!$B$2:$B$1602,$A58))</f>
        <v>2</v>
      </c>
      <c r="E58" s="6" t="n">
        <f aca="false">IF(COUNTIFS('Source Data'!$B$2:$B$1602,$A58,'Source Data'!$C$2:$C$1602,"&lt;&gt;")=0,"",_xlfn.MAXIFS('Source Data'!$C$2:$C$1602,'Source Data'!$B$2:$B$1602,$A58))</f>
        <v>6</v>
      </c>
      <c r="F58" s="6" t="n">
        <f aca="false">IF(COUNTIFS('Source Data'!$B$2:$B$1602,$A58,'Source Data'!$D$2:$D$1602,"&lt;&gt;")=0,"",AVERAGEIF('Source Data'!$B$2:$B$1602,$A58,'Source Data'!$D$2:$D$1602))</f>
        <v>6</v>
      </c>
      <c r="G58" s="6" t="n">
        <f aca="false">IF(COUNTIFS('Source Data'!$B$2:$B$1602,$A58,'Source Data'!$D$2:$D$1602,"&lt;&gt;")=0,"",_xlfn.MINIFS('Source Data'!$D$2:$D$1602,'Source Data'!$B$2:$B$1602,$A58))</f>
        <v>0</v>
      </c>
      <c r="H58" s="6" t="n">
        <f aca="false">IF(COUNTIFS('Source Data'!$B$2:$B$1602,$A58,'Source Data'!$D$2:$D$1602,"&lt;&gt;")=0,"",_xlfn.MAXIFS('Source Data'!$D$2:$D$1602,'Source Data'!$B$2:$B$1602,$A58))</f>
        <v>12</v>
      </c>
      <c r="I58" s="6" t="n">
        <f aca="false">IF(COUNTIFS('Source Data'!$B$2:$B$1602,$A58,'Source Data'!$E$2:$E$1602,"&lt;&gt;")=0,"",AVERAGEIF('Source Data'!$B$2:$B$1602,$A58,'Source Data'!$E$2:$E$1602))</f>
        <v>4</v>
      </c>
      <c r="J58" s="6" t="n">
        <f aca="false">IF(COUNTIFS('Source Data'!$B$2:$B$1602,$A58,'Source Data'!$E$2:$E$1602,"&lt;&gt;")=0,"",_xlfn.MINIFS('Source Data'!$E$2:$E$1602,'Source Data'!$B$2:$B$1602,$A58))</f>
        <v>4</v>
      </c>
      <c r="K58" s="6" t="n">
        <f aca="false">IF(COUNTIFS('Source Data'!$B$2:$B$1602,$A58,'Source Data'!$E$2:$E$1602,"&lt;&gt;")=0,"",_xlfn.MAXIFS('Source Data'!$E$2:$E$1602,'Source Data'!$B$2:$B$1602,$A58))</f>
        <v>4</v>
      </c>
      <c r="L58" s="6" t="str">
        <f aca="false">IF(COUNTIFS('Source Data'!$B$2:$B$1602,$A58,'Source Data'!$F$2:$F$1602,"&lt;&gt;")=0,"",AVERAGEIF('Source Data'!$B$2:$B$1602,$A58,'Source Data'!$F$2:$F$1602))</f>
        <v/>
      </c>
      <c r="M58" s="6" t="str">
        <f aca="false">IF(COUNTIFS('Source Data'!$B$2:$B$1602,$A58,'Source Data'!$F$2:$F$1602,"&lt;&gt;")=0,"",_xlfn.MINIFS('Source Data'!$F$2:$F$1602,'Source Data'!$B$2:$B$1602,$A58))</f>
        <v/>
      </c>
      <c r="N58" s="6" t="str">
        <f aca="false">IF(COUNTIFS('Source Data'!$B$2:$B$1602,$A58,'Source Data'!$F$2:$F$1602,"&lt;&gt;")=0,"",_xlfn.MAXIFS('Source Data'!$F$2:$F$1602,'Source Data'!$B$2:$B$1602,$A58))</f>
        <v/>
      </c>
    </row>
    <row r="59" customFormat="false" ht="15" hidden="false" customHeight="false" outlineLevel="0" collapsed="false">
      <c r="A59" s="5" t="s">
        <v>852</v>
      </c>
      <c r="B59" s="7" t="n">
        <f aca="false">COUNTIF('Source Data'!$B$2:$B$1602,$A59)</f>
        <v>1</v>
      </c>
      <c r="C59" s="6" t="n">
        <f aca="false">IF(COUNTIFS('Source Data'!$B$2:$B$1602,$A59,'Source Data'!$C$2:$C$1602,"&lt;&gt;")=0,"",AVERAGEIF('Source Data'!$B$2:$B$1602,$A59,'Source Data'!$C$2:$C$1602))</f>
        <v>4</v>
      </c>
      <c r="D59" s="6" t="n">
        <f aca="false">IF(COUNTIFS('Source Data'!$B$2:$B$1602,$A59,'Source Data'!$C$2:$C$1602,"&lt;&gt;")=0,"",_xlfn.MINIFS('Source Data'!$C$2:$C$1602,'Source Data'!$B$2:$B$1602,$A59))</f>
        <v>4</v>
      </c>
      <c r="E59" s="6" t="n">
        <f aca="false">IF(COUNTIFS('Source Data'!$B$2:$B$1602,$A59,'Source Data'!$C$2:$C$1602,"&lt;&gt;")=0,"",_xlfn.MAXIFS('Source Data'!$C$2:$C$1602,'Source Data'!$B$2:$B$1602,$A59))</f>
        <v>4</v>
      </c>
      <c r="F59" s="6" t="n">
        <f aca="false">IF(COUNTIFS('Source Data'!$B$2:$B$1602,$A59,'Source Data'!$D$2:$D$1602,"&lt;&gt;")=0,"",AVERAGEIF('Source Data'!$B$2:$B$1602,$A59,'Source Data'!$D$2:$D$1602))</f>
        <v>6</v>
      </c>
      <c r="G59" s="6" t="n">
        <f aca="false">IF(COUNTIFS('Source Data'!$B$2:$B$1602,$A59,'Source Data'!$D$2:$D$1602,"&lt;&gt;")=0,"",_xlfn.MINIFS('Source Data'!$D$2:$D$1602,'Source Data'!$B$2:$B$1602,$A59))</f>
        <v>6</v>
      </c>
      <c r="H59" s="6" t="n">
        <f aca="false">IF(COUNTIFS('Source Data'!$B$2:$B$1602,$A59,'Source Data'!$D$2:$D$1602,"&lt;&gt;")=0,"",_xlfn.MAXIFS('Source Data'!$D$2:$D$1602,'Source Data'!$B$2:$B$1602,$A59))</f>
        <v>6</v>
      </c>
      <c r="I59" s="6" t="str">
        <f aca="false">IF(COUNTIFS('Source Data'!$B$2:$B$1602,$A59,'Source Data'!$E$2:$E$1602,"&lt;&gt;")=0,"",AVERAGEIF('Source Data'!$B$2:$B$1602,$A59,'Source Data'!$E$2:$E$1602))</f>
        <v/>
      </c>
      <c r="J59" s="6" t="str">
        <f aca="false">IF(COUNTIFS('Source Data'!$B$2:$B$1602,$A59,'Source Data'!$E$2:$E$1602,"&lt;&gt;")=0,"",_xlfn.MINIFS('Source Data'!$E$2:$E$1602,'Source Data'!$B$2:$B$1602,$A59))</f>
        <v/>
      </c>
      <c r="K59" s="6" t="str">
        <f aca="false">IF(COUNTIFS('Source Data'!$B$2:$B$1602,$A59,'Source Data'!$E$2:$E$1602,"&lt;&gt;")=0,"",_xlfn.MAXIFS('Source Data'!$E$2:$E$1602,'Source Data'!$B$2:$B$1602,$A59))</f>
        <v/>
      </c>
      <c r="L59" s="6" t="str">
        <f aca="false">IF(COUNTIFS('Source Data'!$B$2:$B$1602,$A59,'Source Data'!$F$2:$F$1602,"&lt;&gt;")=0,"",AVERAGEIF('Source Data'!$B$2:$B$1602,$A59,'Source Data'!$F$2:$F$1602))</f>
        <v/>
      </c>
      <c r="M59" s="6" t="str">
        <f aca="false">IF(COUNTIFS('Source Data'!$B$2:$B$1602,$A59,'Source Data'!$F$2:$F$1602,"&lt;&gt;")=0,"",_xlfn.MINIFS('Source Data'!$F$2:$F$1602,'Source Data'!$B$2:$B$1602,$A59))</f>
        <v/>
      </c>
      <c r="N59" s="6" t="str">
        <f aca="false">IF(COUNTIFS('Source Data'!$B$2:$B$1602,$A59,'Source Data'!$F$2:$F$1602,"&lt;&gt;")=0,"",_xlfn.MAXIFS('Source Data'!$F$2:$F$1602,'Source Data'!$B$2:$B$1602,$A59))</f>
        <v/>
      </c>
    </row>
    <row r="60" customFormat="false" ht="15" hidden="false" customHeight="false" outlineLevel="0" collapsed="false">
      <c r="A60" s="5" t="s">
        <v>186</v>
      </c>
      <c r="B60" s="7" t="n">
        <f aca="false">COUNTIF('Source Data'!$B$2:$B$1602,$A60)</f>
        <v>15</v>
      </c>
      <c r="C60" s="6" t="n">
        <f aca="false">IF(COUNTIFS('Source Data'!$B$2:$B$1602,$A60,'Source Data'!$C$2:$C$1602,"&lt;&gt;")=0,"",AVERAGEIF('Source Data'!$B$2:$B$1602,$A60,'Source Data'!$C$2:$C$1602))</f>
        <v>10.5666666666667</v>
      </c>
      <c r="D60" s="6" t="n">
        <f aca="false">IF(COUNTIFS('Source Data'!$B$2:$B$1602,$A60,'Source Data'!$C$2:$C$1602,"&lt;&gt;")=0,"",_xlfn.MINIFS('Source Data'!$C$2:$C$1602,'Source Data'!$B$2:$B$1602,$A60))</f>
        <v>4</v>
      </c>
      <c r="E60" s="6" t="n">
        <f aca="false">IF(COUNTIFS('Source Data'!$B$2:$B$1602,$A60,'Source Data'!$C$2:$C$1602,"&lt;&gt;")=0,"",_xlfn.MAXIFS('Source Data'!$C$2:$C$1602,'Source Data'!$B$2:$B$1602,$A60))</f>
        <v>17</v>
      </c>
      <c r="F60" s="6" t="n">
        <f aca="false">IF(COUNTIFS('Source Data'!$B$2:$B$1602,$A60,'Source Data'!$D$2:$D$1602,"&lt;&gt;")=0,"",AVERAGEIF('Source Data'!$B$2:$B$1602,$A60,'Source Data'!$D$2:$D$1602))</f>
        <v>3.93333333333333</v>
      </c>
      <c r="G60" s="6" t="n">
        <f aca="false">IF(COUNTIFS('Source Data'!$B$2:$B$1602,$A60,'Source Data'!$D$2:$D$1602,"&lt;&gt;")=0,"",_xlfn.MINIFS('Source Data'!$D$2:$D$1602,'Source Data'!$B$2:$B$1602,$A60))</f>
        <v>0</v>
      </c>
      <c r="H60" s="6" t="n">
        <f aca="false">IF(COUNTIFS('Source Data'!$B$2:$B$1602,$A60,'Source Data'!$D$2:$D$1602,"&lt;&gt;")=0,"",_xlfn.MAXIFS('Source Data'!$D$2:$D$1602,'Source Data'!$B$2:$B$1602,$A60))</f>
        <v>26</v>
      </c>
      <c r="I60" s="6" t="n">
        <f aca="false">IF(COUNTIFS('Source Data'!$B$2:$B$1602,$A60,'Source Data'!$E$2:$E$1602,"&lt;&gt;")=0,"",AVERAGEIF('Source Data'!$B$2:$B$1602,$A60,'Source Data'!$E$2:$E$1602))</f>
        <v>4.5</v>
      </c>
      <c r="J60" s="6" t="n">
        <f aca="false">IF(COUNTIFS('Source Data'!$B$2:$B$1602,$A60,'Source Data'!$E$2:$E$1602,"&lt;&gt;")=0,"",_xlfn.MINIFS('Source Data'!$E$2:$E$1602,'Source Data'!$B$2:$B$1602,$A60))</f>
        <v>3</v>
      </c>
      <c r="K60" s="6" t="n">
        <f aca="false">IF(COUNTIFS('Source Data'!$B$2:$B$1602,$A60,'Source Data'!$E$2:$E$1602,"&lt;&gt;")=0,"",_xlfn.MAXIFS('Source Data'!$E$2:$E$1602,'Source Data'!$B$2:$B$1602,$A60))</f>
        <v>6</v>
      </c>
      <c r="L60" s="6" t="str">
        <f aca="false">IF(COUNTIFS('Source Data'!$B$2:$B$1602,$A60,'Source Data'!$F$2:$F$1602,"&lt;&gt;")=0,"",AVERAGEIF('Source Data'!$B$2:$B$1602,$A60,'Source Data'!$F$2:$F$1602))</f>
        <v/>
      </c>
      <c r="M60" s="6" t="str">
        <f aca="false">IF(COUNTIFS('Source Data'!$B$2:$B$1602,$A60,'Source Data'!$F$2:$F$1602,"&lt;&gt;")=0,"",_xlfn.MINIFS('Source Data'!$F$2:$F$1602,'Source Data'!$B$2:$B$1602,$A60))</f>
        <v/>
      </c>
      <c r="N60" s="6" t="str">
        <f aca="false">IF(COUNTIFS('Source Data'!$B$2:$B$1602,$A60,'Source Data'!$F$2:$F$1602,"&lt;&gt;")=0,"",_xlfn.MAXIFS('Source Data'!$F$2:$F$1602,'Source Data'!$B$2:$B$1602,$A60))</f>
        <v/>
      </c>
    </row>
    <row r="61" customFormat="false" ht="15" hidden="false" customHeight="false" outlineLevel="0" collapsed="false">
      <c r="A61" s="5" t="s">
        <v>52</v>
      </c>
      <c r="B61" s="7" t="n">
        <f aca="false">COUNTIF('Source Data'!$B$2:$B$1602,$A61)</f>
        <v>6</v>
      </c>
      <c r="C61" s="6" t="n">
        <f aca="false">IF(COUNTIFS('Source Data'!$B$2:$B$1602,$A61,'Source Data'!$C$2:$C$1602,"&lt;&gt;")=0,"",AVERAGEIF('Source Data'!$B$2:$B$1602,$A61,'Source Data'!$C$2:$C$1602))</f>
        <v>6.66666666666667</v>
      </c>
      <c r="D61" s="6" t="n">
        <f aca="false">IF(COUNTIFS('Source Data'!$B$2:$B$1602,$A61,'Source Data'!$C$2:$C$1602,"&lt;&gt;")=0,"",_xlfn.MINIFS('Source Data'!$C$2:$C$1602,'Source Data'!$B$2:$B$1602,$A61))</f>
        <v>4</v>
      </c>
      <c r="E61" s="6" t="n">
        <f aca="false">IF(COUNTIFS('Source Data'!$B$2:$B$1602,$A61,'Source Data'!$C$2:$C$1602,"&lt;&gt;")=0,"",_xlfn.MAXIFS('Source Data'!$C$2:$C$1602,'Source Data'!$B$2:$B$1602,$A61))</f>
        <v>14</v>
      </c>
      <c r="F61" s="6" t="n">
        <f aca="false">IF(COUNTIFS('Source Data'!$B$2:$B$1602,$A61,'Source Data'!$D$2:$D$1602,"&lt;&gt;")=0,"",AVERAGEIF('Source Data'!$B$2:$B$1602,$A61,'Source Data'!$D$2:$D$1602))</f>
        <v>10.6666666666667</v>
      </c>
      <c r="G61" s="6" t="n">
        <f aca="false">IF(COUNTIFS('Source Data'!$B$2:$B$1602,$A61,'Source Data'!$D$2:$D$1602,"&lt;&gt;")=0,"",_xlfn.MINIFS('Source Data'!$D$2:$D$1602,'Source Data'!$B$2:$B$1602,$A61))</f>
        <v>0</v>
      </c>
      <c r="H61" s="6" t="n">
        <f aca="false">IF(COUNTIFS('Source Data'!$B$2:$B$1602,$A61,'Source Data'!$D$2:$D$1602,"&lt;&gt;")=0,"",_xlfn.MAXIFS('Source Data'!$D$2:$D$1602,'Source Data'!$B$2:$B$1602,$A61))</f>
        <v>36</v>
      </c>
      <c r="I61" s="6" t="n">
        <f aca="false">IF(COUNTIFS('Source Data'!$B$2:$B$1602,$A61,'Source Data'!$E$2:$E$1602,"&lt;&gt;")=0,"",AVERAGEIF('Source Data'!$B$2:$B$1602,$A61,'Source Data'!$E$2:$E$1602))</f>
        <v>2</v>
      </c>
      <c r="J61" s="6" t="n">
        <f aca="false">IF(COUNTIFS('Source Data'!$B$2:$B$1602,$A61,'Source Data'!$E$2:$E$1602,"&lt;&gt;")=0,"",_xlfn.MINIFS('Source Data'!$E$2:$E$1602,'Source Data'!$B$2:$B$1602,$A61))</f>
        <v>0</v>
      </c>
      <c r="K61" s="6" t="n">
        <f aca="false">IF(COUNTIFS('Source Data'!$B$2:$B$1602,$A61,'Source Data'!$E$2:$E$1602,"&lt;&gt;")=0,"",_xlfn.MAXIFS('Source Data'!$E$2:$E$1602,'Source Data'!$B$2:$B$1602,$A61))</f>
        <v>4</v>
      </c>
      <c r="L61" s="6" t="n">
        <f aca="false">IF(COUNTIFS('Source Data'!$B$2:$B$1602,$A61,'Source Data'!$F$2:$F$1602,"&lt;&gt;")=0,"",AVERAGEIF('Source Data'!$B$2:$B$1602,$A61,'Source Data'!$F$2:$F$1602))</f>
        <v>2</v>
      </c>
      <c r="M61" s="6" t="n">
        <f aca="false">IF(COUNTIFS('Source Data'!$B$2:$B$1602,$A61,'Source Data'!$F$2:$F$1602,"&lt;&gt;")=0,"",_xlfn.MINIFS('Source Data'!$F$2:$F$1602,'Source Data'!$B$2:$B$1602,$A61))</f>
        <v>2</v>
      </c>
      <c r="N61" s="6" t="n">
        <f aca="false">IF(COUNTIFS('Source Data'!$B$2:$B$1602,$A61,'Source Data'!$F$2:$F$1602,"&lt;&gt;")=0,"",_xlfn.MAXIFS('Source Data'!$F$2:$F$1602,'Source Data'!$B$2:$B$1602,$A61))</f>
        <v>2</v>
      </c>
    </row>
    <row r="62" customFormat="false" ht="15" hidden="false" customHeight="false" outlineLevel="0" collapsed="false">
      <c r="A62" s="5" t="s">
        <v>870</v>
      </c>
      <c r="B62" s="7" t="n">
        <f aca="false">COUNTIF('Source Data'!$B$2:$B$1602,$A62)</f>
        <v>4</v>
      </c>
      <c r="C62" s="6" t="n">
        <f aca="false">IF(COUNTIFS('Source Data'!$B$2:$B$1602,$A62,'Source Data'!$C$2:$C$1602,"&lt;&gt;")=0,"",AVERAGEIF('Source Data'!$B$2:$B$1602,$A62,'Source Data'!$C$2:$C$1602))</f>
        <v>7</v>
      </c>
      <c r="D62" s="6" t="n">
        <f aca="false">IF(COUNTIFS('Source Data'!$B$2:$B$1602,$A62,'Source Data'!$C$2:$C$1602,"&lt;&gt;")=0,"",_xlfn.MINIFS('Source Data'!$C$2:$C$1602,'Source Data'!$B$2:$B$1602,$A62))</f>
        <v>0</v>
      </c>
      <c r="E62" s="6" t="n">
        <f aca="false">IF(COUNTIFS('Source Data'!$B$2:$B$1602,$A62,'Source Data'!$C$2:$C$1602,"&lt;&gt;")=0,"",_xlfn.MAXIFS('Source Data'!$C$2:$C$1602,'Source Data'!$B$2:$B$1602,$A62))</f>
        <v>12</v>
      </c>
      <c r="F62" s="6" t="n">
        <f aca="false">IF(COUNTIFS('Source Data'!$B$2:$B$1602,$A62,'Source Data'!$D$2:$D$1602,"&lt;&gt;")=0,"",AVERAGEIF('Source Data'!$B$2:$B$1602,$A62,'Source Data'!$D$2:$D$1602))</f>
        <v>4.66666666666667</v>
      </c>
      <c r="G62" s="6" t="n">
        <f aca="false">IF(COUNTIFS('Source Data'!$B$2:$B$1602,$A62,'Source Data'!$D$2:$D$1602,"&lt;&gt;")=0,"",_xlfn.MINIFS('Source Data'!$D$2:$D$1602,'Source Data'!$B$2:$B$1602,$A62))</f>
        <v>0</v>
      </c>
      <c r="H62" s="6" t="n">
        <f aca="false">IF(COUNTIFS('Source Data'!$B$2:$B$1602,$A62,'Source Data'!$D$2:$D$1602,"&lt;&gt;")=0,"",_xlfn.MAXIFS('Source Data'!$D$2:$D$1602,'Source Data'!$B$2:$B$1602,$A62))</f>
        <v>8</v>
      </c>
      <c r="I62" s="6" t="n">
        <f aca="false">IF(COUNTIFS('Source Data'!$B$2:$B$1602,$A62,'Source Data'!$E$2:$E$1602,"&lt;&gt;")=0,"",AVERAGEIF('Source Data'!$B$2:$B$1602,$A62,'Source Data'!$E$2:$E$1602))</f>
        <v>0</v>
      </c>
      <c r="J62" s="6" t="n">
        <f aca="false">IF(COUNTIFS('Source Data'!$B$2:$B$1602,$A62,'Source Data'!$E$2:$E$1602,"&lt;&gt;")=0,"",_xlfn.MINIFS('Source Data'!$E$2:$E$1602,'Source Data'!$B$2:$B$1602,$A62))</f>
        <v>0</v>
      </c>
      <c r="K62" s="6" t="n">
        <f aca="false">IF(COUNTIFS('Source Data'!$B$2:$B$1602,$A62,'Source Data'!$E$2:$E$1602,"&lt;&gt;")=0,"",_xlfn.MAXIFS('Source Data'!$E$2:$E$1602,'Source Data'!$B$2:$B$1602,$A62))</f>
        <v>0</v>
      </c>
      <c r="L62" s="6" t="str">
        <f aca="false">IF(COUNTIFS('Source Data'!$B$2:$B$1602,$A62,'Source Data'!$F$2:$F$1602,"&lt;&gt;")=0,"",AVERAGEIF('Source Data'!$B$2:$B$1602,$A62,'Source Data'!$F$2:$F$1602))</f>
        <v/>
      </c>
      <c r="M62" s="6" t="str">
        <f aca="false">IF(COUNTIFS('Source Data'!$B$2:$B$1602,$A62,'Source Data'!$F$2:$F$1602,"&lt;&gt;")=0,"",_xlfn.MINIFS('Source Data'!$F$2:$F$1602,'Source Data'!$B$2:$B$1602,$A62))</f>
        <v/>
      </c>
      <c r="N62" s="6" t="str">
        <f aca="false">IF(COUNTIFS('Source Data'!$B$2:$B$1602,$A62,'Source Data'!$F$2:$F$1602,"&lt;&gt;")=0,"",_xlfn.MAXIFS('Source Data'!$F$2:$F$1602,'Source Data'!$B$2:$B$1602,$A62))</f>
        <v/>
      </c>
    </row>
    <row r="63" customFormat="false" ht="15" hidden="false" customHeight="false" outlineLevel="0" collapsed="false">
      <c r="A63" s="5" t="s">
        <v>54</v>
      </c>
      <c r="B63" s="7" t="n">
        <f aca="false">COUNTIF('Source Data'!$B$2:$B$1602,$A63)</f>
        <v>38</v>
      </c>
      <c r="C63" s="6" t="n">
        <f aca="false">IF(COUNTIFS('Source Data'!$B$2:$B$1602,$A63,'Source Data'!$C$2:$C$1602,"&lt;&gt;")=0,"",AVERAGEIF('Source Data'!$B$2:$B$1602,$A63,'Source Data'!$C$2:$C$1602))</f>
        <v>5.23684210526316</v>
      </c>
      <c r="D63" s="6" t="n">
        <f aca="false">IF(COUNTIFS('Source Data'!$B$2:$B$1602,$A63,'Source Data'!$C$2:$C$1602,"&lt;&gt;")=0,"",_xlfn.MINIFS('Source Data'!$C$2:$C$1602,'Source Data'!$B$2:$B$1602,$A63))</f>
        <v>0</v>
      </c>
      <c r="E63" s="6" t="n">
        <f aca="false">IF(COUNTIFS('Source Data'!$B$2:$B$1602,$A63,'Source Data'!$C$2:$C$1602,"&lt;&gt;")=0,"",_xlfn.MAXIFS('Source Data'!$C$2:$C$1602,'Source Data'!$B$2:$B$1602,$A63))</f>
        <v>12</v>
      </c>
      <c r="F63" s="6" t="n">
        <f aca="false">IF(COUNTIFS('Source Data'!$B$2:$B$1602,$A63,'Source Data'!$D$2:$D$1602,"&lt;&gt;")=0,"",AVERAGEIF('Source Data'!$B$2:$B$1602,$A63,'Source Data'!$D$2:$D$1602))</f>
        <v>4.96774193548387</v>
      </c>
      <c r="G63" s="6" t="n">
        <f aca="false">IF(COUNTIFS('Source Data'!$B$2:$B$1602,$A63,'Source Data'!$D$2:$D$1602,"&lt;&gt;")=0,"",_xlfn.MINIFS('Source Data'!$D$2:$D$1602,'Source Data'!$B$2:$B$1602,$A63))</f>
        <v>0</v>
      </c>
      <c r="H63" s="6" t="n">
        <f aca="false">IF(COUNTIFS('Source Data'!$B$2:$B$1602,$A63,'Source Data'!$D$2:$D$1602,"&lt;&gt;")=0,"",_xlfn.MAXIFS('Source Data'!$D$2:$D$1602,'Source Data'!$B$2:$B$1602,$A63))</f>
        <v>12</v>
      </c>
      <c r="I63" s="6" t="n">
        <f aca="false">IF(COUNTIFS('Source Data'!$B$2:$B$1602,$A63,'Source Data'!$E$2:$E$1602,"&lt;&gt;")=0,"",AVERAGEIF('Source Data'!$B$2:$B$1602,$A63,'Source Data'!$E$2:$E$1602))</f>
        <v>0.4</v>
      </c>
      <c r="J63" s="6" t="n">
        <f aca="false">IF(COUNTIFS('Source Data'!$B$2:$B$1602,$A63,'Source Data'!$E$2:$E$1602,"&lt;&gt;")=0,"",_xlfn.MINIFS('Source Data'!$E$2:$E$1602,'Source Data'!$B$2:$B$1602,$A63))</f>
        <v>0</v>
      </c>
      <c r="K63" s="6" t="n">
        <f aca="false">IF(COUNTIFS('Source Data'!$B$2:$B$1602,$A63,'Source Data'!$E$2:$E$1602,"&lt;&gt;")=0,"",_xlfn.MAXIFS('Source Data'!$E$2:$E$1602,'Source Data'!$B$2:$B$1602,$A63))</f>
        <v>2</v>
      </c>
      <c r="L63" s="6" t="n">
        <f aca="false">IF(COUNTIFS('Source Data'!$B$2:$B$1602,$A63,'Source Data'!$F$2:$F$1602,"&lt;&gt;")=0,"",AVERAGEIF('Source Data'!$B$2:$B$1602,$A63,'Source Data'!$F$2:$F$1602))</f>
        <v>4</v>
      </c>
      <c r="M63" s="6" t="n">
        <f aca="false">IF(COUNTIFS('Source Data'!$B$2:$B$1602,$A63,'Source Data'!$F$2:$F$1602,"&lt;&gt;")=0,"",_xlfn.MINIFS('Source Data'!$F$2:$F$1602,'Source Data'!$B$2:$B$1602,$A63))</f>
        <v>0</v>
      </c>
      <c r="N63" s="6" t="n">
        <f aca="false">IF(COUNTIFS('Source Data'!$B$2:$B$1602,$A63,'Source Data'!$F$2:$F$1602,"&lt;&gt;")=0,"",_xlfn.MAXIFS('Source Data'!$F$2:$F$1602,'Source Data'!$B$2:$B$1602,$A63))</f>
        <v>12</v>
      </c>
    </row>
    <row r="64" customFormat="false" ht="15" hidden="false" customHeight="false" outlineLevel="0" collapsed="false">
      <c r="A64" s="5" t="s">
        <v>195</v>
      </c>
      <c r="B64" s="7" t="n">
        <f aca="false">COUNTIF('Source Data'!$B$2:$B$1602,$A64)</f>
        <v>2</v>
      </c>
      <c r="C64" s="6" t="n">
        <f aca="false">IF(COUNTIFS('Source Data'!$B$2:$B$1602,$A64,'Source Data'!$C$2:$C$1602,"&lt;&gt;")=0,"",AVERAGEIF('Source Data'!$B$2:$B$1602,$A64,'Source Data'!$C$2:$C$1602))</f>
        <v>6</v>
      </c>
      <c r="D64" s="6" t="n">
        <f aca="false">IF(COUNTIFS('Source Data'!$B$2:$B$1602,$A64,'Source Data'!$C$2:$C$1602,"&lt;&gt;")=0,"",_xlfn.MINIFS('Source Data'!$C$2:$C$1602,'Source Data'!$B$2:$B$1602,$A64))</f>
        <v>6</v>
      </c>
      <c r="E64" s="6" t="n">
        <f aca="false">IF(COUNTIFS('Source Data'!$B$2:$B$1602,$A64,'Source Data'!$C$2:$C$1602,"&lt;&gt;")=0,"",_xlfn.MAXIFS('Source Data'!$C$2:$C$1602,'Source Data'!$B$2:$B$1602,$A64))</f>
        <v>6</v>
      </c>
      <c r="F64" s="6" t="n">
        <f aca="false">IF(COUNTIFS('Source Data'!$B$2:$B$1602,$A64,'Source Data'!$D$2:$D$1602,"&lt;&gt;")=0,"",AVERAGEIF('Source Data'!$B$2:$B$1602,$A64,'Source Data'!$D$2:$D$1602))</f>
        <v>6</v>
      </c>
      <c r="G64" s="6" t="n">
        <f aca="false">IF(COUNTIFS('Source Data'!$B$2:$B$1602,$A64,'Source Data'!$D$2:$D$1602,"&lt;&gt;")=0,"",_xlfn.MINIFS('Source Data'!$D$2:$D$1602,'Source Data'!$B$2:$B$1602,$A64))</f>
        <v>0</v>
      </c>
      <c r="H64" s="6" t="n">
        <f aca="false">IF(COUNTIFS('Source Data'!$B$2:$B$1602,$A64,'Source Data'!$D$2:$D$1602,"&lt;&gt;")=0,"",_xlfn.MAXIFS('Source Data'!$D$2:$D$1602,'Source Data'!$B$2:$B$1602,$A64))</f>
        <v>12</v>
      </c>
      <c r="I64" s="6" t="str">
        <f aca="false">IF(COUNTIFS('Source Data'!$B$2:$B$1602,$A64,'Source Data'!$E$2:$E$1602,"&lt;&gt;")=0,"",AVERAGEIF('Source Data'!$B$2:$B$1602,$A64,'Source Data'!$E$2:$E$1602))</f>
        <v/>
      </c>
      <c r="J64" s="6" t="str">
        <f aca="false">IF(COUNTIFS('Source Data'!$B$2:$B$1602,$A64,'Source Data'!$E$2:$E$1602,"&lt;&gt;")=0,"",_xlfn.MINIFS('Source Data'!$E$2:$E$1602,'Source Data'!$B$2:$B$1602,$A64))</f>
        <v/>
      </c>
      <c r="K64" s="6" t="str">
        <f aca="false">IF(COUNTIFS('Source Data'!$B$2:$B$1602,$A64,'Source Data'!$E$2:$E$1602,"&lt;&gt;")=0,"",_xlfn.MAXIFS('Source Data'!$E$2:$E$1602,'Source Data'!$B$2:$B$1602,$A64))</f>
        <v/>
      </c>
      <c r="L64" s="6" t="n">
        <f aca="false">IF(COUNTIFS('Source Data'!$B$2:$B$1602,$A64,'Source Data'!$F$2:$F$1602,"&lt;&gt;")=0,"",AVERAGEIF('Source Data'!$B$2:$B$1602,$A64,'Source Data'!$F$2:$F$1602))</f>
        <v>0</v>
      </c>
      <c r="M64" s="6" t="n">
        <f aca="false">IF(COUNTIFS('Source Data'!$B$2:$B$1602,$A64,'Source Data'!$F$2:$F$1602,"&lt;&gt;")=0,"",_xlfn.MINIFS('Source Data'!$F$2:$F$1602,'Source Data'!$B$2:$B$1602,$A64))</f>
        <v>0</v>
      </c>
      <c r="N64" s="6" t="n">
        <f aca="false">IF(COUNTIFS('Source Data'!$B$2:$B$1602,$A64,'Source Data'!$F$2:$F$1602,"&lt;&gt;")=0,"",_xlfn.MAXIFS('Source Data'!$F$2:$F$1602,'Source Data'!$B$2:$B$1602,$A64))</f>
        <v>0</v>
      </c>
    </row>
    <row r="65" customFormat="false" ht="15" hidden="false" customHeight="false" outlineLevel="0" collapsed="false">
      <c r="A65" s="5" t="s">
        <v>197</v>
      </c>
      <c r="B65" s="7" t="n">
        <f aca="false">COUNTIF('Source Data'!$B$2:$B$1602,$A65)</f>
        <v>18</v>
      </c>
      <c r="C65" s="6" t="n">
        <f aca="false">IF(COUNTIFS('Source Data'!$B$2:$B$1602,$A65,'Source Data'!$C$2:$C$1602,"&lt;&gt;")=0,"",AVERAGEIF('Source Data'!$B$2:$B$1602,$A65,'Source Data'!$C$2:$C$1602))</f>
        <v>10.5555555555556</v>
      </c>
      <c r="D65" s="6" t="n">
        <f aca="false">IF(COUNTIFS('Source Data'!$B$2:$B$1602,$A65,'Source Data'!$C$2:$C$1602,"&lt;&gt;")=0,"",_xlfn.MINIFS('Source Data'!$C$2:$C$1602,'Source Data'!$B$2:$B$1602,$A65))</f>
        <v>0</v>
      </c>
      <c r="E65" s="6" t="n">
        <f aca="false">IF(COUNTIFS('Source Data'!$B$2:$B$1602,$A65,'Source Data'!$C$2:$C$1602,"&lt;&gt;")=0,"",_xlfn.MAXIFS('Source Data'!$C$2:$C$1602,'Source Data'!$B$2:$B$1602,$A65))</f>
        <v>39</v>
      </c>
      <c r="F65" s="6" t="n">
        <f aca="false">IF(COUNTIFS('Source Data'!$B$2:$B$1602,$A65,'Source Data'!$D$2:$D$1602,"&lt;&gt;")=0,"",AVERAGEIF('Source Data'!$B$2:$B$1602,$A65,'Source Data'!$D$2:$D$1602))</f>
        <v>5.76470588235294</v>
      </c>
      <c r="G65" s="6" t="n">
        <f aca="false">IF(COUNTIFS('Source Data'!$B$2:$B$1602,$A65,'Source Data'!$D$2:$D$1602,"&lt;&gt;")=0,"",_xlfn.MINIFS('Source Data'!$D$2:$D$1602,'Source Data'!$B$2:$B$1602,$A65))</f>
        <v>0</v>
      </c>
      <c r="H65" s="6" t="n">
        <f aca="false">IF(COUNTIFS('Source Data'!$B$2:$B$1602,$A65,'Source Data'!$D$2:$D$1602,"&lt;&gt;")=0,"",_xlfn.MAXIFS('Source Data'!$D$2:$D$1602,'Source Data'!$B$2:$B$1602,$A65))</f>
        <v>18</v>
      </c>
      <c r="I65" s="6" t="n">
        <f aca="false">IF(COUNTIFS('Source Data'!$B$2:$B$1602,$A65,'Source Data'!$E$2:$E$1602,"&lt;&gt;")=0,"",AVERAGEIF('Source Data'!$B$2:$B$1602,$A65,'Source Data'!$E$2:$E$1602))</f>
        <v>4</v>
      </c>
      <c r="J65" s="6" t="n">
        <f aca="false">IF(COUNTIFS('Source Data'!$B$2:$B$1602,$A65,'Source Data'!$E$2:$E$1602,"&lt;&gt;")=0,"",_xlfn.MINIFS('Source Data'!$E$2:$E$1602,'Source Data'!$B$2:$B$1602,$A65))</f>
        <v>0</v>
      </c>
      <c r="K65" s="6" t="n">
        <f aca="false">IF(COUNTIFS('Source Data'!$B$2:$B$1602,$A65,'Source Data'!$E$2:$E$1602,"&lt;&gt;")=0,"",_xlfn.MAXIFS('Source Data'!$E$2:$E$1602,'Source Data'!$B$2:$B$1602,$A65))</f>
        <v>6</v>
      </c>
      <c r="L65" s="6" t="str">
        <f aca="false">IF(COUNTIFS('Source Data'!$B$2:$B$1602,$A65,'Source Data'!$F$2:$F$1602,"&lt;&gt;")=0,"",AVERAGEIF('Source Data'!$B$2:$B$1602,$A65,'Source Data'!$F$2:$F$1602))</f>
        <v/>
      </c>
      <c r="M65" s="6" t="str">
        <f aca="false">IF(COUNTIFS('Source Data'!$B$2:$B$1602,$A65,'Source Data'!$F$2:$F$1602,"&lt;&gt;")=0,"",_xlfn.MINIFS('Source Data'!$F$2:$F$1602,'Source Data'!$B$2:$B$1602,$A65))</f>
        <v/>
      </c>
      <c r="N65" s="6" t="str">
        <f aca="false">IF(COUNTIFS('Source Data'!$B$2:$B$1602,$A65,'Source Data'!$F$2:$F$1602,"&lt;&gt;")=0,"",_xlfn.MAXIFS('Source Data'!$F$2:$F$1602,'Source Data'!$B$2:$B$1602,$A65))</f>
        <v/>
      </c>
    </row>
    <row r="66" customFormat="false" ht="15" hidden="false" customHeight="false" outlineLevel="0" collapsed="false">
      <c r="A66" s="5" t="s">
        <v>918</v>
      </c>
      <c r="B66" s="7" t="n">
        <f aca="false">COUNTIF('Source Data'!$B$2:$B$1602,$A66)</f>
        <v>2</v>
      </c>
      <c r="C66" s="6" t="n">
        <f aca="false">IF(COUNTIFS('Source Data'!$B$2:$B$1602,$A66,'Source Data'!$C$2:$C$1602,"&lt;&gt;")=0,"",AVERAGEIF('Source Data'!$B$2:$B$1602,$A66,'Source Data'!$C$2:$C$1602))</f>
        <v>8</v>
      </c>
      <c r="D66" s="6" t="n">
        <f aca="false">IF(COUNTIFS('Source Data'!$B$2:$B$1602,$A66,'Source Data'!$C$2:$C$1602,"&lt;&gt;")=0,"",_xlfn.MINIFS('Source Data'!$C$2:$C$1602,'Source Data'!$B$2:$B$1602,$A66))</f>
        <v>8</v>
      </c>
      <c r="E66" s="6" t="n">
        <f aca="false">IF(COUNTIFS('Source Data'!$B$2:$B$1602,$A66,'Source Data'!$C$2:$C$1602,"&lt;&gt;")=0,"",_xlfn.MAXIFS('Source Data'!$C$2:$C$1602,'Source Data'!$B$2:$B$1602,$A66))</f>
        <v>8</v>
      </c>
      <c r="F66" s="6" t="n">
        <f aca="false">IF(COUNTIFS('Source Data'!$B$2:$B$1602,$A66,'Source Data'!$D$2:$D$1602,"&lt;&gt;")=0,"",AVERAGEIF('Source Data'!$B$2:$B$1602,$A66,'Source Data'!$D$2:$D$1602))</f>
        <v>2</v>
      </c>
      <c r="G66" s="6" t="n">
        <f aca="false">IF(COUNTIFS('Source Data'!$B$2:$B$1602,$A66,'Source Data'!$D$2:$D$1602,"&lt;&gt;")=0,"",_xlfn.MINIFS('Source Data'!$D$2:$D$1602,'Source Data'!$B$2:$B$1602,$A66))</f>
        <v>0</v>
      </c>
      <c r="H66" s="6" t="n">
        <f aca="false">IF(COUNTIFS('Source Data'!$B$2:$B$1602,$A66,'Source Data'!$D$2:$D$1602,"&lt;&gt;")=0,"",_xlfn.MAXIFS('Source Data'!$D$2:$D$1602,'Source Data'!$B$2:$B$1602,$A66))</f>
        <v>4</v>
      </c>
      <c r="I66" s="6" t="str">
        <f aca="false">IF(COUNTIFS('Source Data'!$B$2:$B$1602,$A66,'Source Data'!$E$2:$E$1602,"&lt;&gt;")=0,"",AVERAGEIF('Source Data'!$B$2:$B$1602,$A66,'Source Data'!$E$2:$E$1602))</f>
        <v/>
      </c>
      <c r="J66" s="6" t="str">
        <f aca="false">IF(COUNTIFS('Source Data'!$B$2:$B$1602,$A66,'Source Data'!$E$2:$E$1602,"&lt;&gt;")=0,"",_xlfn.MINIFS('Source Data'!$E$2:$E$1602,'Source Data'!$B$2:$B$1602,$A66))</f>
        <v/>
      </c>
      <c r="K66" s="6" t="str">
        <f aca="false">IF(COUNTIFS('Source Data'!$B$2:$B$1602,$A66,'Source Data'!$E$2:$E$1602,"&lt;&gt;")=0,"",_xlfn.MAXIFS('Source Data'!$E$2:$E$1602,'Source Data'!$B$2:$B$1602,$A66))</f>
        <v/>
      </c>
      <c r="L66" s="6" t="str">
        <f aca="false">IF(COUNTIFS('Source Data'!$B$2:$B$1602,$A66,'Source Data'!$F$2:$F$1602,"&lt;&gt;")=0,"",AVERAGEIF('Source Data'!$B$2:$B$1602,$A66,'Source Data'!$F$2:$F$1602))</f>
        <v/>
      </c>
      <c r="M66" s="6" t="str">
        <f aca="false">IF(COUNTIFS('Source Data'!$B$2:$B$1602,$A66,'Source Data'!$F$2:$F$1602,"&lt;&gt;")=0,"",_xlfn.MINIFS('Source Data'!$F$2:$F$1602,'Source Data'!$B$2:$B$1602,$A66))</f>
        <v/>
      </c>
      <c r="N66" s="6" t="str">
        <f aca="false">IF(COUNTIFS('Source Data'!$B$2:$B$1602,$A66,'Source Data'!$F$2:$F$1602,"&lt;&gt;")=0,"",_xlfn.MAXIFS('Source Data'!$F$2:$F$1602,'Source Data'!$B$2:$B$1602,$A66))</f>
        <v/>
      </c>
    </row>
    <row r="67" customFormat="false" ht="15" hidden="false" customHeight="false" outlineLevel="0" collapsed="false">
      <c r="A67" s="5" t="s">
        <v>921</v>
      </c>
      <c r="B67" s="7" t="n">
        <f aca="false">COUNTIF('Source Data'!$B$2:$B$1602,$A67)</f>
        <v>7</v>
      </c>
      <c r="C67" s="6" t="n">
        <f aca="false">IF(COUNTIFS('Source Data'!$B$2:$B$1602,$A67,'Source Data'!$C$2:$C$1602,"&lt;&gt;")=0,"",AVERAGEIF('Source Data'!$B$2:$B$1602,$A67,'Source Data'!$C$2:$C$1602))</f>
        <v>7.71428571428571</v>
      </c>
      <c r="D67" s="6" t="n">
        <f aca="false">IF(COUNTIFS('Source Data'!$B$2:$B$1602,$A67,'Source Data'!$C$2:$C$1602,"&lt;&gt;")=0,"",_xlfn.MINIFS('Source Data'!$C$2:$C$1602,'Source Data'!$B$2:$B$1602,$A67))</f>
        <v>4</v>
      </c>
      <c r="E67" s="6" t="n">
        <f aca="false">IF(COUNTIFS('Source Data'!$B$2:$B$1602,$A67,'Source Data'!$C$2:$C$1602,"&lt;&gt;")=0,"",_xlfn.MAXIFS('Source Data'!$C$2:$C$1602,'Source Data'!$B$2:$B$1602,$A67))</f>
        <v>12</v>
      </c>
      <c r="F67" s="6" t="n">
        <f aca="false">IF(COUNTIFS('Source Data'!$B$2:$B$1602,$A67,'Source Data'!$D$2:$D$1602,"&lt;&gt;")=0,"",AVERAGEIF('Source Data'!$B$2:$B$1602,$A67,'Source Data'!$D$2:$D$1602))</f>
        <v>5.42857142857143</v>
      </c>
      <c r="G67" s="6" t="n">
        <f aca="false">IF(COUNTIFS('Source Data'!$B$2:$B$1602,$A67,'Source Data'!$D$2:$D$1602,"&lt;&gt;")=0,"",_xlfn.MINIFS('Source Data'!$D$2:$D$1602,'Source Data'!$B$2:$B$1602,$A67))</f>
        <v>0</v>
      </c>
      <c r="H67" s="6" t="n">
        <f aca="false">IF(COUNTIFS('Source Data'!$B$2:$B$1602,$A67,'Source Data'!$D$2:$D$1602,"&lt;&gt;")=0,"",_xlfn.MAXIFS('Source Data'!$D$2:$D$1602,'Source Data'!$B$2:$B$1602,$A67))</f>
        <v>12</v>
      </c>
      <c r="I67" s="6" t="str">
        <f aca="false">IF(COUNTIFS('Source Data'!$B$2:$B$1602,$A67,'Source Data'!$E$2:$E$1602,"&lt;&gt;")=0,"",AVERAGEIF('Source Data'!$B$2:$B$1602,$A67,'Source Data'!$E$2:$E$1602))</f>
        <v/>
      </c>
      <c r="J67" s="6" t="str">
        <f aca="false">IF(COUNTIFS('Source Data'!$B$2:$B$1602,$A67,'Source Data'!$E$2:$E$1602,"&lt;&gt;")=0,"",_xlfn.MINIFS('Source Data'!$E$2:$E$1602,'Source Data'!$B$2:$B$1602,$A67))</f>
        <v/>
      </c>
      <c r="K67" s="6" t="str">
        <f aca="false">IF(COUNTIFS('Source Data'!$B$2:$B$1602,$A67,'Source Data'!$E$2:$E$1602,"&lt;&gt;")=0,"",_xlfn.MAXIFS('Source Data'!$E$2:$E$1602,'Source Data'!$B$2:$B$1602,$A67))</f>
        <v/>
      </c>
      <c r="L67" s="6" t="str">
        <f aca="false">IF(COUNTIFS('Source Data'!$B$2:$B$1602,$A67,'Source Data'!$F$2:$F$1602,"&lt;&gt;")=0,"",AVERAGEIF('Source Data'!$B$2:$B$1602,$A67,'Source Data'!$F$2:$F$1602))</f>
        <v/>
      </c>
      <c r="M67" s="6" t="str">
        <f aca="false">IF(COUNTIFS('Source Data'!$B$2:$B$1602,$A67,'Source Data'!$F$2:$F$1602,"&lt;&gt;")=0,"",_xlfn.MINIFS('Source Data'!$F$2:$F$1602,'Source Data'!$B$2:$B$1602,$A67))</f>
        <v/>
      </c>
      <c r="N67" s="6" t="str">
        <f aca="false">IF(COUNTIFS('Source Data'!$B$2:$B$1602,$A67,'Source Data'!$F$2:$F$1602,"&lt;&gt;")=0,"",_xlfn.MAXIFS('Source Data'!$F$2:$F$1602,'Source Data'!$B$2:$B$1602,$A67))</f>
        <v/>
      </c>
    </row>
    <row r="68" customFormat="false" ht="15" hidden="false" customHeight="false" outlineLevel="0" collapsed="false">
      <c r="A68" s="5" t="s">
        <v>201</v>
      </c>
      <c r="B68" s="7" t="n">
        <f aca="false">COUNTIF('Source Data'!$B$2:$B$1602,$A68)</f>
        <v>1</v>
      </c>
      <c r="C68" s="6" t="n">
        <f aca="false">IF(COUNTIFS('Source Data'!$B$2:$B$1602,$A68,'Source Data'!$C$2:$C$1602,"&lt;&gt;")=0,"",AVERAGEIF('Source Data'!$B$2:$B$1602,$A68,'Source Data'!$C$2:$C$1602))</f>
        <v>30</v>
      </c>
      <c r="D68" s="6" t="n">
        <f aca="false">IF(COUNTIFS('Source Data'!$B$2:$B$1602,$A68,'Source Data'!$C$2:$C$1602,"&lt;&gt;")=0,"",_xlfn.MINIFS('Source Data'!$C$2:$C$1602,'Source Data'!$B$2:$B$1602,$A68))</f>
        <v>30</v>
      </c>
      <c r="E68" s="6" t="n">
        <f aca="false">IF(COUNTIFS('Source Data'!$B$2:$B$1602,$A68,'Source Data'!$C$2:$C$1602,"&lt;&gt;")=0,"",_xlfn.MAXIFS('Source Data'!$C$2:$C$1602,'Source Data'!$B$2:$B$1602,$A68))</f>
        <v>30</v>
      </c>
      <c r="F68" s="6" t="n">
        <f aca="false">IF(COUNTIFS('Source Data'!$B$2:$B$1602,$A68,'Source Data'!$D$2:$D$1602,"&lt;&gt;")=0,"",AVERAGEIF('Source Data'!$B$2:$B$1602,$A68,'Source Data'!$D$2:$D$1602))</f>
        <v>15</v>
      </c>
      <c r="G68" s="6" t="n">
        <f aca="false">IF(COUNTIFS('Source Data'!$B$2:$B$1602,$A68,'Source Data'!$D$2:$D$1602,"&lt;&gt;")=0,"",_xlfn.MINIFS('Source Data'!$D$2:$D$1602,'Source Data'!$B$2:$B$1602,$A68))</f>
        <v>15</v>
      </c>
      <c r="H68" s="6" t="n">
        <f aca="false">IF(COUNTIFS('Source Data'!$B$2:$B$1602,$A68,'Source Data'!$D$2:$D$1602,"&lt;&gt;")=0,"",_xlfn.MAXIFS('Source Data'!$D$2:$D$1602,'Source Data'!$B$2:$B$1602,$A68))</f>
        <v>15</v>
      </c>
      <c r="I68" s="6" t="n">
        <f aca="false">IF(COUNTIFS('Source Data'!$B$2:$B$1602,$A68,'Source Data'!$E$2:$E$1602,"&lt;&gt;")=0,"",AVERAGEIF('Source Data'!$B$2:$B$1602,$A68,'Source Data'!$E$2:$E$1602))</f>
        <v>30</v>
      </c>
      <c r="J68" s="6" t="n">
        <f aca="false">IF(COUNTIFS('Source Data'!$B$2:$B$1602,$A68,'Source Data'!$E$2:$E$1602,"&lt;&gt;")=0,"",_xlfn.MINIFS('Source Data'!$E$2:$E$1602,'Source Data'!$B$2:$B$1602,$A68))</f>
        <v>30</v>
      </c>
      <c r="K68" s="6" t="n">
        <f aca="false">IF(COUNTIFS('Source Data'!$B$2:$B$1602,$A68,'Source Data'!$E$2:$E$1602,"&lt;&gt;")=0,"",_xlfn.MAXIFS('Source Data'!$E$2:$E$1602,'Source Data'!$B$2:$B$1602,$A68))</f>
        <v>30</v>
      </c>
      <c r="L68" s="6" t="str">
        <f aca="false">IF(COUNTIFS('Source Data'!$B$2:$B$1602,$A68,'Source Data'!$F$2:$F$1602,"&lt;&gt;")=0,"",AVERAGEIF('Source Data'!$B$2:$B$1602,$A68,'Source Data'!$F$2:$F$1602))</f>
        <v/>
      </c>
      <c r="M68" s="6" t="str">
        <f aca="false">IF(COUNTIFS('Source Data'!$B$2:$B$1602,$A68,'Source Data'!$F$2:$F$1602,"&lt;&gt;")=0,"",_xlfn.MINIFS('Source Data'!$F$2:$F$1602,'Source Data'!$B$2:$B$1602,$A68))</f>
        <v/>
      </c>
      <c r="N68" s="6" t="str">
        <f aca="false">IF(COUNTIFS('Source Data'!$B$2:$B$1602,$A68,'Source Data'!$F$2:$F$1602,"&lt;&gt;")=0,"",_xlfn.MAXIFS('Source Data'!$F$2:$F$1602,'Source Data'!$B$2:$B$1602,$A68))</f>
        <v/>
      </c>
    </row>
    <row r="69" customFormat="false" ht="15" hidden="false" customHeight="false" outlineLevel="0" collapsed="false">
      <c r="A69" s="5" t="s">
        <v>929</v>
      </c>
      <c r="B69" s="7" t="n">
        <f aca="false">COUNTIF('Source Data'!$B$2:$B$1602,$A69)</f>
        <v>1</v>
      </c>
      <c r="C69" s="6" t="n">
        <f aca="false">IF(COUNTIFS('Source Data'!$B$2:$B$1602,$A69,'Source Data'!$C$2:$C$1602,"&lt;&gt;")=0,"",AVERAGEIF('Source Data'!$B$2:$B$1602,$A69,'Source Data'!$C$2:$C$1602))</f>
        <v>12</v>
      </c>
      <c r="D69" s="6" t="n">
        <f aca="false">IF(COUNTIFS('Source Data'!$B$2:$B$1602,$A69,'Source Data'!$C$2:$C$1602,"&lt;&gt;")=0,"",_xlfn.MINIFS('Source Data'!$C$2:$C$1602,'Source Data'!$B$2:$B$1602,$A69))</f>
        <v>12</v>
      </c>
      <c r="E69" s="6" t="n">
        <f aca="false">IF(COUNTIFS('Source Data'!$B$2:$B$1602,$A69,'Source Data'!$C$2:$C$1602,"&lt;&gt;")=0,"",_xlfn.MAXIFS('Source Data'!$C$2:$C$1602,'Source Data'!$B$2:$B$1602,$A69))</f>
        <v>12</v>
      </c>
      <c r="F69" s="6" t="n">
        <f aca="false">IF(COUNTIFS('Source Data'!$B$2:$B$1602,$A69,'Source Data'!$D$2:$D$1602,"&lt;&gt;")=0,"",AVERAGEIF('Source Data'!$B$2:$B$1602,$A69,'Source Data'!$D$2:$D$1602))</f>
        <v>12</v>
      </c>
      <c r="G69" s="6" t="n">
        <f aca="false">IF(COUNTIFS('Source Data'!$B$2:$B$1602,$A69,'Source Data'!$D$2:$D$1602,"&lt;&gt;")=0,"",_xlfn.MINIFS('Source Data'!$D$2:$D$1602,'Source Data'!$B$2:$B$1602,$A69))</f>
        <v>12</v>
      </c>
      <c r="H69" s="6" t="n">
        <f aca="false">IF(COUNTIFS('Source Data'!$B$2:$B$1602,$A69,'Source Data'!$D$2:$D$1602,"&lt;&gt;")=0,"",_xlfn.MAXIFS('Source Data'!$D$2:$D$1602,'Source Data'!$B$2:$B$1602,$A69))</f>
        <v>12</v>
      </c>
      <c r="I69" s="6" t="str">
        <f aca="false">IF(COUNTIFS('Source Data'!$B$2:$B$1602,$A69,'Source Data'!$E$2:$E$1602,"&lt;&gt;")=0,"",AVERAGEIF('Source Data'!$B$2:$B$1602,$A69,'Source Data'!$E$2:$E$1602))</f>
        <v/>
      </c>
      <c r="J69" s="6" t="str">
        <f aca="false">IF(COUNTIFS('Source Data'!$B$2:$B$1602,$A69,'Source Data'!$E$2:$E$1602,"&lt;&gt;")=0,"",_xlfn.MINIFS('Source Data'!$E$2:$E$1602,'Source Data'!$B$2:$B$1602,$A69))</f>
        <v/>
      </c>
      <c r="K69" s="6" t="str">
        <f aca="false">IF(COUNTIFS('Source Data'!$B$2:$B$1602,$A69,'Source Data'!$E$2:$E$1602,"&lt;&gt;")=0,"",_xlfn.MAXIFS('Source Data'!$E$2:$E$1602,'Source Data'!$B$2:$B$1602,$A69))</f>
        <v/>
      </c>
      <c r="L69" s="6" t="str">
        <f aca="false">IF(COUNTIFS('Source Data'!$B$2:$B$1602,$A69,'Source Data'!$F$2:$F$1602,"&lt;&gt;")=0,"",AVERAGEIF('Source Data'!$B$2:$B$1602,$A69,'Source Data'!$F$2:$F$1602))</f>
        <v/>
      </c>
      <c r="M69" s="6" t="str">
        <f aca="false">IF(COUNTIFS('Source Data'!$B$2:$B$1602,$A69,'Source Data'!$F$2:$F$1602,"&lt;&gt;")=0,"",_xlfn.MINIFS('Source Data'!$F$2:$F$1602,'Source Data'!$B$2:$B$1602,$A69))</f>
        <v/>
      </c>
      <c r="N69" s="6" t="str">
        <f aca="false">IF(COUNTIFS('Source Data'!$B$2:$B$1602,$A69,'Source Data'!$F$2:$F$1602,"&lt;&gt;")=0,"",_xlfn.MAXIFS('Source Data'!$F$2:$F$1602,'Source Data'!$B$2:$B$1602,$A69))</f>
        <v/>
      </c>
    </row>
    <row r="70" customFormat="false" ht="15" hidden="false" customHeight="false" outlineLevel="0" collapsed="false">
      <c r="A70" s="5" t="s">
        <v>931</v>
      </c>
      <c r="B70" s="7" t="n">
        <f aca="false">COUNTIF('Source Data'!$B$2:$B$1602,$A70)</f>
        <v>1</v>
      </c>
      <c r="C70" s="6" t="n">
        <f aca="false">IF(COUNTIFS('Source Data'!$B$2:$B$1602,$A70,'Source Data'!$C$2:$C$1602,"&lt;&gt;")=0,"",AVERAGEIF('Source Data'!$B$2:$B$1602,$A70,'Source Data'!$C$2:$C$1602))</f>
        <v>1</v>
      </c>
      <c r="D70" s="6" t="n">
        <f aca="false">IF(COUNTIFS('Source Data'!$B$2:$B$1602,$A70,'Source Data'!$C$2:$C$1602,"&lt;&gt;")=0,"",_xlfn.MINIFS('Source Data'!$C$2:$C$1602,'Source Data'!$B$2:$B$1602,$A70))</f>
        <v>1</v>
      </c>
      <c r="E70" s="6" t="n">
        <f aca="false">IF(COUNTIFS('Source Data'!$B$2:$B$1602,$A70,'Source Data'!$C$2:$C$1602,"&lt;&gt;")=0,"",_xlfn.MAXIFS('Source Data'!$C$2:$C$1602,'Source Data'!$B$2:$B$1602,$A70))</f>
        <v>1</v>
      </c>
      <c r="F70" s="6" t="n">
        <f aca="false">IF(COUNTIFS('Source Data'!$B$2:$B$1602,$A70,'Source Data'!$D$2:$D$1602,"&lt;&gt;")=0,"",AVERAGEIF('Source Data'!$B$2:$B$1602,$A70,'Source Data'!$D$2:$D$1602))</f>
        <v>0</v>
      </c>
      <c r="G70" s="6" t="n">
        <f aca="false">IF(COUNTIFS('Source Data'!$B$2:$B$1602,$A70,'Source Data'!$D$2:$D$1602,"&lt;&gt;")=0,"",_xlfn.MINIFS('Source Data'!$D$2:$D$1602,'Source Data'!$B$2:$B$1602,$A70))</f>
        <v>0</v>
      </c>
      <c r="H70" s="6" t="n">
        <f aca="false">IF(COUNTIFS('Source Data'!$B$2:$B$1602,$A70,'Source Data'!$D$2:$D$1602,"&lt;&gt;")=0,"",_xlfn.MAXIFS('Source Data'!$D$2:$D$1602,'Source Data'!$B$2:$B$1602,$A70))</f>
        <v>0</v>
      </c>
      <c r="I70" s="6" t="str">
        <f aca="false">IF(COUNTIFS('Source Data'!$B$2:$B$1602,$A70,'Source Data'!$E$2:$E$1602,"&lt;&gt;")=0,"",AVERAGEIF('Source Data'!$B$2:$B$1602,$A70,'Source Data'!$E$2:$E$1602))</f>
        <v/>
      </c>
      <c r="J70" s="6" t="str">
        <f aca="false">IF(COUNTIFS('Source Data'!$B$2:$B$1602,$A70,'Source Data'!$E$2:$E$1602,"&lt;&gt;")=0,"",_xlfn.MINIFS('Source Data'!$E$2:$E$1602,'Source Data'!$B$2:$B$1602,$A70))</f>
        <v/>
      </c>
      <c r="K70" s="6" t="str">
        <f aca="false">IF(COUNTIFS('Source Data'!$B$2:$B$1602,$A70,'Source Data'!$E$2:$E$1602,"&lt;&gt;")=0,"",_xlfn.MAXIFS('Source Data'!$E$2:$E$1602,'Source Data'!$B$2:$B$1602,$A70))</f>
        <v/>
      </c>
      <c r="L70" s="6" t="str">
        <f aca="false">IF(COUNTIFS('Source Data'!$B$2:$B$1602,$A70,'Source Data'!$F$2:$F$1602,"&lt;&gt;")=0,"",AVERAGEIF('Source Data'!$B$2:$B$1602,$A70,'Source Data'!$F$2:$F$1602))</f>
        <v/>
      </c>
      <c r="M70" s="6" t="str">
        <f aca="false">IF(COUNTIFS('Source Data'!$B$2:$B$1602,$A70,'Source Data'!$F$2:$F$1602,"&lt;&gt;")=0,"",_xlfn.MINIFS('Source Data'!$F$2:$F$1602,'Source Data'!$B$2:$B$1602,$A70))</f>
        <v/>
      </c>
      <c r="N70" s="6" t="str">
        <f aca="false">IF(COUNTIFS('Source Data'!$B$2:$B$1602,$A70,'Source Data'!$F$2:$F$1602,"&lt;&gt;")=0,"",_xlfn.MAXIFS('Source Data'!$F$2:$F$1602,'Source Data'!$B$2:$B$1602,$A70))</f>
        <v/>
      </c>
    </row>
    <row r="71" customFormat="false" ht="15" hidden="false" customHeight="false" outlineLevel="0" collapsed="false">
      <c r="A71" s="5" t="s">
        <v>203</v>
      </c>
      <c r="B71" s="7" t="n">
        <f aca="false">COUNTIF('Source Data'!$B$2:$B$1602,$A71)</f>
        <v>7</v>
      </c>
      <c r="C71" s="6" t="n">
        <f aca="false">IF(COUNTIFS('Source Data'!$B$2:$B$1602,$A71,'Source Data'!$C$2:$C$1602,"&lt;&gt;")=0,"",AVERAGEIF('Source Data'!$B$2:$B$1602,$A71,'Source Data'!$C$2:$C$1602))</f>
        <v>14.8571428571429</v>
      </c>
      <c r="D71" s="6" t="n">
        <f aca="false">IF(COUNTIFS('Source Data'!$B$2:$B$1602,$A71,'Source Data'!$C$2:$C$1602,"&lt;&gt;")=0,"",_xlfn.MINIFS('Source Data'!$C$2:$C$1602,'Source Data'!$B$2:$B$1602,$A71))</f>
        <v>2</v>
      </c>
      <c r="E71" s="6" t="n">
        <f aca="false">IF(COUNTIFS('Source Data'!$B$2:$B$1602,$A71,'Source Data'!$C$2:$C$1602,"&lt;&gt;")=0,"",_xlfn.MAXIFS('Source Data'!$C$2:$C$1602,'Source Data'!$B$2:$B$1602,$A71))</f>
        <v>50</v>
      </c>
      <c r="F71" s="6" t="n">
        <f aca="false">IF(COUNTIFS('Source Data'!$B$2:$B$1602,$A71,'Source Data'!$D$2:$D$1602,"&lt;&gt;")=0,"",AVERAGEIF('Source Data'!$B$2:$B$1602,$A71,'Source Data'!$D$2:$D$1602))</f>
        <v>6.66666666666667</v>
      </c>
      <c r="G71" s="6" t="n">
        <f aca="false">IF(COUNTIFS('Source Data'!$B$2:$B$1602,$A71,'Source Data'!$D$2:$D$1602,"&lt;&gt;")=0,"",_xlfn.MINIFS('Source Data'!$D$2:$D$1602,'Source Data'!$B$2:$B$1602,$A71))</f>
        <v>0</v>
      </c>
      <c r="H71" s="6" t="n">
        <f aca="false">IF(COUNTIFS('Source Data'!$B$2:$B$1602,$A71,'Source Data'!$D$2:$D$1602,"&lt;&gt;")=0,"",_xlfn.MAXIFS('Source Data'!$D$2:$D$1602,'Source Data'!$B$2:$B$1602,$A71))</f>
        <v>26</v>
      </c>
      <c r="I71" s="6" t="n">
        <f aca="false">IF(COUNTIFS('Source Data'!$B$2:$B$1602,$A71,'Source Data'!$E$2:$E$1602,"&lt;&gt;")=0,"",AVERAGEIF('Source Data'!$B$2:$B$1602,$A71,'Source Data'!$E$2:$E$1602))</f>
        <v>6</v>
      </c>
      <c r="J71" s="6" t="n">
        <f aca="false">IF(COUNTIFS('Source Data'!$B$2:$B$1602,$A71,'Source Data'!$E$2:$E$1602,"&lt;&gt;")=0,"",_xlfn.MINIFS('Source Data'!$E$2:$E$1602,'Source Data'!$B$2:$B$1602,$A71))</f>
        <v>4</v>
      </c>
      <c r="K71" s="6" t="n">
        <f aca="false">IF(COUNTIFS('Source Data'!$B$2:$B$1602,$A71,'Source Data'!$E$2:$E$1602,"&lt;&gt;")=0,"",_xlfn.MAXIFS('Source Data'!$E$2:$E$1602,'Source Data'!$B$2:$B$1602,$A71))</f>
        <v>8</v>
      </c>
      <c r="L71" s="6" t="str">
        <f aca="false">IF(COUNTIFS('Source Data'!$B$2:$B$1602,$A71,'Source Data'!$F$2:$F$1602,"&lt;&gt;")=0,"",AVERAGEIF('Source Data'!$B$2:$B$1602,$A71,'Source Data'!$F$2:$F$1602))</f>
        <v/>
      </c>
      <c r="M71" s="6" t="str">
        <f aca="false">IF(COUNTIFS('Source Data'!$B$2:$B$1602,$A71,'Source Data'!$F$2:$F$1602,"&lt;&gt;")=0,"",_xlfn.MINIFS('Source Data'!$F$2:$F$1602,'Source Data'!$B$2:$B$1602,$A71))</f>
        <v/>
      </c>
      <c r="N71" s="6" t="str">
        <f aca="false">IF(COUNTIFS('Source Data'!$B$2:$B$1602,$A71,'Source Data'!$F$2:$F$1602,"&lt;&gt;")=0,"",_xlfn.MAXIFS('Source Data'!$F$2:$F$1602,'Source Data'!$B$2:$B$1602,$A71))</f>
        <v/>
      </c>
    </row>
    <row r="72" customFormat="false" ht="15" hidden="false" customHeight="false" outlineLevel="0" collapsed="false">
      <c r="A72" s="5" t="s">
        <v>937</v>
      </c>
      <c r="B72" s="7" t="n">
        <f aca="false">COUNTIF('Source Data'!$B$2:$B$1602,$A72)</f>
        <v>1</v>
      </c>
      <c r="C72" s="6" t="n">
        <f aca="false">IF(COUNTIFS('Source Data'!$B$2:$B$1602,$A72,'Source Data'!$C$2:$C$1602,"&lt;&gt;")=0,"",AVERAGEIF('Source Data'!$B$2:$B$1602,$A72,'Source Data'!$C$2:$C$1602))</f>
        <v>12</v>
      </c>
      <c r="D72" s="6" t="n">
        <f aca="false">IF(COUNTIFS('Source Data'!$B$2:$B$1602,$A72,'Source Data'!$C$2:$C$1602,"&lt;&gt;")=0,"",_xlfn.MINIFS('Source Data'!$C$2:$C$1602,'Source Data'!$B$2:$B$1602,$A72))</f>
        <v>12</v>
      </c>
      <c r="E72" s="6" t="n">
        <f aca="false">IF(COUNTIFS('Source Data'!$B$2:$B$1602,$A72,'Source Data'!$C$2:$C$1602,"&lt;&gt;")=0,"",_xlfn.MAXIFS('Source Data'!$C$2:$C$1602,'Source Data'!$B$2:$B$1602,$A72))</f>
        <v>12</v>
      </c>
      <c r="F72" s="6" t="n">
        <f aca="false">IF(COUNTIFS('Source Data'!$B$2:$B$1602,$A72,'Source Data'!$D$2:$D$1602,"&lt;&gt;")=0,"",AVERAGEIF('Source Data'!$B$2:$B$1602,$A72,'Source Data'!$D$2:$D$1602))</f>
        <v>0</v>
      </c>
      <c r="G72" s="6" t="n">
        <f aca="false">IF(COUNTIFS('Source Data'!$B$2:$B$1602,$A72,'Source Data'!$D$2:$D$1602,"&lt;&gt;")=0,"",_xlfn.MINIFS('Source Data'!$D$2:$D$1602,'Source Data'!$B$2:$B$1602,$A72))</f>
        <v>0</v>
      </c>
      <c r="H72" s="6" t="n">
        <f aca="false">IF(COUNTIFS('Source Data'!$B$2:$B$1602,$A72,'Source Data'!$D$2:$D$1602,"&lt;&gt;")=0,"",_xlfn.MAXIFS('Source Data'!$D$2:$D$1602,'Source Data'!$B$2:$B$1602,$A72))</f>
        <v>0</v>
      </c>
      <c r="I72" s="6" t="str">
        <f aca="false">IF(COUNTIFS('Source Data'!$B$2:$B$1602,$A72,'Source Data'!$E$2:$E$1602,"&lt;&gt;")=0,"",AVERAGEIF('Source Data'!$B$2:$B$1602,$A72,'Source Data'!$E$2:$E$1602))</f>
        <v/>
      </c>
      <c r="J72" s="6" t="str">
        <f aca="false">IF(COUNTIFS('Source Data'!$B$2:$B$1602,$A72,'Source Data'!$E$2:$E$1602,"&lt;&gt;")=0,"",_xlfn.MINIFS('Source Data'!$E$2:$E$1602,'Source Data'!$B$2:$B$1602,$A72))</f>
        <v/>
      </c>
      <c r="K72" s="6" t="str">
        <f aca="false">IF(COUNTIFS('Source Data'!$B$2:$B$1602,$A72,'Source Data'!$E$2:$E$1602,"&lt;&gt;")=0,"",_xlfn.MAXIFS('Source Data'!$E$2:$E$1602,'Source Data'!$B$2:$B$1602,$A72))</f>
        <v/>
      </c>
      <c r="L72" s="6" t="str">
        <f aca="false">IF(COUNTIFS('Source Data'!$B$2:$B$1602,$A72,'Source Data'!$F$2:$F$1602,"&lt;&gt;")=0,"",AVERAGEIF('Source Data'!$B$2:$B$1602,$A72,'Source Data'!$F$2:$F$1602))</f>
        <v/>
      </c>
      <c r="M72" s="6" t="str">
        <f aca="false">IF(COUNTIFS('Source Data'!$B$2:$B$1602,$A72,'Source Data'!$F$2:$F$1602,"&lt;&gt;")=0,"",_xlfn.MINIFS('Source Data'!$F$2:$F$1602,'Source Data'!$B$2:$B$1602,$A72))</f>
        <v/>
      </c>
      <c r="N72" s="6" t="str">
        <f aca="false">IF(COUNTIFS('Source Data'!$B$2:$B$1602,$A72,'Source Data'!$F$2:$F$1602,"&lt;&gt;")=0,"",_xlfn.MAXIFS('Source Data'!$F$2:$F$1602,'Source Data'!$B$2:$B$1602,$A72))</f>
        <v/>
      </c>
    </row>
    <row r="73" customFormat="false" ht="15" hidden="false" customHeight="false" outlineLevel="0" collapsed="false">
      <c r="A73" s="5" t="s">
        <v>939</v>
      </c>
      <c r="B73" s="7" t="n">
        <f aca="false">COUNTIF('Source Data'!$B$2:$B$1602,$A73)</f>
        <v>4</v>
      </c>
      <c r="C73" s="6" t="n">
        <f aca="false">IF(COUNTIFS('Source Data'!$B$2:$B$1602,$A73,'Source Data'!$C$2:$C$1602,"&lt;&gt;")=0,"",AVERAGEIF('Source Data'!$B$2:$B$1602,$A73,'Source Data'!$C$2:$C$1602))</f>
        <v>7</v>
      </c>
      <c r="D73" s="6" t="n">
        <f aca="false">IF(COUNTIFS('Source Data'!$B$2:$B$1602,$A73,'Source Data'!$C$2:$C$1602,"&lt;&gt;")=0,"",_xlfn.MINIFS('Source Data'!$C$2:$C$1602,'Source Data'!$B$2:$B$1602,$A73))</f>
        <v>4</v>
      </c>
      <c r="E73" s="6" t="n">
        <f aca="false">IF(COUNTIFS('Source Data'!$B$2:$B$1602,$A73,'Source Data'!$C$2:$C$1602,"&lt;&gt;")=0,"",_xlfn.MAXIFS('Source Data'!$C$2:$C$1602,'Source Data'!$B$2:$B$1602,$A73))</f>
        <v>8</v>
      </c>
      <c r="F73" s="6" t="n">
        <f aca="false">IF(COUNTIFS('Source Data'!$B$2:$B$1602,$A73,'Source Data'!$D$2:$D$1602,"&lt;&gt;")=0,"",AVERAGEIF('Source Data'!$B$2:$B$1602,$A73,'Source Data'!$D$2:$D$1602))</f>
        <v>2.5</v>
      </c>
      <c r="G73" s="6" t="n">
        <f aca="false">IF(COUNTIFS('Source Data'!$B$2:$B$1602,$A73,'Source Data'!$D$2:$D$1602,"&lt;&gt;")=0,"",_xlfn.MINIFS('Source Data'!$D$2:$D$1602,'Source Data'!$B$2:$B$1602,$A73))</f>
        <v>0</v>
      </c>
      <c r="H73" s="6" t="n">
        <f aca="false">IF(COUNTIFS('Source Data'!$B$2:$B$1602,$A73,'Source Data'!$D$2:$D$1602,"&lt;&gt;")=0,"",_xlfn.MAXIFS('Source Data'!$D$2:$D$1602,'Source Data'!$B$2:$B$1602,$A73))</f>
        <v>8</v>
      </c>
      <c r="I73" s="6" t="str">
        <f aca="false">IF(COUNTIFS('Source Data'!$B$2:$B$1602,$A73,'Source Data'!$E$2:$E$1602,"&lt;&gt;")=0,"",AVERAGEIF('Source Data'!$B$2:$B$1602,$A73,'Source Data'!$E$2:$E$1602))</f>
        <v/>
      </c>
      <c r="J73" s="6" t="str">
        <f aca="false">IF(COUNTIFS('Source Data'!$B$2:$B$1602,$A73,'Source Data'!$E$2:$E$1602,"&lt;&gt;")=0,"",_xlfn.MINIFS('Source Data'!$E$2:$E$1602,'Source Data'!$B$2:$B$1602,$A73))</f>
        <v/>
      </c>
      <c r="K73" s="6" t="str">
        <f aca="false">IF(COUNTIFS('Source Data'!$B$2:$B$1602,$A73,'Source Data'!$E$2:$E$1602,"&lt;&gt;")=0,"",_xlfn.MAXIFS('Source Data'!$E$2:$E$1602,'Source Data'!$B$2:$B$1602,$A73))</f>
        <v/>
      </c>
      <c r="L73" s="6" t="str">
        <f aca="false">IF(COUNTIFS('Source Data'!$B$2:$B$1602,$A73,'Source Data'!$F$2:$F$1602,"&lt;&gt;")=0,"",AVERAGEIF('Source Data'!$B$2:$B$1602,$A73,'Source Data'!$F$2:$F$1602))</f>
        <v/>
      </c>
      <c r="M73" s="6" t="str">
        <f aca="false">IF(COUNTIFS('Source Data'!$B$2:$B$1602,$A73,'Source Data'!$F$2:$F$1602,"&lt;&gt;")=0,"",_xlfn.MINIFS('Source Data'!$F$2:$F$1602,'Source Data'!$B$2:$B$1602,$A73))</f>
        <v/>
      </c>
      <c r="N73" s="6" t="str">
        <f aca="false">IF(COUNTIFS('Source Data'!$B$2:$B$1602,$A73,'Source Data'!$F$2:$F$1602,"&lt;&gt;")=0,"",_xlfn.MAXIFS('Source Data'!$F$2:$F$1602,'Source Data'!$B$2:$B$1602,$A73))</f>
        <v/>
      </c>
    </row>
    <row r="74" customFormat="false" ht="15" hidden="false" customHeight="false" outlineLevel="0" collapsed="false">
      <c r="A74" s="5" t="s">
        <v>206</v>
      </c>
      <c r="B74" s="7" t="n">
        <f aca="false">COUNTIF('Source Data'!$B$2:$B$1602,$A74)</f>
        <v>12</v>
      </c>
      <c r="C74" s="6" t="n">
        <f aca="false">IF(COUNTIFS('Source Data'!$B$2:$B$1602,$A74,'Source Data'!$C$2:$C$1602,"&lt;&gt;")=0,"",AVERAGEIF('Source Data'!$B$2:$B$1602,$A74,'Source Data'!$C$2:$C$1602))</f>
        <v>10</v>
      </c>
      <c r="D74" s="6" t="n">
        <f aca="false">IF(COUNTIFS('Source Data'!$B$2:$B$1602,$A74,'Source Data'!$C$2:$C$1602,"&lt;&gt;")=0,"",_xlfn.MINIFS('Source Data'!$C$2:$C$1602,'Source Data'!$B$2:$B$1602,$A74))</f>
        <v>0</v>
      </c>
      <c r="E74" s="6" t="n">
        <f aca="false">IF(COUNTIFS('Source Data'!$B$2:$B$1602,$A74,'Source Data'!$C$2:$C$1602,"&lt;&gt;")=0,"",_xlfn.MAXIFS('Source Data'!$C$2:$C$1602,'Source Data'!$B$2:$B$1602,$A74))</f>
        <v>40</v>
      </c>
      <c r="F74" s="6" t="n">
        <f aca="false">IF(COUNTIFS('Source Data'!$B$2:$B$1602,$A74,'Source Data'!$D$2:$D$1602,"&lt;&gt;")=0,"",AVERAGEIF('Source Data'!$B$2:$B$1602,$A74,'Source Data'!$D$2:$D$1602))</f>
        <v>10.4444444444444</v>
      </c>
      <c r="G74" s="6" t="n">
        <f aca="false">IF(COUNTIFS('Source Data'!$B$2:$B$1602,$A74,'Source Data'!$D$2:$D$1602,"&lt;&gt;")=0,"",_xlfn.MINIFS('Source Data'!$D$2:$D$1602,'Source Data'!$B$2:$B$1602,$A74))</f>
        <v>0</v>
      </c>
      <c r="H74" s="6" t="n">
        <f aca="false">IF(COUNTIFS('Source Data'!$B$2:$B$1602,$A74,'Source Data'!$D$2:$D$1602,"&lt;&gt;")=0,"",_xlfn.MAXIFS('Source Data'!$D$2:$D$1602,'Source Data'!$B$2:$B$1602,$A74))</f>
        <v>30</v>
      </c>
      <c r="I74" s="6" t="n">
        <f aca="false">IF(COUNTIFS('Source Data'!$B$2:$B$1602,$A74,'Source Data'!$E$2:$E$1602,"&lt;&gt;")=0,"",AVERAGEIF('Source Data'!$B$2:$B$1602,$A74,'Source Data'!$E$2:$E$1602))</f>
        <v>4</v>
      </c>
      <c r="J74" s="6" t="n">
        <f aca="false">IF(COUNTIFS('Source Data'!$B$2:$B$1602,$A74,'Source Data'!$E$2:$E$1602,"&lt;&gt;")=0,"",_xlfn.MINIFS('Source Data'!$E$2:$E$1602,'Source Data'!$B$2:$B$1602,$A74))</f>
        <v>2</v>
      </c>
      <c r="K74" s="6" t="n">
        <f aca="false">IF(COUNTIFS('Source Data'!$B$2:$B$1602,$A74,'Source Data'!$E$2:$E$1602,"&lt;&gt;")=0,"",_xlfn.MAXIFS('Source Data'!$E$2:$E$1602,'Source Data'!$B$2:$B$1602,$A74))</f>
        <v>6</v>
      </c>
      <c r="L74" s="6" t="n">
        <f aca="false">IF(COUNTIFS('Source Data'!$B$2:$B$1602,$A74,'Source Data'!$F$2:$F$1602,"&lt;&gt;")=0,"",AVERAGEIF('Source Data'!$B$2:$B$1602,$A74,'Source Data'!$F$2:$F$1602))</f>
        <v>29</v>
      </c>
      <c r="M74" s="6" t="n">
        <f aca="false">IF(COUNTIFS('Source Data'!$B$2:$B$1602,$A74,'Source Data'!$F$2:$F$1602,"&lt;&gt;")=0,"",_xlfn.MINIFS('Source Data'!$F$2:$F$1602,'Source Data'!$B$2:$B$1602,$A74))</f>
        <v>29</v>
      </c>
      <c r="N74" s="6" t="n">
        <f aca="false">IF(COUNTIFS('Source Data'!$B$2:$B$1602,$A74,'Source Data'!$F$2:$F$1602,"&lt;&gt;")=0,"",_xlfn.MAXIFS('Source Data'!$F$2:$F$1602,'Source Data'!$B$2:$B$1602,$A74))</f>
        <v>29</v>
      </c>
    </row>
    <row r="75" customFormat="false" ht="15" hidden="false" customHeight="false" outlineLevel="0" collapsed="false">
      <c r="A75" s="5" t="s">
        <v>952</v>
      </c>
      <c r="B75" s="7" t="n">
        <f aca="false">COUNTIF('Source Data'!$B$2:$B$1602,$A75)</f>
        <v>4</v>
      </c>
      <c r="C75" s="6" t="n">
        <f aca="false">IF(COUNTIFS('Source Data'!$B$2:$B$1602,$A75,'Source Data'!$C$2:$C$1602,"&lt;&gt;")=0,"",AVERAGEIF('Source Data'!$B$2:$B$1602,$A75,'Source Data'!$C$2:$C$1602))</f>
        <v>9.125</v>
      </c>
      <c r="D75" s="6" t="n">
        <f aca="false">IF(COUNTIFS('Source Data'!$B$2:$B$1602,$A75,'Source Data'!$C$2:$C$1602,"&lt;&gt;")=0,"",_xlfn.MINIFS('Source Data'!$C$2:$C$1602,'Source Data'!$B$2:$B$1602,$A75))</f>
        <v>2</v>
      </c>
      <c r="E75" s="6" t="n">
        <f aca="false">IF(COUNTIFS('Source Data'!$B$2:$B$1602,$A75,'Source Data'!$C$2:$C$1602,"&lt;&gt;")=0,"",_xlfn.MAXIFS('Source Data'!$C$2:$C$1602,'Source Data'!$B$2:$B$1602,$A75))</f>
        <v>12</v>
      </c>
      <c r="F75" s="6" t="n">
        <f aca="false">IF(COUNTIFS('Source Data'!$B$2:$B$1602,$A75,'Source Data'!$D$2:$D$1602,"&lt;&gt;")=0,"",AVERAGEIF('Source Data'!$B$2:$B$1602,$A75,'Source Data'!$D$2:$D$1602))</f>
        <v>13.375</v>
      </c>
      <c r="G75" s="6" t="n">
        <f aca="false">IF(COUNTIFS('Source Data'!$B$2:$B$1602,$A75,'Source Data'!$D$2:$D$1602,"&lt;&gt;")=0,"",_xlfn.MINIFS('Source Data'!$D$2:$D$1602,'Source Data'!$B$2:$B$1602,$A75))</f>
        <v>4</v>
      </c>
      <c r="H75" s="6" t="n">
        <f aca="false">IF(COUNTIFS('Source Data'!$B$2:$B$1602,$A75,'Source Data'!$D$2:$D$1602,"&lt;&gt;")=0,"",_xlfn.MAXIFS('Source Data'!$D$2:$D$1602,'Source Data'!$B$2:$B$1602,$A75))</f>
        <v>27.5</v>
      </c>
      <c r="I75" s="6" t="str">
        <f aca="false">IF(COUNTIFS('Source Data'!$B$2:$B$1602,$A75,'Source Data'!$E$2:$E$1602,"&lt;&gt;")=0,"",AVERAGEIF('Source Data'!$B$2:$B$1602,$A75,'Source Data'!$E$2:$E$1602))</f>
        <v/>
      </c>
      <c r="J75" s="6" t="str">
        <f aca="false">IF(COUNTIFS('Source Data'!$B$2:$B$1602,$A75,'Source Data'!$E$2:$E$1602,"&lt;&gt;")=0,"",_xlfn.MINIFS('Source Data'!$E$2:$E$1602,'Source Data'!$B$2:$B$1602,$A75))</f>
        <v/>
      </c>
      <c r="K75" s="6" t="str">
        <f aca="false">IF(COUNTIFS('Source Data'!$B$2:$B$1602,$A75,'Source Data'!$E$2:$E$1602,"&lt;&gt;")=0,"",_xlfn.MAXIFS('Source Data'!$E$2:$E$1602,'Source Data'!$B$2:$B$1602,$A75))</f>
        <v/>
      </c>
      <c r="L75" s="6" t="str">
        <f aca="false">IF(COUNTIFS('Source Data'!$B$2:$B$1602,$A75,'Source Data'!$F$2:$F$1602,"&lt;&gt;")=0,"",AVERAGEIF('Source Data'!$B$2:$B$1602,$A75,'Source Data'!$F$2:$F$1602))</f>
        <v/>
      </c>
      <c r="M75" s="6" t="str">
        <f aca="false">IF(COUNTIFS('Source Data'!$B$2:$B$1602,$A75,'Source Data'!$F$2:$F$1602,"&lt;&gt;")=0,"",_xlfn.MINIFS('Source Data'!$F$2:$F$1602,'Source Data'!$B$2:$B$1602,$A75))</f>
        <v/>
      </c>
      <c r="N75" s="6" t="str">
        <f aca="false">IF(COUNTIFS('Source Data'!$B$2:$B$1602,$A75,'Source Data'!$F$2:$F$1602,"&lt;&gt;")=0,"",_xlfn.MAXIFS('Source Data'!$F$2:$F$1602,'Source Data'!$B$2:$B$1602,$A75))</f>
        <v/>
      </c>
    </row>
    <row r="76" customFormat="false" ht="15" hidden="false" customHeight="false" outlineLevel="0" collapsed="false">
      <c r="A76" s="5" t="s">
        <v>209</v>
      </c>
      <c r="B76" s="7" t="n">
        <f aca="false">COUNTIF('Source Data'!$B$2:$B$1602,$A76)</f>
        <v>6</v>
      </c>
      <c r="C76" s="6" t="n">
        <f aca="false">IF(COUNTIFS('Source Data'!$B$2:$B$1602,$A76,'Source Data'!$C$2:$C$1602,"&lt;&gt;")=0,"",AVERAGEIF('Source Data'!$B$2:$B$1602,$A76,'Source Data'!$C$2:$C$1602))</f>
        <v>6.5</v>
      </c>
      <c r="D76" s="6" t="n">
        <f aca="false">IF(COUNTIFS('Source Data'!$B$2:$B$1602,$A76,'Source Data'!$C$2:$C$1602,"&lt;&gt;")=0,"",_xlfn.MINIFS('Source Data'!$C$2:$C$1602,'Source Data'!$B$2:$B$1602,$A76))</f>
        <v>4</v>
      </c>
      <c r="E76" s="6" t="n">
        <f aca="false">IF(COUNTIFS('Source Data'!$B$2:$B$1602,$A76,'Source Data'!$C$2:$C$1602,"&lt;&gt;")=0,"",_xlfn.MAXIFS('Source Data'!$C$2:$C$1602,'Source Data'!$B$2:$B$1602,$A76))</f>
        <v>12</v>
      </c>
      <c r="F76" s="6" t="n">
        <f aca="false">IF(COUNTIFS('Source Data'!$B$2:$B$1602,$A76,'Source Data'!$D$2:$D$1602,"&lt;&gt;")=0,"",AVERAGEIF('Source Data'!$B$2:$B$1602,$A76,'Source Data'!$D$2:$D$1602))</f>
        <v>5.6</v>
      </c>
      <c r="G76" s="6" t="n">
        <f aca="false">IF(COUNTIFS('Source Data'!$B$2:$B$1602,$A76,'Source Data'!$D$2:$D$1602,"&lt;&gt;")=0,"",_xlfn.MINIFS('Source Data'!$D$2:$D$1602,'Source Data'!$B$2:$B$1602,$A76))</f>
        <v>0</v>
      </c>
      <c r="H76" s="6" t="n">
        <f aca="false">IF(COUNTIFS('Source Data'!$B$2:$B$1602,$A76,'Source Data'!$D$2:$D$1602,"&lt;&gt;")=0,"",_xlfn.MAXIFS('Source Data'!$D$2:$D$1602,'Source Data'!$B$2:$B$1602,$A76))</f>
        <v>10</v>
      </c>
      <c r="I76" s="6" t="n">
        <f aca="false">IF(COUNTIFS('Source Data'!$B$2:$B$1602,$A76,'Source Data'!$E$2:$E$1602,"&lt;&gt;")=0,"",AVERAGEIF('Source Data'!$B$2:$B$1602,$A76,'Source Data'!$E$2:$E$1602))</f>
        <v>3</v>
      </c>
      <c r="J76" s="6" t="n">
        <f aca="false">IF(COUNTIFS('Source Data'!$B$2:$B$1602,$A76,'Source Data'!$E$2:$E$1602,"&lt;&gt;")=0,"",_xlfn.MINIFS('Source Data'!$E$2:$E$1602,'Source Data'!$B$2:$B$1602,$A76))</f>
        <v>2</v>
      </c>
      <c r="K76" s="6" t="n">
        <f aca="false">IF(COUNTIFS('Source Data'!$B$2:$B$1602,$A76,'Source Data'!$E$2:$E$1602,"&lt;&gt;")=0,"",_xlfn.MAXIFS('Source Data'!$E$2:$E$1602,'Source Data'!$B$2:$B$1602,$A76))</f>
        <v>4</v>
      </c>
      <c r="L76" s="6" t="str">
        <f aca="false">IF(COUNTIFS('Source Data'!$B$2:$B$1602,$A76,'Source Data'!$F$2:$F$1602,"&lt;&gt;")=0,"",AVERAGEIF('Source Data'!$B$2:$B$1602,$A76,'Source Data'!$F$2:$F$1602))</f>
        <v/>
      </c>
      <c r="M76" s="6" t="str">
        <f aca="false">IF(COUNTIFS('Source Data'!$B$2:$B$1602,$A76,'Source Data'!$F$2:$F$1602,"&lt;&gt;")=0,"",_xlfn.MINIFS('Source Data'!$F$2:$F$1602,'Source Data'!$B$2:$B$1602,$A76))</f>
        <v/>
      </c>
      <c r="N76" s="6" t="str">
        <f aca="false">IF(COUNTIFS('Source Data'!$B$2:$B$1602,$A76,'Source Data'!$F$2:$F$1602,"&lt;&gt;")=0,"",_xlfn.MAXIFS('Source Data'!$F$2:$F$1602,'Source Data'!$B$2:$B$1602,$A76))</f>
        <v/>
      </c>
    </row>
    <row r="77" customFormat="false" ht="15" hidden="false" customHeight="false" outlineLevel="0" collapsed="false">
      <c r="A77" s="5" t="s">
        <v>211</v>
      </c>
      <c r="B77" s="7" t="n">
        <f aca="false">COUNTIF('Source Data'!$B$2:$B$1602,$A77)</f>
        <v>9</v>
      </c>
      <c r="C77" s="6" t="n">
        <f aca="false">IF(COUNTIFS('Source Data'!$B$2:$B$1602,$A77,'Source Data'!$C$2:$C$1602,"&lt;&gt;")=0,"",AVERAGEIF('Source Data'!$B$2:$B$1602,$A77,'Source Data'!$C$2:$C$1602))</f>
        <v>6.66666666666667</v>
      </c>
      <c r="D77" s="6" t="n">
        <f aca="false">IF(COUNTIFS('Source Data'!$B$2:$B$1602,$A77,'Source Data'!$C$2:$C$1602,"&lt;&gt;")=0,"",_xlfn.MINIFS('Source Data'!$C$2:$C$1602,'Source Data'!$B$2:$B$1602,$A77))</f>
        <v>0</v>
      </c>
      <c r="E77" s="6" t="n">
        <f aca="false">IF(COUNTIFS('Source Data'!$B$2:$B$1602,$A77,'Source Data'!$C$2:$C$1602,"&lt;&gt;")=0,"",_xlfn.MAXIFS('Source Data'!$C$2:$C$1602,'Source Data'!$B$2:$B$1602,$A77))</f>
        <v>12</v>
      </c>
      <c r="F77" s="6" t="n">
        <f aca="false">IF(COUNTIFS('Source Data'!$B$2:$B$1602,$A77,'Source Data'!$D$2:$D$1602,"&lt;&gt;")=0,"",AVERAGEIF('Source Data'!$B$2:$B$1602,$A77,'Source Data'!$D$2:$D$1602))</f>
        <v>9.25</v>
      </c>
      <c r="G77" s="6" t="n">
        <f aca="false">IF(COUNTIFS('Source Data'!$B$2:$B$1602,$A77,'Source Data'!$D$2:$D$1602,"&lt;&gt;")=0,"",_xlfn.MINIFS('Source Data'!$D$2:$D$1602,'Source Data'!$B$2:$B$1602,$A77))</f>
        <v>4</v>
      </c>
      <c r="H77" s="6" t="n">
        <f aca="false">IF(COUNTIFS('Source Data'!$B$2:$B$1602,$A77,'Source Data'!$D$2:$D$1602,"&lt;&gt;")=0,"",_xlfn.MAXIFS('Source Data'!$D$2:$D$1602,'Source Data'!$B$2:$B$1602,$A77))</f>
        <v>12</v>
      </c>
      <c r="I77" s="6" t="str">
        <f aca="false">IF(COUNTIFS('Source Data'!$B$2:$B$1602,$A77,'Source Data'!$E$2:$E$1602,"&lt;&gt;")=0,"",AVERAGEIF('Source Data'!$B$2:$B$1602,$A77,'Source Data'!$E$2:$E$1602))</f>
        <v/>
      </c>
      <c r="J77" s="6" t="str">
        <f aca="false">IF(COUNTIFS('Source Data'!$B$2:$B$1602,$A77,'Source Data'!$E$2:$E$1602,"&lt;&gt;")=0,"",_xlfn.MINIFS('Source Data'!$E$2:$E$1602,'Source Data'!$B$2:$B$1602,$A77))</f>
        <v/>
      </c>
      <c r="K77" s="6" t="str">
        <f aca="false">IF(COUNTIFS('Source Data'!$B$2:$B$1602,$A77,'Source Data'!$E$2:$E$1602,"&lt;&gt;")=0,"",_xlfn.MAXIFS('Source Data'!$E$2:$E$1602,'Source Data'!$B$2:$B$1602,$A77))</f>
        <v/>
      </c>
      <c r="L77" s="6" t="n">
        <f aca="false">IF(COUNTIFS('Source Data'!$B$2:$B$1602,$A77,'Source Data'!$F$2:$F$1602,"&lt;&gt;")=0,"",AVERAGEIF('Source Data'!$B$2:$B$1602,$A77,'Source Data'!$F$2:$F$1602))</f>
        <v>2</v>
      </c>
      <c r="M77" s="6" t="n">
        <f aca="false">IF(COUNTIFS('Source Data'!$B$2:$B$1602,$A77,'Source Data'!$F$2:$F$1602,"&lt;&gt;")=0,"",_xlfn.MINIFS('Source Data'!$F$2:$F$1602,'Source Data'!$B$2:$B$1602,$A77))</f>
        <v>2</v>
      </c>
      <c r="N77" s="6" t="n">
        <f aca="false">IF(COUNTIFS('Source Data'!$B$2:$B$1602,$A77,'Source Data'!$F$2:$F$1602,"&lt;&gt;")=0,"",_xlfn.MAXIFS('Source Data'!$F$2:$F$1602,'Source Data'!$B$2:$B$1602,$A77))</f>
        <v>2</v>
      </c>
    </row>
    <row r="78" customFormat="false" ht="15" hidden="false" customHeight="false" outlineLevel="0" collapsed="false">
      <c r="A78" s="5" t="s">
        <v>213</v>
      </c>
      <c r="B78" s="7" t="n">
        <f aca="false">COUNTIF('Source Data'!$B$2:$B$1602,$A78)</f>
        <v>4</v>
      </c>
      <c r="C78" s="6" t="n">
        <f aca="false">IF(COUNTIFS('Source Data'!$B$2:$B$1602,$A78,'Source Data'!$C$2:$C$1602,"&lt;&gt;")=0,"",AVERAGEIF('Source Data'!$B$2:$B$1602,$A78,'Source Data'!$C$2:$C$1602))</f>
        <v>9</v>
      </c>
      <c r="D78" s="6" t="n">
        <f aca="false">IF(COUNTIFS('Source Data'!$B$2:$B$1602,$A78,'Source Data'!$C$2:$C$1602,"&lt;&gt;")=0,"",_xlfn.MINIFS('Source Data'!$C$2:$C$1602,'Source Data'!$B$2:$B$1602,$A78))</f>
        <v>0</v>
      </c>
      <c r="E78" s="6" t="n">
        <f aca="false">IF(COUNTIFS('Source Data'!$B$2:$B$1602,$A78,'Source Data'!$C$2:$C$1602,"&lt;&gt;")=0,"",_xlfn.MAXIFS('Source Data'!$C$2:$C$1602,'Source Data'!$B$2:$B$1602,$A78))</f>
        <v>12</v>
      </c>
      <c r="F78" s="6" t="n">
        <f aca="false">IF(COUNTIFS('Source Data'!$B$2:$B$1602,$A78,'Source Data'!$D$2:$D$1602,"&lt;&gt;")=0,"",AVERAGEIF('Source Data'!$B$2:$B$1602,$A78,'Source Data'!$D$2:$D$1602))</f>
        <v>26</v>
      </c>
      <c r="G78" s="6" t="n">
        <f aca="false">IF(COUNTIFS('Source Data'!$B$2:$B$1602,$A78,'Source Data'!$D$2:$D$1602,"&lt;&gt;")=0,"",_xlfn.MINIFS('Source Data'!$D$2:$D$1602,'Source Data'!$B$2:$B$1602,$A78))</f>
        <v>0</v>
      </c>
      <c r="H78" s="6" t="n">
        <f aca="false">IF(COUNTIFS('Source Data'!$B$2:$B$1602,$A78,'Source Data'!$D$2:$D$1602,"&lt;&gt;")=0,"",_xlfn.MAXIFS('Source Data'!$D$2:$D$1602,'Source Data'!$B$2:$B$1602,$A78))</f>
        <v>52</v>
      </c>
      <c r="I78" s="6" t="n">
        <f aca="false">IF(COUNTIFS('Source Data'!$B$2:$B$1602,$A78,'Source Data'!$E$2:$E$1602,"&lt;&gt;")=0,"",AVERAGEIF('Source Data'!$B$2:$B$1602,$A78,'Source Data'!$E$2:$E$1602))</f>
        <v>3</v>
      </c>
      <c r="J78" s="6" t="n">
        <f aca="false">IF(COUNTIFS('Source Data'!$B$2:$B$1602,$A78,'Source Data'!$E$2:$E$1602,"&lt;&gt;")=0,"",_xlfn.MINIFS('Source Data'!$E$2:$E$1602,'Source Data'!$B$2:$B$1602,$A78))</f>
        <v>3</v>
      </c>
      <c r="K78" s="6" t="n">
        <f aca="false">IF(COUNTIFS('Source Data'!$B$2:$B$1602,$A78,'Source Data'!$E$2:$E$1602,"&lt;&gt;")=0,"",_xlfn.MAXIFS('Source Data'!$E$2:$E$1602,'Source Data'!$B$2:$B$1602,$A78))</f>
        <v>3</v>
      </c>
      <c r="L78" s="6" t="str">
        <f aca="false">IF(COUNTIFS('Source Data'!$B$2:$B$1602,$A78,'Source Data'!$F$2:$F$1602,"&lt;&gt;")=0,"",AVERAGEIF('Source Data'!$B$2:$B$1602,$A78,'Source Data'!$F$2:$F$1602))</f>
        <v/>
      </c>
      <c r="M78" s="6" t="str">
        <f aca="false">IF(COUNTIFS('Source Data'!$B$2:$B$1602,$A78,'Source Data'!$F$2:$F$1602,"&lt;&gt;")=0,"",_xlfn.MINIFS('Source Data'!$F$2:$F$1602,'Source Data'!$B$2:$B$1602,$A78))</f>
        <v/>
      </c>
      <c r="N78" s="6" t="str">
        <f aca="false">IF(COUNTIFS('Source Data'!$B$2:$B$1602,$A78,'Source Data'!$F$2:$F$1602,"&lt;&gt;")=0,"",_xlfn.MAXIFS('Source Data'!$F$2:$F$1602,'Source Data'!$B$2:$B$1602,$A78))</f>
        <v/>
      </c>
    </row>
    <row r="79" customFormat="false" ht="15" hidden="false" customHeight="false" outlineLevel="0" collapsed="false">
      <c r="A79" s="5" t="s">
        <v>215</v>
      </c>
      <c r="B79" s="7" t="n">
        <f aca="false">COUNTIF('Source Data'!$B$2:$B$1602,$A79)</f>
        <v>10</v>
      </c>
      <c r="C79" s="6" t="n">
        <f aca="false">IF(COUNTIFS('Source Data'!$B$2:$B$1602,$A79,'Source Data'!$C$2:$C$1602,"&lt;&gt;")=0,"",AVERAGEIF('Source Data'!$B$2:$B$1602,$A79,'Source Data'!$C$2:$C$1602))</f>
        <v>7.3</v>
      </c>
      <c r="D79" s="6" t="n">
        <f aca="false">IF(COUNTIFS('Source Data'!$B$2:$B$1602,$A79,'Source Data'!$C$2:$C$1602,"&lt;&gt;")=0,"",_xlfn.MINIFS('Source Data'!$C$2:$C$1602,'Source Data'!$B$2:$B$1602,$A79))</f>
        <v>1</v>
      </c>
      <c r="E79" s="6" t="n">
        <f aca="false">IF(COUNTIFS('Source Data'!$B$2:$B$1602,$A79,'Source Data'!$C$2:$C$1602,"&lt;&gt;")=0,"",_xlfn.MAXIFS('Source Data'!$C$2:$C$1602,'Source Data'!$B$2:$B$1602,$A79))</f>
        <v>12</v>
      </c>
      <c r="F79" s="6" t="n">
        <f aca="false">IF(COUNTIFS('Source Data'!$B$2:$B$1602,$A79,'Source Data'!$D$2:$D$1602,"&lt;&gt;")=0,"",AVERAGEIF('Source Data'!$B$2:$B$1602,$A79,'Source Data'!$D$2:$D$1602))</f>
        <v>6.8</v>
      </c>
      <c r="G79" s="6" t="n">
        <f aca="false">IF(COUNTIFS('Source Data'!$B$2:$B$1602,$A79,'Source Data'!$D$2:$D$1602,"&lt;&gt;")=0,"",_xlfn.MINIFS('Source Data'!$D$2:$D$1602,'Source Data'!$B$2:$B$1602,$A79))</f>
        <v>0</v>
      </c>
      <c r="H79" s="6" t="n">
        <f aca="false">IF(COUNTIFS('Source Data'!$B$2:$B$1602,$A79,'Source Data'!$D$2:$D$1602,"&lt;&gt;")=0,"",_xlfn.MAXIFS('Source Data'!$D$2:$D$1602,'Source Data'!$B$2:$B$1602,$A79))</f>
        <v>12</v>
      </c>
      <c r="I79" s="6" t="n">
        <f aca="false">IF(COUNTIFS('Source Data'!$B$2:$B$1602,$A79,'Source Data'!$E$2:$E$1602,"&lt;&gt;")=0,"",AVERAGEIF('Source Data'!$B$2:$B$1602,$A79,'Source Data'!$E$2:$E$1602))</f>
        <v>0</v>
      </c>
      <c r="J79" s="6" t="n">
        <f aca="false">IF(COUNTIFS('Source Data'!$B$2:$B$1602,$A79,'Source Data'!$E$2:$E$1602,"&lt;&gt;")=0,"",_xlfn.MINIFS('Source Data'!$E$2:$E$1602,'Source Data'!$B$2:$B$1602,$A79))</f>
        <v>0</v>
      </c>
      <c r="K79" s="6" t="n">
        <f aca="false">IF(COUNTIFS('Source Data'!$B$2:$B$1602,$A79,'Source Data'!$E$2:$E$1602,"&lt;&gt;")=0,"",_xlfn.MAXIFS('Source Data'!$E$2:$E$1602,'Source Data'!$B$2:$B$1602,$A79))</f>
        <v>0</v>
      </c>
      <c r="L79" s="6" t="n">
        <f aca="false">IF(COUNTIFS('Source Data'!$B$2:$B$1602,$A79,'Source Data'!$F$2:$F$1602,"&lt;&gt;")=0,"",AVERAGEIF('Source Data'!$B$2:$B$1602,$A79,'Source Data'!$F$2:$F$1602))</f>
        <v>10</v>
      </c>
      <c r="M79" s="6" t="n">
        <f aca="false">IF(COUNTIFS('Source Data'!$B$2:$B$1602,$A79,'Source Data'!$F$2:$F$1602,"&lt;&gt;")=0,"",_xlfn.MINIFS('Source Data'!$F$2:$F$1602,'Source Data'!$B$2:$B$1602,$A79))</f>
        <v>10</v>
      </c>
      <c r="N79" s="6" t="n">
        <f aca="false">IF(COUNTIFS('Source Data'!$B$2:$B$1602,$A79,'Source Data'!$F$2:$F$1602,"&lt;&gt;")=0,"",_xlfn.MAXIFS('Source Data'!$F$2:$F$1602,'Source Data'!$B$2:$B$1602,$A79))</f>
        <v>10</v>
      </c>
    </row>
    <row r="80" customFormat="false" ht="15" hidden="false" customHeight="false" outlineLevel="0" collapsed="false">
      <c r="A80" s="5" t="s">
        <v>978</v>
      </c>
      <c r="B80" s="7" t="n">
        <f aca="false">COUNTIF('Source Data'!$B$2:$B$1602,$A80)</f>
        <v>10</v>
      </c>
      <c r="C80" s="6" t="n">
        <f aca="false">IF(COUNTIFS('Source Data'!$B$2:$B$1602,$A80,'Source Data'!$C$2:$C$1602,"&lt;&gt;")=0,"",AVERAGEIF('Source Data'!$B$2:$B$1602,$A80,'Source Data'!$C$2:$C$1602))</f>
        <v>8</v>
      </c>
      <c r="D80" s="6" t="n">
        <f aca="false">IF(COUNTIFS('Source Data'!$B$2:$B$1602,$A80,'Source Data'!$C$2:$C$1602,"&lt;&gt;")=0,"",_xlfn.MINIFS('Source Data'!$C$2:$C$1602,'Source Data'!$B$2:$B$1602,$A80))</f>
        <v>2</v>
      </c>
      <c r="E80" s="6" t="n">
        <f aca="false">IF(COUNTIFS('Source Data'!$B$2:$B$1602,$A80,'Source Data'!$C$2:$C$1602,"&lt;&gt;")=0,"",_xlfn.MAXIFS('Source Data'!$C$2:$C$1602,'Source Data'!$B$2:$B$1602,$A80))</f>
        <v>16</v>
      </c>
      <c r="F80" s="6" t="n">
        <f aca="false">IF(COUNTIFS('Source Data'!$B$2:$B$1602,$A80,'Source Data'!$D$2:$D$1602,"&lt;&gt;")=0,"",AVERAGEIF('Source Data'!$B$2:$B$1602,$A80,'Source Data'!$D$2:$D$1602))</f>
        <v>3.2</v>
      </c>
      <c r="G80" s="6" t="n">
        <f aca="false">IF(COUNTIFS('Source Data'!$B$2:$B$1602,$A80,'Source Data'!$D$2:$D$1602,"&lt;&gt;")=0,"",_xlfn.MINIFS('Source Data'!$D$2:$D$1602,'Source Data'!$B$2:$B$1602,$A80))</f>
        <v>0</v>
      </c>
      <c r="H80" s="6" t="n">
        <f aca="false">IF(COUNTIFS('Source Data'!$B$2:$B$1602,$A80,'Source Data'!$D$2:$D$1602,"&lt;&gt;")=0,"",_xlfn.MAXIFS('Source Data'!$D$2:$D$1602,'Source Data'!$B$2:$B$1602,$A80))</f>
        <v>12</v>
      </c>
      <c r="I80" s="6" t="str">
        <f aca="false">IF(COUNTIFS('Source Data'!$B$2:$B$1602,$A80,'Source Data'!$E$2:$E$1602,"&lt;&gt;")=0,"",AVERAGEIF('Source Data'!$B$2:$B$1602,$A80,'Source Data'!$E$2:$E$1602))</f>
        <v/>
      </c>
      <c r="J80" s="6" t="str">
        <f aca="false">IF(COUNTIFS('Source Data'!$B$2:$B$1602,$A80,'Source Data'!$E$2:$E$1602,"&lt;&gt;")=0,"",_xlfn.MINIFS('Source Data'!$E$2:$E$1602,'Source Data'!$B$2:$B$1602,$A80))</f>
        <v/>
      </c>
      <c r="K80" s="6" t="str">
        <f aca="false">IF(COUNTIFS('Source Data'!$B$2:$B$1602,$A80,'Source Data'!$E$2:$E$1602,"&lt;&gt;")=0,"",_xlfn.MAXIFS('Source Data'!$E$2:$E$1602,'Source Data'!$B$2:$B$1602,$A80))</f>
        <v/>
      </c>
      <c r="L80" s="6" t="str">
        <f aca="false">IF(COUNTIFS('Source Data'!$B$2:$B$1602,$A80,'Source Data'!$F$2:$F$1602,"&lt;&gt;")=0,"",AVERAGEIF('Source Data'!$B$2:$B$1602,$A80,'Source Data'!$F$2:$F$1602))</f>
        <v/>
      </c>
      <c r="M80" s="6" t="str">
        <f aca="false">IF(COUNTIFS('Source Data'!$B$2:$B$1602,$A80,'Source Data'!$F$2:$F$1602,"&lt;&gt;")=0,"",_xlfn.MINIFS('Source Data'!$F$2:$F$1602,'Source Data'!$B$2:$B$1602,$A80))</f>
        <v/>
      </c>
      <c r="N80" s="6" t="str">
        <f aca="false">IF(COUNTIFS('Source Data'!$B$2:$B$1602,$A80,'Source Data'!$F$2:$F$1602,"&lt;&gt;")=0,"",_xlfn.MAXIFS('Source Data'!$F$2:$F$1602,'Source Data'!$B$2:$B$1602,$A80))</f>
        <v/>
      </c>
    </row>
    <row r="81" customFormat="false" ht="15" hidden="false" customHeight="false" outlineLevel="0" collapsed="false">
      <c r="A81" s="5" t="s">
        <v>56</v>
      </c>
      <c r="B81" s="7" t="n">
        <f aca="false">COUNTIF('Source Data'!$B$2:$B$1602,$A81)</f>
        <v>19</v>
      </c>
      <c r="C81" s="6" t="n">
        <f aca="false">IF(COUNTIFS('Source Data'!$B$2:$B$1602,$A81,'Source Data'!$C$2:$C$1602,"&lt;&gt;")=0,"",AVERAGEIF('Source Data'!$B$2:$B$1602,$A81,'Source Data'!$C$2:$C$1602))</f>
        <v>9.89473684210526</v>
      </c>
      <c r="D81" s="6" t="n">
        <f aca="false">IF(COUNTIFS('Source Data'!$B$2:$B$1602,$A81,'Source Data'!$C$2:$C$1602,"&lt;&gt;")=0,"",_xlfn.MINIFS('Source Data'!$C$2:$C$1602,'Source Data'!$B$2:$B$1602,$A81))</f>
        <v>1</v>
      </c>
      <c r="E81" s="6" t="n">
        <f aca="false">IF(COUNTIFS('Source Data'!$B$2:$B$1602,$A81,'Source Data'!$C$2:$C$1602,"&lt;&gt;")=0,"",_xlfn.MAXIFS('Source Data'!$C$2:$C$1602,'Source Data'!$B$2:$B$1602,$A81))</f>
        <v>50</v>
      </c>
      <c r="F81" s="6" t="n">
        <f aca="false">IF(COUNTIFS('Source Data'!$B$2:$B$1602,$A81,'Source Data'!$D$2:$D$1602,"&lt;&gt;")=0,"",AVERAGEIF('Source Data'!$B$2:$B$1602,$A81,'Source Data'!$D$2:$D$1602))</f>
        <v>4.88235294117647</v>
      </c>
      <c r="G81" s="6" t="n">
        <f aca="false">IF(COUNTIFS('Source Data'!$B$2:$B$1602,$A81,'Source Data'!$D$2:$D$1602,"&lt;&gt;")=0,"",_xlfn.MINIFS('Source Data'!$D$2:$D$1602,'Source Data'!$B$2:$B$1602,$A81))</f>
        <v>0</v>
      </c>
      <c r="H81" s="6" t="n">
        <f aca="false">IF(COUNTIFS('Source Data'!$B$2:$B$1602,$A81,'Source Data'!$D$2:$D$1602,"&lt;&gt;")=0,"",_xlfn.MAXIFS('Source Data'!$D$2:$D$1602,'Source Data'!$B$2:$B$1602,$A81))</f>
        <v>12</v>
      </c>
      <c r="I81" s="6" t="n">
        <f aca="false">IF(COUNTIFS('Source Data'!$B$2:$B$1602,$A81,'Source Data'!$E$2:$E$1602,"&lt;&gt;")=0,"",AVERAGEIF('Source Data'!$B$2:$B$1602,$A81,'Source Data'!$E$2:$E$1602))</f>
        <v>4.22222222222222</v>
      </c>
      <c r="J81" s="6" t="n">
        <f aca="false">IF(COUNTIFS('Source Data'!$B$2:$B$1602,$A81,'Source Data'!$E$2:$E$1602,"&lt;&gt;")=0,"",_xlfn.MINIFS('Source Data'!$E$2:$E$1602,'Source Data'!$B$2:$B$1602,$A81))</f>
        <v>2</v>
      </c>
      <c r="K81" s="6" t="n">
        <f aca="false">IF(COUNTIFS('Source Data'!$B$2:$B$1602,$A81,'Source Data'!$E$2:$E$1602,"&lt;&gt;")=0,"",_xlfn.MAXIFS('Source Data'!$E$2:$E$1602,'Source Data'!$B$2:$B$1602,$A81))</f>
        <v>6</v>
      </c>
      <c r="L81" s="6" t="n">
        <f aca="false">IF(COUNTIFS('Source Data'!$B$2:$B$1602,$A81,'Source Data'!$F$2:$F$1602,"&lt;&gt;")=0,"",AVERAGEIF('Source Data'!$B$2:$B$1602,$A81,'Source Data'!$F$2:$F$1602))</f>
        <v>12</v>
      </c>
      <c r="M81" s="6" t="n">
        <f aca="false">IF(COUNTIFS('Source Data'!$B$2:$B$1602,$A81,'Source Data'!$F$2:$F$1602,"&lt;&gt;")=0,"",_xlfn.MINIFS('Source Data'!$F$2:$F$1602,'Source Data'!$B$2:$B$1602,$A81))</f>
        <v>12</v>
      </c>
      <c r="N81" s="6" t="n">
        <f aca="false">IF(COUNTIFS('Source Data'!$B$2:$B$1602,$A81,'Source Data'!$F$2:$F$1602,"&lt;&gt;")=0,"",_xlfn.MAXIFS('Source Data'!$F$2:$F$1602,'Source Data'!$B$2:$B$1602,$A81))</f>
        <v>12</v>
      </c>
    </row>
    <row r="82" customFormat="false" ht="15" hidden="false" customHeight="false" outlineLevel="0" collapsed="false">
      <c r="A82" s="5" t="s">
        <v>999</v>
      </c>
      <c r="B82" s="7" t="n">
        <f aca="false">COUNTIF('Source Data'!$B$2:$B$1602,$A82)</f>
        <v>5</v>
      </c>
      <c r="C82" s="6" t="n">
        <f aca="false">IF(COUNTIFS('Source Data'!$B$2:$B$1602,$A82,'Source Data'!$C$2:$C$1602,"&lt;&gt;")=0,"",AVERAGEIF('Source Data'!$B$2:$B$1602,$A82,'Source Data'!$C$2:$C$1602))</f>
        <v>7.6</v>
      </c>
      <c r="D82" s="6" t="n">
        <f aca="false">IF(COUNTIFS('Source Data'!$B$2:$B$1602,$A82,'Source Data'!$C$2:$C$1602,"&lt;&gt;")=0,"",_xlfn.MINIFS('Source Data'!$C$2:$C$1602,'Source Data'!$B$2:$B$1602,$A82))</f>
        <v>4</v>
      </c>
      <c r="E82" s="6" t="n">
        <f aca="false">IF(COUNTIFS('Source Data'!$B$2:$B$1602,$A82,'Source Data'!$C$2:$C$1602,"&lt;&gt;")=0,"",_xlfn.MAXIFS('Source Data'!$C$2:$C$1602,'Source Data'!$B$2:$B$1602,$A82))</f>
        <v>12</v>
      </c>
      <c r="F82" s="6" t="n">
        <f aca="false">IF(COUNTIFS('Source Data'!$B$2:$B$1602,$A82,'Source Data'!$D$2:$D$1602,"&lt;&gt;")=0,"",AVERAGEIF('Source Data'!$B$2:$B$1602,$A82,'Source Data'!$D$2:$D$1602))</f>
        <v>3.6</v>
      </c>
      <c r="G82" s="6" t="n">
        <f aca="false">IF(COUNTIFS('Source Data'!$B$2:$B$1602,$A82,'Source Data'!$D$2:$D$1602,"&lt;&gt;")=0,"",_xlfn.MINIFS('Source Data'!$D$2:$D$1602,'Source Data'!$B$2:$B$1602,$A82))</f>
        <v>0</v>
      </c>
      <c r="H82" s="6" t="n">
        <f aca="false">IF(COUNTIFS('Source Data'!$B$2:$B$1602,$A82,'Source Data'!$D$2:$D$1602,"&lt;&gt;")=0,"",_xlfn.MAXIFS('Source Data'!$D$2:$D$1602,'Source Data'!$B$2:$B$1602,$A82))</f>
        <v>12</v>
      </c>
      <c r="I82" s="6" t="str">
        <f aca="false">IF(COUNTIFS('Source Data'!$B$2:$B$1602,$A82,'Source Data'!$E$2:$E$1602,"&lt;&gt;")=0,"",AVERAGEIF('Source Data'!$B$2:$B$1602,$A82,'Source Data'!$E$2:$E$1602))</f>
        <v/>
      </c>
      <c r="J82" s="6" t="str">
        <f aca="false">IF(COUNTIFS('Source Data'!$B$2:$B$1602,$A82,'Source Data'!$E$2:$E$1602,"&lt;&gt;")=0,"",_xlfn.MINIFS('Source Data'!$E$2:$E$1602,'Source Data'!$B$2:$B$1602,$A82))</f>
        <v/>
      </c>
      <c r="K82" s="6" t="str">
        <f aca="false">IF(COUNTIFS('Source Data'!$B$2:$B$1602,$A82,'Source Data'!$E$2:$E$1602,"&lt;&gt;")=0,"",_xlfn.MAXIFS('Source Data'!$E$2:$E$1602,'Source Data'!$B$2:$B$1602,$A82))</f>
        <v/>
      </c>
      <c r="L82" s="6" t="str">
        <f aca="false">IF(COUNTIFS('Source Data'!$B$2:$B$1602,$A82,'Source Data'!$F$2:$F$1602,"&lt;&gt;")=0,"",AVERAGEIF('Source Data'!$B$2:$B$1602,$A82,'Source Data'!$F$2:$F$1602))</f>
        <v/>
      </c>
      <c r="M82" s="6" t="str">
        <f aca="false">IF(COUNTIFS('Source Data'!$B$2:$B$1602,$A82,'Source Data'!$F$2:$F$1602,"&lt;&gt;")=0,"",_xlfn.MINIFS('Source Data'!$F$2:$F$1602,'Source Data'!$B$2:$B$1602,$A82))</f>
        <v/>
      </c>
      <c r="N82" s="6" t="str">
        <f aca="false">IF(COUNTIFS('Source Data'!$B$2:$B$1602,$A82,'Source Data'!$F$2:$F$1602,"&lt;&gt;")=0,"",_xlfn.MAXIFS('Source Data'!$F$2:$F$1602,'Source Data'!$B$2:$B$1602,$A82))</f>
        <v/>
      </c>
    </row>
    <row r="83" customFormat="false" ht="15" hidden="false" customHeight="false" outlineLevel="0" collapsed="false">
      <c r="A83" s="5" t="s">
        <v>225</v>
      </c>
      <c r="B83" s="7" t="n">
        <f aca="false">COUNTIF('Source Data'!$B$2:$B$1602,$A83)</f>
        <v>4</v>
      </c>
      <c r="C83" s="6" t="n">
        <f aca="false">IF(COUNTIFS('Source Data'!$B$2:$B$1602,$A83,'Source Data'!$C$2:$C$1602,"&lt;&gt;")=0,"",AVERAGEIF('Source Data'!$B$2:$B$1602,$A83,'Source Data'!$C$2:$C$1602))</f>
        <v>9.25</v>
      </c>
      <c r="D83" s="6" t="n">
        <f aca="false">IF(COUNTIFS('Source Data'!$B$2:$B$1602,$A83,'Source Data'!$C$2:$C$1602,"&lt;&gt;")=0,"",_xlfn.MINIFS('Source Data'!$C$2:$C$1602,'Source Data'!$B$2:$B$1602,$A83))</f>
        <v>6</v>
      </c>
      <c r="E83" s="6" t="n">
        <f aca="false">IF(COUNTIFS('Source Data'!$B$2:$B$1602,$A83,'Source Data'!$C$2:$C$1602,"&lt;&gt;")=0,"",_xlfn.MAXIFS('Source Data'!$C$2:$C$1602,'Source Data'!$B$2:$B$1602,$A83))</f>
        <v>16</v>
      </c>
      <c r="F83" s="6" t="n">
        <f aca="false">IF(COUNTIFS('Source Data'!$B$2:$B$1602,$A83,'Source Data'!$D$2:$D$1602,"&lt;&gt;")=0,"",AVERAGEIF('Source Data'!$B$2:$B$1602,$A83,'Source Data'!$D$2:$D$1602))</f>
        <v>5.875</v>
      </c>
      <c r="G83" s="6" t="n">
        <f aca="false">IF(COUNTIFS('Source Data'!$B$2:$B$1602,$A83,'Source Data'!$D$2:$D$1602,"&lt;&gt;")=0,"",_xlfn.MINIFS('Source Data'!$D$2:$D$1602,'Source Data'!$B$2:$B$1602,$A83))</f>
        <v>4</v>
      </c>
      <c r="H83" s="6" t="n">
        <f aca="false">IF(COUNTIFS('Source Data'!$B$2:$B$1602,$A83,'Source Data'!$D$2:$D$1602,"&lt;&gt;")=0,"",_xlfn.MAXIFS('Source Data'!$D$2:$D$1602,'Source Data'!$B$2:$B$1602,$A83))</f>
        <v>7.5</v>
      </c>
      <c r="I83" s="6" t="n">
        <f aca="false">IF(COUNTIFS('Source Data'!$B$2:$B$1602,$A83,'Source Data'!$E$2:$E$1602,"&lt;&gt;")=0,"",AVERAGEIF('Source Data'!$B$2:$B$1602,$A83,'Source Data'!$E$2:$E$1602))</f>
        <v>4</v>
      </c>
      <c r="J83" s="6" t="n">
        <f aca="false">IF(COUNTIFS('Source Data'!$B$2:$B$1602,$A83,'Source Data'!$E$2:$E$1602,"&lt;&gt;")=0,"",_xlfn.MINIFS('Source Data'!$E$2:$E$1602,'Source Data'!$B$2:$B$1602,$A83))</f>
        <v>4</v>
      </c>
      <c r="K83" s="6" t="n">
        <f aca="false">IF(COUNTIFS('Source Data'!$B$2:$B$1602,$A83,'Source Data'!$E$2:$E$1602,"&lt;&gt;")=0,"",_xlfn.MAXIFS('Source Data'!$E$2:$E$1602,'Source Data'!$B$2:$B$1602,$A83))</f>
        <v>4</v>
      </c>
      <c r="L83" s="6" t="str">
        <f aca="false">IF(COUNTIFS('Source Data'!$B$2:$B$1602,$A83,'Source Data'!$F$2:$F$1602,"&lt;&gt;")=0,"",AVERAGEIF('Source Data'!$B$2:$B$1602,$A83,'Source Data'!$F$2:$F$1602))</f>
        <v/>
      </c>
      <c r="M83" s="6" t="str">
        <f aca="false">IF(COUNTIFS('Source Data'!$B$2:$B$1602,$A83,'Source Data'!$F$2:$F$1602,"&lt;&gt;")=0,"",_xlfn.MINIFS('Source Data'!$F$2:$F$1602,'Source Data'!$B$2:$B$1602,$A83))</f>
        <v/>
      </c>
      <c r="N83" s="6" t="str">
        <f aca="false">IF(COUNTIFS('Source Data'!$B$2:$B$1602,$A83,'Source Data'!$F$2:$F$1602,"&lt;&gt;")=0,"",_xlfn.MAXIFS('Source Data'!$F$2:$F$1602,'Source Data'!$B$2:$B$1602,$A83))</f>
        <v/>
      </c>
    </row>
    <row r="84" customFormat="false" ht="15" hidden="false" customHeight="false" outlineLevel="0" collapsed="false">
      <c r="A84" s="5" t="s">
        <v>227</v>
      </c>
      <c r="B84" s="7" t="n">
        <f aca="false">COUNTIF('Source Data'!$B$2:$B$1602,$A84)</f>
        <v>7</v>
      </c>
      <c r="C84" s="6" t="n">
        <f aca="false">IF(COUNTIFS('Source Data'!$B$2:$B$1602,$A84,'Source Data'!$C$2:$C$1602,"&lt;&gt;")=0,"",AVERAGEIF('Source Data'!$B$2:$B$1602,$A84,'Source Data'!$C$2:$C$1602))</f>
        <v>15.2142857142857</v>
      </c>
      <c r="D84" s="6" t="n">
        <f aca="false">IF(COUNTIFS('Source Data'!$B$2:$B$1602,$A84,'Source Data'!$C$2:$C$1602,"&lt;&gt;")=0,"",_xlfn.MINIFS('Source Data'!$C$2:$C$1602,'Source Data'!$B$2:$B$1602,$A84))</f>
        <v>2</v>
      </c>
      <c r="E84" s="6" t="n">
        <f aca="false">IF(COUNTIFS('Source Data'!$B$2:$B$1602,$A84,'Source Data'!$C$2:$C$1602,"&lt;&gt;")=0,"",_xlfn.MAXIFS('Source Data'!$C$2:$C$1602,'Source Data'!$B$2:$B$1602,$A84))</f>
        <v>32.5</v>
      </c>
      <c r="F84" s="6" t="n">
        <f aca="false">IF(COUNTIFS('Source Data'!$B$2:$B$1602,$A84,'Source Data'!$D$2:$D$1602,"&lt;&gt;")=0,"",AVERAGEIF('Source Data'!$B$2:$B$1602,$A84,'Source Data'!$D$2:$D$1602))</f>
        <v>5.85714285714286</v>
      </c>
      <c r="G84" s="6" t="n">
        <f aca="false">IF(COUNTIFS('Source Data'!$B$2:$B$1602,$A84,'Source Data'!$D$2:$D$1602,"&lt;&gt;")=0,"",_xlfn.MINIFS('Source Data'!$D$2:$D$1602,'Source Data'!$B$2:$B$1602,$A84))</f>
        <v>0</v>
      </c>
      <c r="H84" s="6" t="n">
        <f aca="false">IF(COUNTIFS('Source Data'!$B$2:$B$1602,$A84,'Source Data'!$D$2:$D$1602,"&lt;&gt;")=0,"",_xlfn.MAXIFS('Source Data'!$D$2:$D$1602,'Source Data'!$B$2:$B$1602,$A84))</f>
        <v>20</v>
      </c>
      <c r="I84" s="6" t="n">
        <f aca="false">IF(COUNTIFS('Source Data'!$B$2:$B$1602,$A84,'Source Data'!$E$2:$E$1602,"&lt;&gt;")=0,"",AVERAGEIF('Source Data'!$B$2:$B$1602,$A84,'Source Data'!$E$2:$E$1602))</f>
        <v>18</v>
      </c>
      <c r="J84" s="6" t="n">
        <f aca="false">IF(COUNTIFS('Source Data'!$B$2:$B$1602,$A84,'Source Data'!$E$2:$E$1602,"&lt;&gt;")=0,"",_xlfn.MINIFS('Source Data'!$E$2:$E$1602,'Source Data'!$B$2:$B$1602,$A84))</f>
        <v>1</v>
      </c>
      <c r="K84" s="6" t="n">
        <f aca="false">IF(COUNTIFS('Source Data'!$B$2:$B$1602,$A84,'Source Data'!$E$2:$E$1602,"&lt;&gt;")=0,"",_xlfn.MAXIFS('Source Data'!$E$2:$E$1602,'Source Data'!$B$2:$B$1602,$A84))</f>
        <v>35</v>
      </c>
      <c r="L84" s="6" t="str">
        <f aca="false">IF(COUNTIFS('Source Data'!$B$2:$B$1602,$A84,'Source Data'!$F$2:$F$1602,"&lt;&gt;")=0,"",AVERAGEIF('Source Data'!$B$2:$B$1602,$A84,'Source Data'!$F$2:$F$1602))</f>
        <v/>
      </c>
      <c r="M84" s="6" t="str">
        <f aca="false">IF(COUNTIFS('Source Data'!$B$2:$B$1602,$A84,'Source Data'!$F$2:$F$1602,"&lt;&gt;")=0,"",_xlfn.MINIFS('Source Data'!$F$2:$F$1602,'Source Data'!$B$2:$B$1602,$A84))</f>
        <v/>
      </c>
      <c r="N84" s="6" t="str">
        <f aca="false">IF(COUNTIFS('Source Data'!$B$2:$B$1602,$A84,'Source Data'!$F$2:$F$1602,"&lt;&gt;")=0,"",_xlfn.MAXIFS('Source Data'!$F$2:$F$1602,'Source Data'!$B$2:$B$1602,$A84))</f>
        <v/>
      </c>
    </row>
    <row r="85" customFormat="false" ht="15" hidden="false" customHeight="false" outlineLevel="0" collapsed="false">
      <c r="A85" s="5" t="s">
        <v>230</v>
      </c>
      <c r="B85" s="7" t="n">
        <f aca="false">COUNTIF('Source Data'!$B$2:$B$1602,$A85)</f>
        <v>7</v>
      </c>
      <c r="C85" s="6" t="n">
        <f aca="false">IF(COUNTIFS('Source Data'!$B$2:$B$1602,$A85,'Source Data'!$C$2:$C$1602,"&lt;&gt;")=0,"",AVERAGEIF('Source Data'!$B$2:$B$1602,$A85,'Source Data'!$C$2:$C$1602))</f>
        <v>16.5714285714286</v>
      </c>
      <c r="D85" s="6" t="n">
        <f aca="false">IF(COUNTIFS('Source Data'!$B$2:$B$1602,$A85,'Source Data'!$C$2:$C$1602,"&lt;&gt;")=0,"",_xlfn.MINIFS('Source Data'!$C$2:$C$1602,'Source Data'!$B$2:$B$1602,$A85))</f>
        <v>12</v>
      </c>
      <c r="E85" s="6" t="n">
        <f aca="false">IF(COUNTIFS('Source Data'!$B$2:$B$1602,$A85,'Source Data'!$C$2:$C$1602,"&lt;&gt;")=0,"",_xlfn.MAXIFS('Source Data'!$C$2:$C$1602,'Source Data'!$B$2:$B$1602,$A85))</f>
        <v>24</v>
      </c>
      <c r="F85" s="6" t="n">
        <f aca="false">IF(COUNTIFS('Source Data'!$B$2:$B$1602,$A85,'Source Data'!$D$2:$D$1602,"&lt;&gt;")=0,"",AVERAGEIF('Source Data'!$B$2:$B$1602,$A85,'Source Data'!$D$2:$D$1602))</f>
        <v>4.35714285714286</v>
      </c>
      <c r="G85" s="6" t="n">
        <f aca="false">IF(COUNTIFS('Source Data'!$B$2:$B$1602,$A85,'Source Data'!$D$2:$D$1602,"&lt;&gt;")=0,"",_xlfn.MINIFS('Source Data'!$D$2:$D$1602,'Source Data'!$B$2:$B$1602,$A85))</f>
        <v>0</v>
      </c>
      <c r="H85" s="6" t="n">
        <f aca="false">IF(COUNTIFS('Source Data'!$B$2:$B$1602,$A85,'Source Data'!$D$2:$D$1602,"&lt;&gt;")=0,"",_xlfn.MAXIFS('Source Data'!$D$2:$D$1602,'Source Data'!$B$2:$B$1602,$A85))</f>
        <v>20</v>
      </c>
      <c r="I85" s="6" t="n">
        <f aca="false">IF(COUNTIFS('Source Data'!$B$2:$B$1602,$A85,'Source Data'!$E$2:$E$1602,"&lt;&gt;")=0,"",AVERAGEIF('Source Data'!$B$2:$B$1602,$A85,'Source Data'!$E$2:$E$1602))</f>
        <v>23</v>
      </c>
      <c r="J85" s="6" t="n">
        <f aca="false">IF(COUNTIFS('Source Data'!$B$2:$B$1602,$A85,'Source Data'!$E$2:$E$1602,"&lt;&gt;")=0,"",_xlfn.MINIFS('Source Data'!$E$2:$E$1602,'Source Data'!$B$2:$B$1602,$A85))</f>
        <v>23</v>
      </c>
      <c r="K85" s="6" t="n">
        <f aca="false">IF(COUNTIFS('Source Data'!$B$2:$B$1602,$A85,'Source Data'!$E$2:$E$1602,"&lt;&gt;")=0,"",_xlfn.MAXIFS('Source Data'!$E$2:$E$1602,'Source Data'!$B$2:$B$1602,$A85))</f>
        <v>23</v>
      </c>
      <c r="L85" s="6" t="str">
        <f aca="false">IF(COUNTIFS('Source Data'!$B$2:$B$1602,$A85,'Source Data'!$F$2:$F$1602,"&lt;&gt;")=0,"",AVERAGEIF('Source Data'!$B$2:$B$1602,$A85,'Source Data'!$F$2:$F$1602))</f>
        <v/>
      </c>
      <c r="M85" s="6" t="str">
        <f aca="false">IF(COUNTIFS('Source Data'!$B$2:$B$1602,$A85,'Source Data'!$F$2:$F$1602,"&lt;&gt;")=0,"",_xlfn.MINIFS('Source Data'!$F$2:$F$1602,'Source Data'!$B$2:$B$1602,$A85))</f>
        <v/>
      </c>
      <c r="N85" s="6" t="str">
        <f aca="false">IF(COUNTIFS('Source Data'!$B$2:$B$1602,$A85,'Source Data'!$F$2:$F$1602,"&lt;&gt;")=0,"",_xlfn.MAXIFS('Source Data'!$F$2:$F$1602,'Source Data'!$B$2:$B$1602,$A85))</f>
        <v/>
      </c>
    </row>
    <row r="86" customFormat="false" ht="15" hidden="false" customHeight="false" outlineLevel="0" collapsed="false">
      <c r="A86" s="5" t="s">
        <v>1019</v>
      </c>
      <c r="B86" s="7" t="n">
        <f aca="false">COUNTIF('Source Data'!$B$2:$B$1602,$A86)</f>
        <v>1</v>
      </c>
      <c r="C86" s="6" t="n">
        <f aca="false">IF(COUNTIFS('Source Data'!$B$2:$B$1602,$A86,'Source Data'!$C$2:$C$1602,"&lt;&gt;")=0,"",AVERAGEIF('Source Data'!$B$2:$B$1602,$A86,'Source Data'!$C$2:$C$1602))</f>
        <v>12</v>
      </c>
      <c r="D86" s="6" t="n">
        <f aca="false">IF(COUNTIFS('Source Data'!$B$2:$B$1602,$A86,'Source Data'!$C$2:$C$1602,"&lt;&gt;")=0,"",_xlfn.MINIFS('Source Data'!$C$2:$C$1602,'Source Data'!$B$2:$B$1602,$A86))</f>
        <v>12</v>
      </c>
      <c r="E86" s="6" t="n">
        <f aca="false">IF(COUNTIFS('Source Data'!$B$2:$B$1602,$A86,'Source Data'!$C$2:$C$1602,"&lt;&gt;")=0,"",_xlfn.MAXIFS('Source Data'!$C$2:$C$1602,'Source Data'!$B$2:$B$1602,$A86))</f>
        <v>12</v>
      </c>
      <c r="F86" s="6" t="n">
        <f aca="false">IF(COUNTIFS('Source Data'!$B$2:$B$1602,$A86,'Source Data'!$D$2:$D$1602,"&lt;&gt;")=0,"",AVERAGEIF('Source Data'!$B$2:$B$1602,$A86,'Source Data'!$D$2:$D$1602))</f>
        <v>10</v>
      </c>
      <c r="G86" s="6" t="n">
        <f aca="false">IF(COUNTIFS('Source Data'!$B$2:$B$1602,$A86,'Source Data'!$D$2:$D$1602,"&lt;&gt;")=0,"",_xlfn.MINIFS('Source Data'!$D$2:$D$1602,'Source Data'!$B$2:$B$1602,$A86))</f>
        <v>10</v>
      </c>
      <c r="H86" s="6" t="n">
        <f aca="false">IF(COUNTIFS('Source Data'!$B$2:$B$1602,$A86,'Source Data'!$D$2:$D$1602,"&lt;&gt;")=0,"",_xlfn.MAXIFS('Source Data'!$D$2:$D$1602,'Source Data'!$B$2:$B$1602,$A86))</f>
        <v>10</v>
      </c>
      <c r="I86" s="6" t="str">
        <f aca="false">IF(COUNTIFS('Source Data'!$B$2:$B$1602,$A86,'Source Data'!$E$2:$E$1602,"&lt;&gt;")=0,"",AVERAGEIF('Source Data'!$B$2:$B$1602,$A86,'Source Data'!$E$2:$E$1602))</f>
        <v/>
      </c>
      <c r="J86" s="6" t="str">
        <f aca="false">IF(COUNTIFS('Source Data'!$B$2:$B$1602,$A86,'Source Data'!$E$2:$E$1602,"&lt;&gt;")=0,"",_xlfn.MINIFS('Source Data'!$E$2:$E$1602,'Source Data'!$B$2:$B$1602,$A86))</f>
        <v/>
      </c>
      <c r="K86" s="6" t="str">
        <f aca="false">IF(COUNTIFS('Source Data'!$B$2:$B$1602,$A86,'Source Data'!$E$2:$E$1602,"&lt;&gt;")=0,"",_xlfn.MAXIFS('Source Data'!$E$2:$E$1602,'Source Data'!$B$2:$B$1602,$A86))</f>
        <v/>
      </c>
      <c r="L86" s="6" t="str">
        <f aca="false">IF(COUNTIFS('Source Data'!$B$2:$B$1602,$A86,'Source Data'!$F$2:$F$1602,"&lt;&gt;")=0,"",AVERAGEIF('Source Data'!$B$2:$B$1602,$A86,'Source Data'!$F$2:$F$1602))</f>
        <v/>
      </c>
      <c r="M86" s="6" t="str">
        <f aca="false">IF(COUNTIFS('Source Data'!$B$2:$B$1602,$A86,'Source Data'!$F$2:$F$1602,"&lt;&gt;")=0,"",_xlfn.MINIFS('Source Data'!$F$2:$F$1602,'Source Data'!$B$2:$B$1602,$A86))</f>
        <v/>
      </c>
      <c r="N86" s="6" t="str">
        <f aca="false">IF(COUNTIFS('Source Data'!$B$2:$B$1602,$A86,'Source Data'!$F$2:$F$1602,"&lt;&gt;")=0,"",_xlfn.MAXIFS('Source Data'!$F$2:$F$1602,'Source Data'!$B$2:$B$1602,$A86))</f>
        <v/>
      </c>
    </row>
    <row r="87" customFormat="false" ht="15" hidden="false" customHeight="false" outlineLevel="0" collapsed="false">
      <c r="A87" s="5" t="s">
        <v>232</v>
      </c>
      <c r="B87" s="7" t="n">
        <f aca="false">COUNTIF('Source Data'!$B$2:$B$1602,$A87)</f>
        <v>47</v>
      </c>
      <c r="C87" s="6" t="n">
        <f aca="false">IF(COUNTIFS('Source Data'!$B$2:$B$1602,$A87,'Source Data'!$C$2:$C$1602,"&lt;&gt;")=0,"",AVERAGEIF('Source Data'!$B$2:$B$1602,$A87,'Source Data'!$C$2:$C$1602))</f>
        <v>11.4893617021277</v>
      </c>
      <c r="D87" s="6" t="n">
        <f aca="false">IF(COUNTIFS('Source Data'!$B$2:$B$1602,$A87,'Source Data'!$C$2:$C$1602,"&lt;&gt;")=0,"",_xlfn.MINIFS('Source Data'!$C$2:$C$1602,'Source Data'!$B$2:$B$1602,$A87))</f>
        <v>0</v>
      </c>
      <c r="E87" s="6" t="n">
        <f aca="false">IF(COUNTIFS('Source Data'!$B$2:$B$1602,$A87,'Source Data'!$C$2:$C$1602,"&lt;&gt;")=0,"",_xlfn.MAXIFS('Source Data'!$C$2:$C$1602,'Source Data'!$B$2:$B$1602,$A87))</f>
        <v>52</v>
      </c>
      <c r="F87" s="6" t="n">
        <f aca="false">IF(COUNTIFS('Source Data'!$B$2:$B$1602,$A87,'Source Data'!$D$2:$D$1602,"&lt;&gt;")=0,"",AVERAGEIF('Source Data'!$B$2:$B$1602,$A87,'Source Data'!$D$2:$D$1602))</f>
        <v>5.32558139534884</v>
      </c>
      <c r="G87" s="6" t="n">
        <f aca="false">IF(COUNTIFS('Source Data'!$B$2:$B$1602,$A87,'Source Data'!$D$2:$D$1602,"&lt;&gt;")=0,"",_xlfn.MINIFS('Source Data'!$D$2:$D$1602,'Source Data'!$B$2:$B$1602,$A87))</f>
        <v>0</v>
      </c>
      <c r="H87" s="6" t="n">
        <f aca="false">IF(COUNTIFS('Source Data'!$B$2:$B$1602,$A87,'Source Data'!$D$2:$D$1602,"&lt;&gt;")=0,"",_xlfn.MAXIFS('Source Data'!$D$2:$D$1602,'Source Data'!$B$2:$B$1602,$A87))</f>
        <v>36</v>
      </c>
      <c r="I87" s="6" t="n">
        <f aca="false">IF(COUNTIFS('Source Data'!$B$2:$B$1602,$A87,'Source Data'!$E$2:$E$1602,"&lt;&gt;")=0,"",AVERAGEIF('Source Data'!$B$2:$B$1602,$A87,'Source Data'!$E$2:$E$1602))</f>
        <v>4</v>
      </c>
      <c r="J87" s="6" t="n">
        <f aca="false">IF(COUNTIFS('Source Data'!$B$2:$B$1602,$A87,'Source Data'!$E$2:$E$1602,"&lt;&gt;")=0,"",_xlfn.MINIFS('Source Data'!$E$2:$E$1602,'Source Data'!$B$2:$B$1602,$A87))</f>
        <v>1</v>
      </c>
      <c r="K87" s="6" t="n">
        <f aca="false">IF(COUNTIFS('Source Data'!$B$2:$B$1602,$A87,'Source Data'!$E$2:$E$1602,"&lt;&gt;")=0,"",_xlfn.MAXIFS('Source Data'!$E$2:$E$1602,'Source Data'!$B$2:$B$1602,$A87))</f>
        <v>12</v>
      </c>
      <c r="L87" s="6" t="str">
        <f aca="false">IF(COUNTIFS('Source Data'!$B$2:$B$1602,$A87,'Source Data'!$F$2:$F$1602,"&lt;&gt;")=0,"",AVERAGEIF('Source Data'!$B$2:$B$1602,$A87,'Source Data'!$F$2:$F$1602))</f>
        <v/>
      </c>
      <c r="M87" s="6" t="str">
        <f aca="false">IF(COUNTIFS('Source Data'!$B$2:$B$1602,$A87,'Source Data'!$F$2:$F$1602,"&lt;&gt;")=0,"",_xlfn.MINIFS('Source Data'!$F$2:$F$1602,'Source Data'!$B$2:$B$1602,$A87))</f>
        <v/>
      </c>
      <c r="N87" s="6" t="str">
        <f aca="false">IF(COUNTIFS('Source Data'!$B$2:$B$1602,$A87,'Source Data'!$F$2:$F$1602,"&lt;&gt;")=0,"",_xlfn.MAXIFS('Source Data'!$F$2:$F$1602,'Source Data'!$B$2:$B$1602,$A87))</f>
        <v/>
      </c>
    </row>
    <row r="88" customFormat="false" ht="15" hidden="false" customHeight="false" outlineLevel="0" collapsed="false">
      <c r="A88" s="5" t="s">
        <v>1062</v>
      </c>
      <c r="B88" s="7" t="n">
        <f aca="false">COUNTIF('Source Data'!$B$2:$B$1602,$A88)</f>
        <v>1</v>
      </c>
      <c r="C88" s="6" t="n">
        <f aca="false">IF(COUNTIFS('Source Data'!$B$2:$B$1602,$A88,'Source Data'!$C$2:$C$1602,"&lt;&gt;")=0,"",AVERAGEIF('Source Data'!$B$2:$B$1602,$A88,'Source Data'!$C$2:$C$1602))</f>
        <v>2</v>
      </c>
      <c r="D88" s="6" t="n">
        <f aca="false">IF(COUNTIFS('Source Data'!$B$2:$B$1602,$A88,'Source Data'!$C$2:$C$1602,"&lt;&gt;")=0,"",_xlfn.MINIFS('Source Data'!$C$2:$C$1602,'Source Data'!$B$2:$B$1602,$A88))</f>
        <v>2</v>
      </c>
      <c r="E88" s="6" t="n">
        <f aca="false">IF(COUNTIFS('Source Data'!$B$2:$B$1602,$A88,'Source Data'!$C$2:$C$1602,"&lt;&gt;")=0,"",_xlfn.MAXIFS('Source Data'!$C$2:$C$1602,'Source Data'!$B$2:$B$1602,$A88))</f>
        <v>2</v>
      </c>
      <c r="F88" s="6" t="n">
        <f aca="false">IF(COUNTIFS('Source Data'!$B$2:$B$1602,$A88,'Source Data'!$D$2:$D$1602,"&lt;&gt;")=0,"",AVERAGEIF('Source Data'!$B$2:$B$1602,$A88,'Source Data'!$D$2:$D$1602))</f>
        <v>10</v>
      </c>
      <c r="G88" s="6" t="n">
        <f aca="false">IF(COUNTIFS('Source Data'!$B$2:$B$1602,$A88,'Source Data'!$D$2:$D$1602,"&lt;&gt;")=0,"",_xlfn.MINIFS('Source Data'!$D$2:$D$1602,'Source Data'!$B$2:$B$1602,$A88))</f>
        <v>10</v>
      </c>
      <c r="H88" s="6" t="n">
        <f aca="false">IF(COUNTIFS('Source Data'!$B$2:$B$1602,$A88,'Source Data'!$D$2:$D$1602,"&lt;&gt;")=0,"",_xlfn.MAXIFS('Source Data'!$D$2:$D$1602,'Source Data'!$B$2:$B$1602,$A88))</f>
        <v>10</v>
      </c>
      <c r="I88" s="6" t="str">
        <f aca="false">IF(COUNTIFS('Source Data'!$B$2:$B$1602,$A88,'Source Data'!$E$2:$E$1602,"&lt;&gt;")=0,"",AVERAGEIF('Source Data'!$B$2:$B$1602,$A88,'Source Data'!$E$2:$E$1602))</f>
        <v/>
      </c>
      <c r="J88" s="6" t="str">
        <f aca="false">IF(COUNTIFS('Source Data'!$B$2:$B$1602,$A88,'Source Data'!$E$2:$E$1602,"&lt;&gt;")=0,"",_xlfn.MINIFS('Source Data'!$E$2:$E$1602,'Source Data'!$B$2:$B$1602,$A88))</f>
        <v/>
      </c>
      <c r="K88" s="6" t="str">
        <f aca="false">IF(COUNTIFS('Source Data'!$B$2:$B$1602,$A88,'Source Data'!$E$2:$E$1602,"&lt;&gt;")=0,"",_xlfn.MAXIFS('Source Data'!$E$2:$E$1602,'Source Data'!$B$2:$B$1602,$A88))</f>
        <v/>
      </c>
      <c r="L88" s="6" t="str">
        <f aca="false">IF(COUNTIFS('Source Data'!$B$2:$B$1602,$A88,'Source Data'!$F$2:$F$1602,"&lt;&gt;")=0,"",AVERAGEIF('Source Data'!$B$2:$B$1602,$A88,'Source Data'!$F$2:$F$1602))</f>
        <v/>
      </c>
      <c r="M88" s="6" t="str">
        <f aca="false">IF(COUNTIFS('Source Data'!$B$2:$B$1602,$A88,'Source Data'!$F$2:$F$1602,"&lt;&gt;")=0,"",_xlfn.MINIFS('Source Data'!$F$2:$F$1602,'Source Data'!$B$2:$B$1602,$A88))</f>
        <v/>
      </c>
      <c r="N88" s="6" t="str">
        <f aca="false">IF(COUNTIFS('Source Data'!$B$2:$B$1602,$A88,'Source Data'!$F$2:$F$1602,"&lt;&gt;")=0,"",_xlfn.MAXIFS('Source Data'!$F$2:$F$1602,'Source Data'!$B$2:$B$1602,$A88))</f>
        <v/>
      </c>
    </row>
    <row r="89" customFormat="false" ht="15" hidden="false" customHeight="false" outlineLevel="0" collapsed="false">
      <c r="A89" s="5" t="s">
        <v>1064</v>
      </c>
      <c r="B89" s="7" t="n">
        <f aca="false">COUNTIF('Source Data'!$B$2:$B$1602,$A89)</f>
        <v>3</v>
      </c>
      <c r="C89" s="6" t="n">
        <f aca="false">IF(COUNTIFS('Source Data'!$B$2:$B$1602,$A89,'Source Data'!$C$2:$C$1602,"&lt;&gt;")=0,"",AVERAGEIF('Source Data'!$B$2:$B$1602,$A89,'Source Data'!$C$2:$C$1602))</f>
        <v>4</v>
      </c>
      <c r="D89" s="6" t="n">
        <f aca="false">IF(COUNTIFS('Source Data'!$B$2:$B$1602,$A89,'Source Data'!$C$2:$C$1602,"&lt;&gt;")=0,"",_xlfn.MINIFS('Source Data'!$C$2:$C$1602,'Source Data'!$B$2:$B$1602,$A89))</f>
        <v>2</v>
      </c>
      <c r="E89" s="6" t="n">
        <f aca="false">IF(COUNTIFS('Source Data'!$B$2:$B$1602,$A89,'Source Data'!$C$2:$C$1602,"&lt;&gt;")=0,"",_xlfn.MAXIFS('Source Data'!$C$2:$C$1602,'Source Data'!$B$2:$B$1602,$A89))</f>
        <v>6</v>
      </c>
      <c r="F89" s="6" t="n">
        <f aca="false">IF(COUNTIFS('Source Data'!$B$2:$B$1602,$A89,'Source Data'!$D$2:$D$1602,"&lt;&gt;")=0,"",AVERAGEIF('Source Data'!$B$2:$B$1602,$A89,'Source Data'!$D$2:$D$1602))</f>
        <v>8.83333333333333</v>
      </c>
      <c r="G89" s="6" t="n">
        <f aca="false">IF(COUNTIFS('Source Data'!$B$2:$B$1602,$A89,'Source Data'!$D$2:$D$1602,"&lt;&gt;")=0,"",_xlfn.MINIFS('Source Data'!$D$2:$D$1602,'Source Data'!$B$2:$B$1602,$A89))</f>
        <v>4</v>
      </c>
      <c r="H89" s="6" t="n">
        <f aca="false">IF(COUNTIFS('Source Data'!$B$2:$B$1602,$A89,'Source Data'!$D$2:$D$1602,"&lt;&gt;")=0,"",_xlfn.MAXIFS('Source Data'!$D$2:$D$1602,'Source Data'!$B$2:$B$1602,$A89))</f>
        <v>12.5</v>
      </c>
      <c r="I89" s="6" t="str">
        <f aca="false">IF(COUNTIFS('Source Data'!$B$2:$B$1602,$A89,'Source Data'!$E$2:$E$1602,"&lt;&gt;")=0,"",AVERAGEIF('Source Data'!$B$2:$B$1602,$A89,'Source Data'!$E$2:$E$1602))</f>
        <v/>
      </c>
      <c r="J89" s="6" t="str">
        <f aca="false">IF(COUNTIFS('Source Data'!$B$2:$B$1602,$A89,'Source Data'!$E$2:$E$1602,"&lt;&gt;")=0,"",_xlfn.MINIFS('Source Data'!$E$2:$E$1602,'Source Data'!$B$2:$B$1602,$A89))</f>
        <v/>
      </c>
      <c r="K89" s="6" t="str">
        <f aca="false">IF(COUNTIFS('Source Data'!$B$2:$B$1602,$A89,'Source Data'!$E$2:$E$1602,"&lt;&gt;")=0,"",_xlfn.MAXIFS('Source Data'!$E$2:$E$1602,'Source Data'!$B$2:$B$1602,$A89))</f>
        <v/>
      </c>
      <c r="L89" s="6" t="str">
        <f aca="false">IF(COUNTIFS('Source Data'!$B$2:$B$1602,$A89,'Source Data'!$F$2:$F$1602,"&lt;&gt;")=0,"",AVERAGEIF('Source Data'!$B$2:$B$1602,$A89,'Source Data'!$F$2:$F$1602))</f>
        <v/>
      </c>
      <c r="M89" s="6" t="str">
        <f aca="false">IF(COUNTIFS('Source Data'!$B$2:$B$1602,$A89,'Source Data'!$F$2:$F$1602,"&lt;&gt;")=0,"",_xlfn.MINIFS('Source Data'!$F$2:$F$1602,'Source Data'!$B$2:$B$1602,$A89))</f>
        <v/>
      </c>
      <c r="N89" s="6" t="str">
        <f aca="false">IF(COUNTIFS('Source Data'!$B$2:$B$1602,$A89,'Source Data'!$F$2:$F$1602,"&lt;&gt;")=0,"",_xlfn.MAXIFS('Source Data'!$F$2:$F$1602,'Source Data'!$B$2:$B$1602,$A89))</f>
        <v/>
      </c>
    </row>
    <row r="90" customFormat="false" ht="15" hidden="false" customHeight="false" outlineLevel="0" collapsed="false">
      <c r="A90" s="5" t="s">
        <v>236</v>
      </c>
      <c r="B90" s="7" t="n">
        <f aca="false">COUNTIF('Source Data'!$B$2:$B$1602,$A90)</f>
        <v>15</v>
      </c>
      <c r="C90" s="6" t="n">
        <f aca="false">IF(COUNTIFS('Source Data'!$B$2:$B$1602,$A90,'Source Data'!$C$2:$C$1602,"&lt;&gt;")=0,"",AVERAGEIF('Source Data'!$B$2:$B$1602,$A90,'Source Data'!$C$2:$C$1602))</f>
        <v>9.53333333333333</v>
      </c>
      <c r="D90" s="6" t="n">
        <f aca="false">IF(COUNTIFS('Source Data'!$B$2:$B$1602,$A90,'Source Data'!$C$2:$C$1602,"&lt;&gt;")=0,"",_xlfn.MINIFS('Source Data'!$C$2:$C$1602,'Source Data'!$B$2:$B$1602,$A90))</f>
        <v>2</v>
      </c>
      <c r="E90" s="6" t="n">
        <f aca="false">IF(COUNTIFS('Source Data'!$B$2:$B$1602,$A90,'Source Data'!$C$2:$C$1602,"&lt;&gt;")=0,"",_xlfn.MAXIFS('Source Data'!$C$2:$C$1602,'Source Data'!$B$2:$B$1602,$A90))</f>
        <v>16</v>
      </c>
      <c r="F90" s="6" t="n">
        <f aca="false">IF(COUNTIFS('Source Data'!$B$2:$B$1602,$A90,'Source Data'!$D$2:$D$1602,"&lt;&gt;")=0,"",AVERAGEIF('Source Data'!$B$2:$B$1602,$A90,'Source Data'!$D$2:$D$1602))</f>
        <v>9.30769230769231</v>
      </c>
      <c r="G90" s="6" t="n">
        <f aca="false">IF(COUNTIFS('Source Data'!$B$2:$B$1602,$A90,'Source Data'!$D$2:$D$1602,"&lt;&gt;")=0,"",_xlfn.MINIFS('Source Data'!$D$2:$D$1602,'Source Data'!$B$2:$B$1602,$A90))</f>
        <v>0</v>
      </c>
      <c r="H90" s="6" t="n">
        <f aca="false">IF(COUNTIFS('Source Data'!$B$2:$B$1602,$A90,'Source Data'!$D$2:$D$1602,"&lt;&gt;")=0,"",_xlfn.MAXIFS('Source Data'!$D$2:$D$1602,'Source Data'!$B$2:$B$1602,$A90))</f>
        <v>40</v>
      </c>
      <c r="I90" s="6" t="n">
        <f aca="false">IF(COUNTIFS('Source Data'!$B$2:$B$1602,$A90,'Source Data'!$E$2:$E$1602,"&lt;&gt;")=0,"",AVERAGEIF('Source Data'!$B$2:$B$1602,$A90,'Source Data'!$E$2:$E$1602))</f>
        <v>9</v>
      </c>
      <c r="J90" s="6" t="n">
        <f aca="false">IF(COUNTIFS('Source Data'!$B$2:$B$1602,$A90,'Source Data'!$E$2:$E$1602,"&lt;&gt;")=0,"",_xlfn.MINIFS('Source Data'!$E$2:$E$1602,'Source Data'!$B$2:$B$1602,$A90))</f>
        <v>6</v>
      </c>
      <c r="K90" s="6" t="n">
        <f aca="false">IF(COUNTIFS('Source Data'!$B$2:$B$1602,$A90,'Source Data'!$E$2:$E$1602,"&lt;&gt;")=0,"",_xlfn.MAXIFS('Source Data'!$E$2:$E$1602,'Source Data'!$B$2:$B$1602,$A90))</f>
        <v>12</v>
      </c>
      <c r="L90" s="6" t="str">
        <f aca="false">IF(COUNTIFS('Source Data'!$B$2:$B$1602,$A90,'Source Data'!$F$2:$F$1602,"&lt;&gt;")=0,"",AVERAGEIF('Source Data'!$B$2:$B$1602,$A90,'Source Data'!$F$2:$F$1602))</f>
        <v/>
      </c>
      <c r="M90" s="6" t="str">
        <f aca="false">IF(COUNTIFS('Source Data'!$B$2:$B$1602,$A90,'Source Data'!$F$2:$F$1602,"&lt;&gt;")=0,"",_xlfn.MINIFS('Source Data'!$F$2:$F$1602,'Source Data'!$B$2:$B$1602,$A90))</f>
        <v/>
      </c>
      <c r="N90" s="6" t="str">
        <f aca="false">IF(COUNTIFS('Source Data'!$B$2:$B$1602,$A90,'Source Data'!$F$2:$F$1602,"&lt;&gt;")=0,"",_xlfn.MAXIFS('Source Data'!$F$2:$F$1602,'Source Data'!$B$2:$B$1602,$A90))</f>
        <v/>
      </c>
    </row>
    <row r="91" customFormat="false" ht="15" hidden="false" customHeight="false" outlineLevel="0" collapsed="false">
      <c r="A91" s="5" t="s">
        <v>58</v>
      </c>
      <c r="B91" s="7" t="n">
        <f aca="false">COUNTIF('Source Data'!$B$2:$B$1602,$A91)</f>
        <v>24</v>
      </c>
      <c r="C91" s="6" t="n">
        <f aca="false">IF(COUNTIFS('Source Data'!$B$2:$B$1602,$A91,'Source Data'!$C$2:$C$1602,"&lt;&gt;")=0,"",AVERAGEIF('Source Data'!$B$2:$B$1602,$A91,'Source Data'!$C$2:$C$1602))</f>
        <v>7.25</v>
      </c>
      <c r="D91" s="6" t="n">
        <f aca="false">IF(COUNTIFS('Source Data'!$B$2:$B$1602,$A91,'Source Data'!$C$2:$C$1602,"&lt;&gt;")=0,"",_xlfn.MINIFS('Source Data'!$C$2:$C$1602,'Source Data'!$B$2:$B$1602,$A91))</f>
        <v>0</v>
      </c>
      <c r="E91" s="6" t="n">
        <f aca="false">IF(COUNTIFS('Source Data'!$B$2:$B$1602,$A91,'Source Data'!$C$2:$C$1602,"&lt;&gt;")=0,"",_xlfn.MAXIFS('Source Data'!$C$2:$C$1602,'Source Data'!$B$2:$B$1602,$A91))</f>
        <v>16</v>
      </c>
      <c r="F91" s="6" t="n">
        <f aca="false">IF(COUNTIFS('Source Data'!$B$2:$B$1602,$A91,'Source Data'!$D$2:$D$1602,"&lt;&gt;")=0,"",AVERAGEIF('Source Data'!$B$2:$B$1602,$A91,'Source Data'!$D$2:$D$1602))</f>
        <v>4.71739130434783</v>
      </c>
      <c r="G91" s="6" t="n">
        <f aca="false">IF(COUNTIFS('Source Data'!$B$2:$B$1602,$A91,'Source Data'!$D$2:$D$1602,"&lt;&gt;")=0,"",_xlfn.MINIFS('Source Data'!$D$2:$D$1602,'Source Data'!$B$2:$B$1602,$A91))</f>
        <v>0</v>
      </c>
      <c r="H91" s="6" t="n">
        <f aca="false">IF(COUNTIFS('Source Data'!$B$2:$B$1602,$A91,'Source Data'!$D$2:$D$1602,"&lt;&gt;")=0,"",_xlfn.MAXIFS('Source Data'!$D$2:$D$1602,'Source Data'!$B$2:$B$1602,$A91))</f>
        <v>12</v>
      </c>
      <c r="I91" s="6" t="n">
        <f aca="false">IF(COUNTIFS('Source Data'!$B$2:$B$1602,$A91,'Source Data'!$E$2:$E$1602,"&lt;&gt;")=0,"",AVERAGEIF('Source Data'!$B$2:$B$1602,$A91,'Source Data'!$E$2:$E$1602))</f>
        <v>3.75</v>
      </c>
      <c r="J91" s="6" t="n">
        <f aca="false">IF(COUNTIFS('Source Data'!$B$2:$B$1602,$A91,'Source Data'!$E$2:$E$1602,"&lt;&gt;")=0,"",_xlfn.MINIFS('Source Data'!$E$2:$E$1602,'Source Data'!$B$2:$B$1602,$A91))</f>
        <v>0</v>
      </c>
      <c r="K91" s="6" t="n">
        <f aca="false">IF(COUNTIFS('Source Data'!$B$2:$B$1602,$A91,'Source Data'!$E$2:$E$1602,"&lt;&gt;")=0,"",_xlfn.MAXIFS('Source Data'!$E$2:$E$1602,'Source Data'!$B$2:$B$1602,$A91))</f>
        <v>6</v>
      </c>
      <c r="L91" s="6" t="n">
        <f aca="false">IF(COUNTIFS('Source Data'!$B$2:$B$1602,$A91,'Source Data'!$F$2:$F$1602,"&lt;&gt;")=0,"",AVERAGEIF('Source Data'!$B$2:$B$1602,$A91,'Source Data'!$F$2:$F$1602))</f>
        <v>4.66666666666667</v>
      </c>
      <c r="M91" s="6" t="n">
        <f aca="false">IF(COUNTIFS('Source Data'!$B$2:$B$1602,$A91,'Source Data'!$F$2:$F$1602,"&lt;&gt;")=0,"",_xlfn.MINIFS('Source Data'!$F$2:$F$1602,'Source Data'!$B$2:$B$1602,$A91))</f>
        <v>4</v>
      </c>
      <c r="N91" s="6" t="n">
        <f aca="false">IF(COUNTIFS('Source Data'!$B$2:$B$1602,$A91,'Source Data'!$F$2:$F$1602,"&lt;&gt;")=0,"",_xlfn.MAXIFS('Source Data'!$F$2:$F$1602,'Source Data'!$B$2:$B$1602,$A91))</f>
        <v>6</v>
      </c>
    </row>
    <row r="92" customFormat="false" ht="15" hidden="false" customHeight="false" outlineLevel="0" collapsed="false">
      <c r="A92" s="5" t="s">
        <v>243</v>
      </c>
      <c r="B92" s="7" t="n">
        <f aca="false">COUNTIF('Source Data'!$B$2:$B$1602,$A92)</f>
        <v>9</v>
      </c>
      <c r="C92" s="6" t="n">
        <f aca="false">IF(COUNTIFS('Source Data'!$B$2:$B$1602,$A92,'Source Data'!$C$2:$C$1602,"&lt;&gt;")=0,"",AVERAGEIF('Source Data'!$B$2:$B$1602,$A92,'Source Data'!$C$2:$C$1602))</f>
        <v>14.6666666666667</v>
      </c>
      <c r="D92" s="6" t="n">
        <f aca="false">IF(COUNTIFS('Source Data'!$B$2:$B$1602,$A92,'Source Data'!$C$2:$C$1602,"&lt;&gt;")=0,"",_xlfn.MINIFS('Source Data'!$C$2:$C$1602,'Source Data'!$B$2:$B$1602,$A92))</f>
        <v>5</v>
      </c>
      <c r="E92" s="6" t="n">
        <f aca="false">IF(COUNTIFS('Source Data'!$B$2:$B$1602,$A92,'Source Data'!$C$2:$C$1602,"&lt;&gt;")=0,"",_xlfn.MAXIFS('Source Data'!$C$2:$C$1602,'Source Data'!$B$2:$B$1602,$A92))</f>
        <v>52</v>
      </c>
      <c r="F92" s="6" t="n">
        <f aca="false">IF(COUNTIFS('Source Data'!$B$2:$B$1602,$A92,'Source Data'!$D$2:$D$1602,"&lt;&gt;")=0,"",AVERAGEIF('Source Data'!$B$2:$B$1602,$A92,'Source Data'!$D$2:$D$1602))</f>
        <v>8.44444444444445</v>
      </c>
      <c r="G92" s="6" t="n">
        <f aca="false">IF(COUNTIFS('Source Data'!$B$2:$B$1602,$A92,'Source Data'!$D$2:$D$1602,"&lt;&gt;")=0,"",_xlfn.MINIFS('Source Data'!$D$2:$D$1602,'Source Data'!$B$2:$B$1602,$A92))</f>
        <v>0</v>
      </c>
      <c r="H92" s="6" t="n">
        <f aca="false">IF(COUNTIFS('Source Data'!$B$2:$B$1602,$A92,'Source Data'!$D$2:$D$1602,"&lt;&gt;")=0,"",_xlfn.MAXIFS('Source Data'!$D$2:$D$1602,'Source Data'!$B$2:$B$1602,$A92))</f>
        <v>23</v>
      </c>
      <c r="I92" s="6" t="str">
        <f aca="false">IF(COUNTIFS('Source Data'!$B$2:$B$1602,$A92,'Source Data'!$E$2:$E$1602,"&lt;&gt;")=0,"",AVERAGEIF('Source Data'!$B$2:$B$1602,$A92,'Source Data'!$E$2:$E$1602))</f>
        <v/>
      </c>
      <c r="J92" s="6" t="str">
        <f aca="false">IF(COUNTIFS('Source Data'!$B$2:$B$1602,$A92,'Source Data'!$E$2:$E$1602,"&lt;&gt;")=0,"",_xlfn.MINIFS('Source Data'!$E$2:$E$1602,'Source Data'!$B$2:$B$1602,$A92))</f>
        <v/>
      </c>
      <c r="K92" s="6" t="str">
        <f aca="false">IF(COUNTIFS('Source Data'!$B$2:$B$1602,$A92,'Source Data'!$E$2:$E$1602,"&lt;&gt;")=0,"",_xlfn.MAXIFS('Source Data'!$E$2:$E$1602,'Source Data'!$B$2:$B$1602,$A92))</f>
        <v/>
      </c>
      <c r="L92" s="6" t="n">
        <f aca="false">IF(COUNTIFS('Source Data'!$B$2:$B$1602,$A92,'Source Data'!$F$2:$F$1602,"&lt;&gt;")=0,"",AVERAGEIF('Source Data'!$B$2:$B$1602,$A92,'Source Data'!$F$2:$F$1602))</f>
        <v>0</v>
      </c>
      <c r="M92" s="6" t="n">
        <f aca="false">IF(COUNTIFS('Source Data'!$B$2:$B$1602,$A92,'Source Data'!$F$2:$F$1602,"&lt;&gt;")=0,"",_xlfn.MINIFS('Source Data'!$F$2:$F$1602,'Source Data'!$B$2:$B$1602,$A92))</f>
        <v>0</v>
      </c>
      <c r="N92" s="6" t="n">
        <f aca="false">IF(COUNTIFS('Source Data'!$B$2:$B$1602,$A92,'Source Data'!$F$2:$F$1602,"&lt;&gt;")=0,"",_xlfn.MAXIFS('Source Data'!$F$2:$F$1602,'Source Data'!$B$2:$B$1602,$A92))</f>
        <v>0</v>
      </c>
    </row>
    <row r="93" customFormat="false" ht="15" hidden="false" customHeight="false" outlineLevel="0" collapsed="false">
      <c r="A93" s="5" t="s">
        <v>245</v>
      </c>
      <c r="B93" s="7" t="n">
        <f aca="false">COUNTIF('Source Data'!$B$2:$B$1602,$A93)</f>
        <v>17</v>
      </c>
      <c r="C93" s="6" t="n">
        <f aca="false">IF(COUNTIFS('Source Data'!$B$2:$B$1602,$A93,'Source Data'!$C$2:$C$1602,"&lt;&gt;")=0,"",AVERAGEIF('Source Data'!$B$2:$B$1602,$A93,'Source Data'!$C$2:$C$1602))</f>
        <v>9.64705882352941</v>
      </c>
      <c r="D93" s="6" t="n">
        <f aca="false">IF(COUNTIFS('Source Data'!$B$2:$B$1602,$A93,'Source Data'!$C$2:$C$1602,"&lt;&gt;")=0,"",_xlfn.MINIFS('Source Data'!$C$2:$C$1602,'Source Data'!$B$2:$B$1602,$A93))</f>
        <v>1</v>
      </c>
      <c r="E93" s="6" t="n">
        <f aca="false">IF(COUNTIFS('Source Data'!$B$2:$B$1602,$A93,'Source Data'!$C$2:$C$1602,"&lt;&gt;")=0,"",_xlfn.MAXIFS('Source Data'!$C$2:$C$1602,'Source Data'!$B$2:$B$1602,$A93))</f>
        <v>52</v>
      </c>
      <c r="F93" s="6" t="n">
        <f aca="false">IF(COUNTIFS('Source Data'!$B$2:$B$1602,$A93,'Source Data'!$D$2:$D$1602,"&lt;&gt;")=0,"",AVERAGEIF('Source Data'!$B$2:$B$1602,$A93,'Source Data'!$D$2:$D$1602))</f>
        <v>5</v>
      </c>
      <c r="G93" s="6" t="n">
        <f aca="false">IF(COUNTIFS('Source Data'!$B$2:$B$1602,$A93,'Source Data'!$D$2:$D$1602,"&lt;&gt;")=0,"",_xlfn.MINIFS('Source Data'!$D$2:$D$1602,'Source Data'!$B$2:$B$1602,$A93))</f>
        <v>0</v>
      </c>
      <c r="H93" s="6" t="n">
        <f aca="false">IF(COUNTIFS('Source Data'!$B$2:$B$1602,$A93,'Source Data'!$D$2:$D$1602,"&lt;&gt;")=0,"",_xlfn.MAXIFS('Source Data'!$D$2:$D$1602,'Source Data'!$B$2:$B$1602,$A93))</f>
        <v>16</v>
      </c>
      <c r="I93" s="6" t="n">
        <f aca="false">IF(COUNTIFS('Source Data'!$B$2:$B$1602,$A93,'Source Data'!$E$2:$E$1602,"&lt;&gt;")=0,"",AVERAGEIF('Source Data'!$B$2:$B$1602,$A93,'Source Data'!$E$2:$E$1602))</f>
        <v>6.66666666666667</v>
      </c>
      <c r="J93" s="6" t="n">
        <f aca="false">IF(COUNTIFS('Source Data'!$B$2:$B$1602,$A93,'Source Data'!$E$2:$E$1602,"&lt;&gt;")=0,"",_xlfn.MINIFS('Source Data'!$E$2:$E$1602,'Source Data'!$B$2:$B$1602,$A93))</f>
        <v>2</v>
      </c>
      <c r="K93" s="6" t="n">
        <f aca="false">IF(COUNTIFS('Source Data'!$B$2:$B$1602,$A93,'Source Data'!$E$2:$E$1602,"&lt;&gt;")=0,"",_xlfn.MAXIFS('Source Data'!$E$2:$E$1602,'Source Data'!$B$2:$B$1602,$A93))</f>
        <v>12</v>
      </c>
      <c r="L93" s="6" t="str">
        <f aca="false">IF(COUNTIFS('Source Data'!$B$2:$B$1602,$A93,'Source Data'!$F$2:$F$1602,"&lt;&gt;")=0,"",AVERAGEIF('Source Data'!$B$2:$B$1602,$A93,'Source Data'!$F$2:$F$1602))</f>
        <v/>
      </c>
      <c r="M93" s="6" t="str">
        <f aca="false">IF(COUNTIFS('Source Data'!$B$2:$B$1602,$A93,'Source Data'!$F$2:$F$1602,"&lt;&gt;")=0,"",_xlfn.MINIFS('Source Data'!$F$2:$F$1602,'Source Data'!$B$2:$B$1602,$A93))</f>
        <v/>
      </c>
      <c r="N93" s="6" t="str">
        <f aca="false">IF(COUNTIFS('Source Data'!$B$2:$B$1602,$A93,'Source Data'!$F$2:$F$1602,"&lt;&gt;")=0,"",_xlfn.MAXIFS('Source Data'!$F$2:$F$1602,'Source Data'!$B$2:$B$1602,$A93))</f>
        <v/>
      </c>
    </row>
    <row r="94" customFormat="false" ht="15" hidden="false" customHeight="false" outlineLevel="0" collapsed="false">
      <c r="A94" s="5" t="s">
        <v>1119</v>
      </c>
      <c r="B94" s="7" t="n">
        <f aca="false">COUNTIF('Source Data'!$B$2:$B$1602,$A94)</f>
        <v>1</v>
      </c>
      <c r="C94" s="6" t="n">
        <f aca="false">IF(COUNTIFS('Source Data'!$B$2:$B$1602,$A94,'Source Data'!$C$2:$C$1602,"&lt;&gt;")=0,"",AVERAGEIF('Source Data'!$B$2:$B$1602,$A94,'Source Data'!$C$2:$C$1602))</f>
        <v>8</v>
      </c>
      <c r="D94" s="6" t="n">
        <f aca="false">IF(COUNTIFS('Source Data'!$B$2:$B$1602,$A94,'Source Data'!$C$2:$C$1602,"&lt;&gt;")=0,"",_xlfn.MINIFS('Source Data'!$C$2:$C$1602,'Source Data'!$B$2:$B$1602,$A94))</f>
        <v>8</v>
      </c>
      <c r="E94" s="6" t="n">
        <f aca="false">IF(COUNTIFS('Source Data'!$B$2:$B$1602,$A94,'Source Data'!$C$2:$C$1602,"&lt;&gt;")=0,"",_xlfn.MAXIFS('Source Data'!$C$2:$C$1602,'Source Data'!$B$2:$B$1602,$A94))</f>
        <v>8</v>
      </c>
      <c r="F94" s="6" t="n">
        <f aca="false">IF(COUNTIFS('Source Data'!$B$2:$B$1602,$A94,'Source Data'!$D$2:$D$1602,"&lt;&gt;")=0,"",AVERAGEIF('Source Data'!$B$2:$B$1602,$A94,'Source Data'!$D$2:$D$1602))</f>
        <v>12</v>
      </c>
      <c r="G94" s="6" t="n">
        <f aca="false">IF(COUNTIFS('Source Data'!$B$2:$B$1602,$A94,'Source Data'!$D$2:$D$1602,"&lt;&gt;")=0,"",_xlfn.MINIFS('Source Data'!$D$2:$D$1602,'Source Data'!$B$2:$B$1602,$A94))</f>
        <v>12</v>
      </c>
      <c r="H94" s="6" t="n">
        <f aca="false">IF(COUNTIFS('Source Data'!$B$2:$B$1602,$A94,'Source Data'!$D$2:$D$1602,"&lt;&gt;")=0,"",_xlfn.MAXIFS('Source Data'!$D$2:$D$1602,'Source Data'!$B$2:$B$1602,$A94))</f>
        <v>12</v>
      </c>
      <c r="I94" s="6" t="str">
        <f aca="false">IF(COUNTIFS('Source Data'!$B$2:$B$1602,$A94,'Source Data'!$E$2:$E$1602,"&lt;&gt;")=0,"",AVERAGEIF('Source Data'!$B$2:$B$1602,$A94,'Source Data'!$E$2:$E$1602))</f>
        <v/>
      </c>
      <c r="J94" s="6" t="str">
        <f aca="false">IF(COUNTIFS('Source Data'!$B$2:$B$1602,$A94,'Source Data'!$E$2:$E$1602,"&lt;&gt;")=0,"",_xlfn.MINIFS('Source Data'!$E$2:$E$1602,'Source Data'!$B$2:$B$1602,$A94))</f>
        <v/>
      </c>
      <c r="K94" s="6" t="str">
        <f aca="false">IF(COUNTIFS('Source Data'!$B$2:$B$1602,$A94,'Source Data'!$E$2:$E$1602,"&lt;&gt;")=0,"",_xlfn.MAXIFS('Source Data'!$E$2:$E$1602,'Source Data'!$B$2:$B$1602,$A94))</f>
        <v/>
      </c>
      <c r="L94" s="6" t="str">
        <f aca="false">IF(COUNTIFS('Source Data'!$B$2:$B$1602,$A94,'Source Data'!$F$2:$F$1602,"&lt;&gt;")=0,"",AVERAGEIF('Source Data'!$B$2:$B$1602,$A94,'Source Data'!$F$2:$F$1602))</f>
        <v/>
      </c>
      <c r="M94" s="6" t="str">
        <f aca="false">IF(COUNTIFS('Source Data'!$B$2:$B$1602,$A94,'Source Data'!$F$2:$F$1602,"&lt;&gt;")=0,"",_xlfn.MINIFS('Source Data'!$F$2:$F$1602,'Source Data'!$B$2:$B$1602,$A94))</f>
        <v/>
      </c>
      <c r="N94" s="6" t="str">
        <f aca="false">IF(COUNTIFS('Source Data'!$B$2:$B$1602,$A94,'Source Data'!$F$2:$F$1602,"&lt;&gt;")=0,"",_xlfn.MAXIFS('Source Data'!$F$2:$F$1602,'Source Data'!$B$2:$B$1602,$A94))</f>
        <v/>
      </c>
    </row>
    <row r="95" customFormat="false" ht="15" hidden="false" customHeight="false" outlineLevel="0" collapsed="false">
      <c r="A95" s="5" t="s">
        <v>249</v>
      </c>
      <c r="B95" s="7" t="n">
        <f aca="false">COUNTIF('Source Data'!$B$2:$B$1602,$A95)</f>
        <v>28</v>
      </c>
      <c r="C95" s="6" t="n">
        <f aca="false">IF(COUNTIFS('Source Data'!$B$2:$B$1602,$A95,'Source Data'!$C$2:$C$1602,"&lt;&gt;")=0,"",AVERAGEIF('Source Data'!$B$2:$B$1602,$A95,'Source Data'!$C$2:$C$1602))</f>
        <v>13.6071428571429</v>
      </c>
      <c r="D95" s="6" t="n">
        <f aca="false">IF(COUNTIFS('Source Data'!$B$2:$B$1602,$A95,'Source Data'!$C$2:$C$1602,"&lt;&gt;")=0,"",_xlfn.MINIFS('Source Data'!$C$2:$C$1602,'Source Data'!$B$2:$B$1602,$A95))</f>
        <v>0</v>
      </c>
      <c r="E95" s="6" t="n">
        <f aca="false">IF(COUNTIFS('Source Data'!$B$2:$B$1602,$A95,'Source Data'!$C$2:$C$1602,"&lt;&gt;")=0,"",_xlfn.MAXIFS('Source Data'!$C$2:$C$1602,'Source Data'!$B$2:$B$1602,$A95))</f>
        <v>52</v>
      </c>
      <c r="F95" s="6" t="n">
        <f aca="false">IF(COUNTIFS('Source Data'!$B$2:$B$1602,$A95,'Source Data'!$D$2:$D$1602,"&lt;&gt;")=0,"",AVERAGEIF('Source Data'!$B$2:$B$1602,$A95,'Source Data'!$D$2:$D$1602))</f>
        <v>6.92592592592593</v>
      </c>
      <c r="G95" s="6" t="n">
        <f aca="false">IF(COUNTIFS('Source Data'!$B$2:$B$1602,$A95,'Source Data'!$D$2:$D$1602,"&lt;&gt;")=0,"",_xlfn.MINIFS('Source Data'!$D$2:$D$1602,'Source Data'!$B$2:$B$1602,$A95))</f>
        <v>0</v>
      </c>
      <c r="H95" s="6" t="n">
        <f aca="false">IF(COUNTIFS('Source Data'!$B$2:$B$1602,$A95,'Source Data'!$D$2:$D$1602,"&lt;&gt;")=0,"",_xlfn.MAXIFS('Source Data'!$D$2:$D$1602,'Source Data'!$B$2:$B$1602,$A95))</f>
        <v>52</v>
      </c>
      <c r="I95" s="6" t="n">
        <f aca="false">IF(COUNTIFS('Source Data'!$B$2:$B$1602,$A95,'Source Data'!$E$2:$E$1602,"&lt;&gt;")=0,"",AVERAGEIF('Source Data'!$B$2:$B$1602,$A95,'Source Data'!$E$2:$E$1602))</f>
        <v>7.33333333333333</v>
      </c>
      <c r="J95" s="6" t="n">
        <f aca="false">IF(COUNTIFS('Source Data'!$B$2:$B$1602,$A95,'Source Data'!$E$2:$E$1602,"&lt;&gt;")=0,"",_xlfn.MINIFS('Source Data'!$E$2:$E$1602,'Source Data'!$B$2:$B$1602,$A95))</f>
        <v>0</v>
      </c>
      <c r="K95" s="6" t="n">
        <f aca="false">IF(COUNTIFS('Source Data'!$B$2:$B$1602,$A95,'Source Data'!$E$2:$E$1602,"&lt;&gt;")=0,"",_xlfn.MAXIFS('Source Data'!$E$2:$E$1602,'Source Data'!$B$2:$B$1602,$A95))</f>
        <v>16</v>
      </c>
      <c r="L95" s="6" t="str">
        <f aca="false">IF(COUNTIFS('Source Data'!$B$2:$B$1602,$A95,'Source Data'!$F$2:$F$1602,"&lt;&gt;")=0,"",AVERAGEIF('Source Data'!$B$2:$B$1602,$A95,'Source Data'!$F$2:$F$1602))</f>
        <v/>
      </c>
      <c r="M95" s="6" t="str">
        <f aca="false">IF(COUNTIFS('Source Data'!$B$2:$B$1602,$A95,'Source Data'!$F$2:$F$1602,"&lt;&gt;")=0,"",_xlfn.MINIFS('Source Data'!$F$2:$F$1602,'Source Data'!$B$2:$B$1602,$A95))</f>
        <v/>
      </c>
      <c r="N95" s="6" t="str">
        <f aca="false">IF(COUNTIFS('Source Data'!$B$2:$B$1602,$A95,'Source Data'!$F$2:$F$1602,"&lt;&gt;")=0,"",_xlfn.MAXIFS('Source Data'!$F$2:$F$1602,'Source Data'!$B$2:$B$1602,$A95))</f>
        <v/>
      </c>
    </row>
    <row r="96" customFormat="false" ht="15" hidden="false" customHeight="false" outlineLevel="0" collapsed="false">
      <c r="A96" s="5" t="s">
        <v>1147</v>
      </c>
      <c r="B96" s="7" t="n">
        <f aca="false">COUNTIF('Source Data'!$B$2:$B$1602,$A96)</f>
        <v>1</v>
      </c>
      <c r="C96" s="6" t="n">
        <f aca="false">IF(COUNTIFS('Source Data'!$B$2:$B$1602,$A96,'Source Data'!$C$2:$C$1602,"&lt;&gt;")=0,"",AVERAGEIF('Source Data'!$B$2:$B$1602,$A96,'Source Data'!$C$2:$C$1602))</f>
        <v>4</v>
      </c>
      <c r="D96" s="6" t="n">
        <f aca="false">IF(COUNTIFS('Source Data'!$B$2:$B$1602,$A96,'Source Data'!$C$2:$C$1602,"&lt;&gt;")=0,"",_xlfn.MINIFS('Source Data'!$C$2:$C$1602,'Source Data'!$B$2:$B$1602,$A96))</f>
        <v>4</v>
      </c>
      <c r="E96" s="6" t="n">
        <f aca="false">IF(COUNTIFS('Source Data'!$B$2:$B$1602,$A96,'Source Data'!$C$2:$C$1602,"&lt;&gt;")=0,"",_xlfn.MAXIFS('Source Data'!$C$2:$C$1602,'Source Data'!$B$2:$B$1602,$A96))</f>
        <v>4</v>
      </c>
      <c r="F96" s="6" t="n">
        <f aca="false">IF(COUNTIFS('Source Data'!$B$2:$B$1602,$A96,'Source Data'!$D$2:$D$1602,"&lt;&gt;")=0,"",AVERAGEIF('Source Data'!$B$2:$B$1602,$A96,'Source Data'!$D$2:$D$1602))</f>
        <v>3</v>
      </c>
      <c r="G96" s="6" t="n">
        <f aca="false">IF(COUNTIFS('Source Data'!$B$2:$B$1602,$A96,'Source Data'!$D$2:$D$1602,"&lt;&gt;")=0,"",_xlfn.MINIFS('Source Data'!$D$2:$D$1602,'Source Data'!$B$2:$B$1602,$A96))</f>
        <v>3</v>
      </c>
      <c r="H96" s="6" t="n">
        <f aca="false">IF(COUNTIFS('Source Data'!$B$2:$B$1602,$A96,'Source Data'!$D$2:$D$1602,"&lt;&gt;")=0,"",_xlfn.MAXIFS('Source Data'!$D$2:$D$1602,'Source Data'!$B$2:$B$1602,$A96))</f>
        <v>3</v>
      </c>
      <c r="I96" s="6" t="str">
        <f aca="false">IF(COUNTIFS('Source Data'!$B$2:$B$1602,$A96,'Source Data'!$E$2:$E$1602,"&lt;&gt;")=0,"",AVERAGEIF('Source Data'!$B$2:$B$1602,$A96,'Source Data'!$E$2:$E$1602))</f>
        <v/>
      </c>
      <c r="J96" s="6" t="str">
        <f aca="false">IF(COUNTIFS('Source Data'!$B$2:$B$1602,$A96,'Source Data'!$E$2:$E$1602,"&lt;&gt;")=0,"",_xlfn.MINIFS('Source Data'!$E$2:$E$1602,'Source Data'!$B$2:$B$1602,$A96))</f>
        <v/>
      </c>
      <c r="K96" s="6" t="str">
        <f aca="false">IF(COUNTIFS('Source Data'!$B$2:$B$1602,$A96,'Source Data'!$E$2:$E$1602,"&lt;&gt;")=0,"",_xlfn.MAXIFS('Source Data'!$E$2:$E$1602,'Source Data'!$B$2:$B$1602,$A96))</f>
        <v/>
      </c>
      <c r="L96" s="6" t="str">
        <f aca="false">IF(COUNTIFS('Source Data'!$B$2:$B$1602,$A96,'Source Data'!$F$2:$F$1602,"&lt;&gt;")=0,"",AVERAGEIF('Source Data'!$B$2:$B$1602,$A96,'Source Data'!$F$2:$F$1602))</f>
        <v/>
      </c>
      <c r="M96" s="6" t="str">
        <f aca="false">IF(COUNTIFS('Source Data'!$B$2:$B$1602,$A96,'Source Data'!$F$2:$F$1602,"&lt;&gt;")=0,"",_xlfn.MINIFS('Source Data'!$F$2:$F$1602,'Source Data'!$B$2:$B$1602,$A96))</f>
        <v/>
      </c>
      <c r="N96" s="6" t="str">
        <f aca="false">IF(COUNTIFS('Source Data'!$B$2:$B$1602,$A96,'Source Data'!$F$2:$F$1602,"&lt;&gt;")=0,"",_xlfn.MAXIFS('Source Data'!$F$2:$F$1602,'Source Data'!$B$2:$B$1602,$A96))</f>
        <v/>
      </c>
    </row>
    <row r="97" customFormat="false" ht="15" hidden="false" customHeight="false" outlineLevel="0" collapsed="false">
      <c r="A97" s="5" t="s">
        <v>252</v>
      </c>
      <c r="B97" s="7" t="n">
        <f aca="false">COUNTIF('Source Data'!$B$2:$B$1602,$A97)</f>
        <v>4</v>
      </c>
      <c r="C97" s="6" t="n">
        <f aca="false">IF(COUNTIFS('Source Data'!$B$2:$B$1602,$A97,'Source Data'!$C$2:$C$1602,"&lt;&gt;")=0,"",AVERAGEIF('Source Data'!$B$2:$B$1602,$A97,'Source Data'!$C$2:$C$1602))</f>
        <v>10.75</v>
      </c>
      <c r="D97" s="6" t="n">
        <f aca="false">IF(COUNTIFS('Source Data'!$B$2:$B$1602,$A97,'Source Data'!$C$2:$C$1602,"&lt;&gt;")=0,"",_xlfn.MINIFS('Source Data'!$C$2:$C$1602,'Source Data'!$B$2:$B$1602,$A97))</f>
        <v>3</v>
      </c>
      <c r="E97" s="6" t="n">
        <f aca="false">IF(COUNTIFS('Source Data'!$B$2:$B$1602,$A97,'Source Data'!$C$2:$C$1602,"&lt;&gt;")=0,"",_xlfn.MAXIFS('Source Data'!$C$2:$C$1602,'Source Data'!$B$2:$B$1602,$A97))</f>
        <v>18</v>
      </c>
      <c r="F97" s="6" t="n">
        <f aca="false">IF(COUNTIFS('Source Data'!$B$2:$B$1602,$A97,'Source Data'!$D$2:$D$1602,"&lt;&gt;")=0,"",AVERAGEIF('Source Data'!$B$2:$B$1602,$A97,'Source Data'!$D$2:$D$1602))</f>
        <v>1.5</v>
      </c>
      <c r="G97" s="6" t="n">
        <f aca="false">IF(COUNTIFS('Source Data'!$B$2:$B$1602,$A97,'Source Data'!$D$2:$D$1602,"&lt;&gt;")=0,"",_xlfn.MINIFS('Source Data'!$D$2:$D$1602,'Source Data'!$B$2:$B$1602,$A97))</f>
        <v>0</v>
      </c>
      <c r="H97" s="6" t="n">
        <f aca="false">IF(COUNTIFS('Source Data'!$B$2:$B$1602,$A97,'Source Data'!$D$2:$D$1602,"&lt;&gt;")=0,"",_xlfn.MAXIFS('Source Data'!$D$2:$D$1602,'Source Data'!$B$2:$B$1602,$A97))</f>
        <v>4</v>
      </c>
      <c r="I97" s="6" t="n">
        <f aca="false">IF(COUNTIFS('Source Data'!$B$2:$B$1602,$A97,'Source Data'!$E$2:$E$1602,"&lt;&gt;")=0,"",AVERAGEIF('Source Data'!$B$2:$B$1602,$A97,'Source Data'!$E$2:$E$1602))</f>
        <v>12</v>
      </c>
      <c r="J97" s="6" t="n">
        <f aca="false">IF(COUNTIFS('Source Data'!$B$2:$B$1602,$A97,'Source Data'!$E$2:$E$1602,"&lt;&gt;")=0,"",_xlfn.MINIFS('Source Data'!$E$2:$E$1602,'Source Data'!$B$2:$B$1602,$A97))</f>
        <v>12</v>
      </c>
      <c r="K97" s="6" t="n">
        <f aca="false">IF(COUNTIFS('Source Data'!$B$2:$B$1602,$A97,'Source Data'!$E$2:$E$1602,"&lt;&gt;")=0,"",_xlfn.MAXIFS('Source Data'!$E$2:$E$1602,'Source Data'!$B$2:$B$1602,$A97))</f>
        <v>12</v>
      </c>
      <c r="L97" s="6" t="str">
        <f aca="false">IF(COUNTIFS('Source Data'!$B$2:$B$1602,$A97,'Source Data'!$F$2:$F$1602,"&lt;&gt;")=0,"",AVERAGEIF('Source Data'!$B$2:$B$1602,$A97,'Source Data'!$F$2:$F$1602))</f>
        <v/>
      </c>
      <c r="M97" s="6" t="str">
        <f aca="false">IF(COUNTIFS('Source Data'!$B$2:$B$1602,$A97,'Source Data'!$F$2:$F$1602,"&lt;&gt;")=0,"",_xlfn.MINIFS('Source Data'!$F$2:$F$1602,'Source Data'!$B$2:$B$1602,$A97))</f>
        <v/>
      </c>
      <c r="N97" s="6" t="str">
        <f aca="false">IF(COUNTIFS('Source Data'!$B$2:$B$1602,$A97,'Source Data'!$F$2:$F$1602,"&lt;&gt;")=0,"",_xlfn.MAXIFS('Source Data'!$F$2:$F$1602,'Source Data'!$B$2:$B$1602,$A97))</f>
        <v/>
      </c>
    </row>
    <row r="98" customFormat="false" ht="15" hidden="false" customHeight="false" outlineLevel="0" collapsed="false">
      <c r="A98" s="5" t="s">
        <v>1775</v>
      </c>
      <c r="B98" s="7" t="n">
        <f aca="false">COUNTIF('Source Data'!$B$2:$B$1602,$A98)</f>
        <v>1</v>
      </c>
      <c r="C98" s="6" t="n">
        <f aca="false">IF(COUNTIFS('Source Data'!$B$2:$B$1602,$A98,'Source Data'!$C$2:$C$1602,"&lt;&gt;")=0,"",AVERAGEIF('Source Data'!$B$2:$B$1602,$A98,'Source Data'!$C$2:$C$1602))</f>
        <v>14</v>
      </c>
      <c r="D98" s="6" t="n">
        <f aca="false">IF(COUNTIFS('Source Data'!$B$2:$B$1602,$A98,'Source Data'!$C$2:$C$1602,"&lt;&gt;")=0,"",_xlfn.MINIFS('Source Data'!$C$2:$C$1602,'Source Data'!$B$2:$B$1602,$A98))</f>
        <v>14</v>
      </c>
      <c r="E98" s="6" t="n">
        <f aca="false">IF(COUNTIFS('Source Data'!$B$2:$B$1602,$A98,'Source Data'!$C$2:$C$1602,"&lt;&gt;")=0,"",_xlfn.MAXIFS('Source Data'!$C$2:$C$1602,'Source Data'!$B$2:$B$1602,$A98))</f>
        <v>14</v>
      </c>
      <c r="F98" s="6" t="str">
        <f aca="false">IF(COUNTIFS('Source Data'!$B$2:$B$1602,$A98,'Source Data'!$D$2:$D$1602,"&lt;&gt;")=0,"",AVERAGEIF('Source Data'!$B$2:$B$1602,$A98,'Source Data'!$D$2:$D$1602))</f>
        <v/>
      </c>
      <c r="G98" s="6" t="str">
        <f aca="false">IF(COUNTIFS('Source Data'!$B$2:$B$1602,$A98,'Source Data'!$D$2:$D$1602,"&lt;&gt;")=0,"",_xlfn.MINIFS('Source Data'!$D$2:$D$1602,'Source Data'!$B$2:$B$1602,$A98))</f>
        <v/>
      </c>
      <c r="H98" s="6" t="str">
        <f aca="false">IF(COUNTIFS('Source Data'!$B$2:$B$1602,$A98,'Source Data'!$D$2:$D$1602,"&lt;&gt;")=0,"",_xlfn.MAXIFS('Source Data'!$D$2:$D$1602,'Source Data'!$B$2:$B$1602,$A98))</f>
        <v/>
      </c>
      <c r="I98" s="6" t="str">
        <f aca="false">IF(COUNTIFS('Source Data'!$B$2:$B$1602,$A98,'Source Data'!$E$2:$E$1602,"&lt;&gt;")=0,"",AVERAGEIF('Source Data'!$B$2:$B$1602,$A98,'Source Data'!$E$2:$E$1602))</f>
        <v/>
      </c>
      <c r="J98" s="6" t="str">
        <f aca="false">IF(COUNTIFS('Source Data'!$B$2:$B$1602,$A98,'Source Data'!$E$2:$E$1602,"&lt;&gt;")=0,"",_xlfn.MINIFS('Source Data'!$E$2:$E$1602,'Source Data'!$B$2:$B$1602,$A98))</f>
        <v/>
      </c>
      <c r="K98" s="6" t="str">
        <f aca="false">IF(COUNTIFS('Source Data'!$B$2:$B$1602,$A98,'Source Data'!$E$2:$E$1602,"&lt;&gt;")=0,"",_xlfn.MAXIFS('Source Data'!$E$2:$E$1602,'Source Data'!$B$2:$B$1602,$A98))</f>
        <v/>
      </c>
      <c r="L98" s="6" t="str">
        <f aca="false">IF(COUNTIFS('Source Data'!$B$2:$B$1602,$A98,'Source Data'!$F$2:$F$1602,"&lt;&gt;")=0,"",AVERAGEIF('Source Data'!$B$2:$B$1602,$A98,'Source Data'!$F$2:$F$1602))</f>
        <v/>
      </c>
      <c r="M98" s="6" t="str">
        <f aca="false">IF(COUNTIFS('Source Data'!$B$2:$B$1602,$A98,'Source Data'!$F$2:$F$1602,"&lt;&gt;")=0,"",_xlfn.MINIFS('Source Data'!$F$2:$F$1602,'Source Data'!$B$2:$B$1602,$A98))</f>
        <v/>
      </c>
      <c r="N98" s="6" t="str">
        <f aca="false">IF(COUNTIFS('Source Data'!$B$2:$B$1602,$A98,'Source Data'!$F$2:$F$1602,"&lt;&gt;")=0,"",_xlfn.MAXIFS('Source Data'!$F$2:$F$1602,'Source Data'!$B$2:$B$1602,$A98))</f>
        <v/>
      </c>
    </row>
    <row r="99" customFormat="false" ht="15" hidden="false" customHeight="false" outlineLevel="0" collapsed="false">
      <c r="A99" s="5" t="s">
        <v>1152</v>
      </c>
      <c r="B99" s="7" t="n">
        <f aca="false">COUNTIF('Source Data'!$B$2:$B$1602,$A99)</f>
        <v>1</v>
      </c>
      <c r="C99" s="6" t="n">
        <f aca="false">IF(COUNTIFS('Source Data'!$B$2:$B$1602,$A99,'Source Data'!$C$2:$C$1602,"&lt;&gt;")=0,"",AVERAGEIF('Source Data'!$B$2:$B$1602,$A99,'Source Data'!$C$2:$C$1602))</f>
        <v>12</v>
      </c>
      <c r="D99" s="6" t="n">
        <f aca="false">IF(COUNTIFS('Source Data'!$B$2:$B$1602,$A99,'Source Data'!$C$2:$C$1602,"&lt;&gt;")=0,"",_xlfn.MINIFS('Source Data'!$C$2:$C$1602,'Source Data'!$B$2:$B$1602,$A99))</f>
        <v>12</v>
      </c>
      <c r="E99" s="6" t="n">
        <f aca="false">IF(COUNTIFS('Source Data'!$B$2:$B$1602,$A99,'Source Data'!$C$2:$C$1602,"&lt;&gt;")=0,"",_xlfn.MAXIFS('Source Data'!$C$2:$C$1602,'Source Data'!$B$2:$B$1602,$A99))</f>
        <v>12</v>
      </c>
      <c r="F99" s="6" t="n">
        <f aca="false">IF(COUNTIFS('Source Data'!$B$2:$B$1602,$A99,'Source Data'!$D$2:$D$1602,"&lt;&gt;")=0,"",AVERAGEIF('Source Data'!$B$2:$B$1602,$A99,'Source Data'!$D$2:$D$1602))</f>
        <v>12</v>
      </c>
      <c r="G99" s="6" t="n">
        <f aca="false">IF(COUNTIFS('Source Data'!$B$2:$B$1602,$A99,'Source Data'!$D$2:$D$1602,"&lt;&gt;")=0,"",_xlfn.MINIFS('Source Data'!$D$2:$D$1602,'Source Data'!$B$2:$B$1602,$A99))</f>
        <v>12</v>
      </c>
      <c r="H99" s="6" t="n">
        <f aca="false">IF(COUNTIFS('Source Data'!$B$2:$B$1602,$A99,'Source Data'!$D$2:$D$1602,"&lt;&gt;")=0,"",_xlfn.MAXIFS('Source Data'!$D$2:$D$1602,'Source Data'!$B$2:$B$1602,$A99))</f>
        <v>12</v>
      </c>
      <c r="I99" s="6" t="str">
        <f aca="false">IF(COUNTIFS('Source Data'!$B$2:$B$1602,$A99,'Source Data'!$E$2:$E$1602,"&lt;&gt;")=0,"",AVERAGEIF('Source Data'!$B$2:$B$1602,$A99,'Source Data'!$E$2:$E$1602))</f>
        <v/>
      </c>
      <c r="J99" s="6" t="str">
        <f aca="false">IF(COUNTIFS('Source Data'!$B$2:$B$1602,$A99,'Source Data'!$E$2:$E$1602,"&lt;&gt;")=0,"",_xlfn.MINIFS('Source Data'!$E$2:$E$1602,'Source Data'!$B$2:$B$1602,$A99))</f>
        <v/>
      </c>
      <c r="K99" s="6" t="str">
        <f aca="false">IF(COUNTIFS('Source Data'!$B$2:$B$1602,$A99,'Source Data'!$E$2:$E$1602,"&lt;&gt;")=0,"",_xlfn.MAXIFS('Source Data'!$E$2:$E$1602,'Source Data'!$B$2:$B$1602,$A99))</f>
        <v/>
      </c>
      <c r="L99" s="6" t="str">
        <f aca="false">IF(COUNTIFS('Source Data'!$B$2:$B$1602,$A99,'Source Data'!$F$2:$F$1602,"&lt;&gt;")=0,"",AVERAGEIF('Source Data'!$B$2:$B$1602,$A99,'Source Data'!$F$2:$F$1602))</f>
        <v/>
      </c>
      <c r="M99" s="6" t="str">
        <f aca="false">IF(COUNTIFS('Source Data'!$B$2:$B$1602,$A99,'Source Data'!$F$2:$F$1602,"&lt;&gt;")=0,"",_xlfn.MINIFS('Source Data'!$F$2:$F$1602,'Source Data'!$B$2:$B$1602,$A99))</f>
        <v/>
      </c>
      <c r="N99" s="6" t="str">
        <f aca="false">IF(COUNTIFS('Source Data'!$B$2:$B$1602,$A99,'Source Data'!$F$2:$F$1602,"&lt;&gt;")=0,"",_xlfn.MAXIFS('Source Data'!$F$2:$F$1602,'Source Data'!$B$2:$B$1602,$A99))</f>
        <v/>
      </c>
    </row>
    <row r="100" customFormat="false" ht="15" hidden="false" customHeight="false" outlineLevel="0" collapsed="false">
      <c r="A100" s="5" t="s">
        <v>254</v>
      </c>
      <c r="B100" s="7" t="n">
        <f aca="false">COUNTIF('Source Data'!$B$2:$B$1602,$A100)</f>
        <v>11</v>
      </c>
      <c r="C100" s="6" t="n">
        <f aca="false">IF(COUNTIFS('Source Data'!$B$2:$B$1602,$A100,'Source Data'!$C$2:$C$1602,"&lt;&gt;")=0,"",AVERAGEIF('Source Data'!$B$2:$B$1602,$A100,'Source Data'!$C$2:$C$1602))</f>
        <v>10.0909090909091</v>
      </c>
      <c r="D100" s="6" t="n">
        <f aca="false">IF(COUNTIFS('Source Data'!$B$2:$B$1602,$A100,'Source Data'!$C$2:$C$1602,"&lt;&gt;")=0,"",_xlfn.MINIFS('Source Data'!$C$2:$C$1602,'Source Data'!$B$2:$B$1602,$A100))</f>
        <v>2</v>
      </c>
      <c r="E100" s="6" t="n">
        <f aca="false">IF(COUNTIFS('Source Data'!$B$2:$B$1602,$A100,'Source Data'!$C$2:$C$1602,"&lt;&gt;")=0,"",_xlfn.MAXIFS('Source Data'!$C$2:$C$1602,'Source Data'!$B$2:$B$1602,$A100))</f>
        <v>26</v>
      </c>
      <c r="F100" s="6" t="n">
        <f aca="false">IF(COUNTIFS('Source Data'!$B$2:$B$1602,$A100,'Source Data'!$D$2:$D$1602,"&lt;&gt;")=0,"",AVERAGEIF('Source Data'!$B$2:$B$1602,$A100,'Source Data'!$D$2:$D$1602))</f>
        <v>4.85</v>
      </c>
      <c r="G100" s="6" t="n">
        <f aca="false">IF(COUNTIFS('Source Data'!$B$2:$B$1602,$A100,'Source Data'!$D$2:$D$1602,"&lt;&gt;")=0,"",_xlfn.MINIFS('Source Data'!$D$2:$D$1602,'Source Data'!$B$2:$B$1602,$A100))</f>
        <v>0</v>
      </c>
      <c r="H100" s="6" t="n">
        <f aca="false">IF(COUNTIFS('Source Data'!$B$2:$B$1602,$A100,'Source Data'!$D$2:$D$1602,"&lt;&gt;")=0,"",_xlfn.MAXIFS('Source Data'!$D$2:$D$1602,'Source Data'!$B$2:$B$1602,$A100))</f>
        <v>12</v>
      </c>
      <c r="I100" s="6" t="n">
        <f aca="false">IF(COUNTIFS('Source Data'!$B$2:$B$1602,$A100,'Source Data'!$E$2:$E$1602,"&lt;&gt;")=0,"",AVERAGEIF('Source Data'!$B$2:$B$1602,$A100,'Source Data'!$E$2:$E$1602))</f>
        <v>6</v>
      </c>
      <c r="J100" s="6" t="n">
        <f aca="false">IF(COUNTIFS('Source Data'!$B$2:$B$1602,$A100,'Source Data'!$E$2:$E$1602,"&lt;&gt;")=0,"",_xlfn.MINIFS('Source Data'!$E$2:$E$1602,'Source Data'!$B$2:$B$1602,$A100))</f>
        <v>6</v>
      </c>
      <c r="K100" s="6" t="n">
        <f aca="false">IF(COUNTIFS('Source Data'!$B$2:$B$1602,$A100,'Source Data'!$E$2:$E$1602,"&lt;&gt;")=0,"",_xlfn.MAXIFS('Source Data'!$E$2:$E$1602,'Source Data'!$B$2:$B$1602,$A100))</f>
        <v>6</v>
      </c>
      <c r="L100" s="6" t="str">
        <f aca="false">IF(COUNTIFS('Source Data'!$B$2:$B$1602,$A100,'Source Data'!$F$2:$F$1602,"&lt;&gt;")=0,"",AVERAGEIF('Source Data'!$B$2:$B$1602,$A100,'Source Data'!$F$2:$F$1602))</f>
        <v/>
      </c>
      <c r="M100" s="6" t="str">
        <f aca="false">IF(COUNTIFS('Source Data'!$B$2:$B$1602,$A100,'Source Data'!$F$2:$F$1602,"&lt;&gt;")=0,"",_xlfn.MINIFS('Source Data'!$F$2:$F$1602,'Source Data'!$B$2:$B$1602,$A100))</f>
        <v/>
      </c>
      <c r="N100" s="6" t="str">
        <f aca="false">IF(COUNTIFS('Source Data'!$B$2:$B$1602,$A100,'Source Data'!$F$2:$F$1602,"&lt;&gt;")=0,"",_xlfn.MAXIFS('Source Data'!$F$2:$F$1602,'Source Data'!$B$2:$B$1602,$A100))</f>
        <v/>
      </c>
    </row>
    <row r="101" customFormat="false" ht="15" hidden="false" customHeight="false" outlineLevel="0" collapsed="false">
      <c r="A101" s="5" t="s">
        <v>1164</v>
      </c>
      <c r="B101" s="7" t="n">
        <f aca="false">COUNTIF('Source Data'!$B$2:$B$1602,$A101)</f>
        <v>4</v>
      </c>
      <c r="C101" s="6" t="n">
        <f aca="false">IF(COUNTIFS('Source Data'!$B$2:$B$1602,$A101,'Source Data'!$C$2:$C$1602,"&lt;&gt;")=0,"",AVERAGEIF('Source Data'!$B$2:$B$1602,$A101,'Source Data'!$C$2:$C$1602))</f>
        <v>11.25</v>
      </c>
      <c r="D101" s="6" t="n">
        <f aca="false">IF(COUNTIFS('Source Data'!$B$2:$B$1602,$A101,'Source Data'!$C$2:$C$1602,"&lt;&gt;")=0,"",_xlfn.MINIFS('Source Data'!$C$2:$C$1602,'Source Data'!$B$2:$B$1602,$A101))</f>
        <v>1</v>
      </c>
      <c r="E101" s="6" t="n">
        <f aca="false">IF(COUNTIFS('Source Data'!$B$2:$B$1602,$A101,'Source Data'!$C$2:$C$1602,"&lt;&gt;")=0,"",_xlfn.MAXIFS('Source Data'!$C$2:$C$1602,'Source Data'!$B$2:$B$1602,$A101))</f>
        <v>20</v>
      </c>
      <c r="F101" s="6" t="n">
        <f aca="false">IF(COUNTIFS('Source Data'!$B$2:$B$1602,$A101,'Source Data'!$D$2:$D$1602,"&lt;&gt;")=0,"",AVERAGEIF('Source Data'!$B$2:$B$1602,$A101,'Source Data'!$D$2:$D$1602))</f>
        <v>3.75</v>
      </c>
      <c r="G101" s="6" t="n">
        <f aca="false">IF(COUNTIFS('Source Data'!$B$2:$B$1602,$A101,'Source Data'!$D$2:$D$1602,"&lt;&gt;")=0,"",_xlfn.MINIFS('Source Data'!$D$2:$D$1602,'Source Data'!$B$2:$B$1602,$A101))</f>
        <v>0</v>
      </c>
      <c r="H101" s="6" t="n">
        <f aca="false">IF(COUNTIFS('Source Data'!$B$2:$B$1602,$A101,'Source Data'!$D$2:$D$1602,"&lt;&gt;")=0,"",_xlfn.MAXIFS('Source Data'!$D$2:$D$1602,'Source Data'!$B$2:$B$1602,$A101))</f>
        <v>12</v>
      </c>
      <c r="I101" s="6" t="str">
        <f aca="false">IF(COUNTIFS('Source Data'!$B$2:$B$1602,$A101,'Source Data'!$E$2:$E$1602,"&lt;&gt;")=0,"",AVERAGEIF('Source Data'!$B$2:$B$1602,$A101,'Source Data'!$E$2:$E$1602))</f>
        <v/>
      </c>
      <c r="J101" s="6" t="str">
        <f aca="false">IF(COUNTIFS('Source Data'!$B$2:$B$1602,$A101,'Source Data'!$E$2:$E$1602,"&lt;&gt;")=0,"",_xlfn.MINIFS('Source Data'!$E$2:$E$1602,'Source Data'!$B$2:$B$1602,$A101))</f>
        <v/>
      </c>
      <c r="K101" s="6" t="str">
        <f aca="false">IF(COUNTIFS('Source Data'!$B$2:$B$1602,$A101,'Source Data'!$E$2:$E$1602,"&lt;&gt;")=0,"",_xlfn.MAXIFS('Source Data'!$E$2:$E$1602,'Source Data'!$B$2:$B$1602,$A101))</f>
        <v/>
      </c>
      <c r="L101" s="6" t="str">
        <f aca="false">IF(COUNTIFS('Source Data'!$B$2:$B$1602,$A101,'Source Data'!$F$2:$F$1602,"&lt;&gt;")=0,"",AVERAGEIF('Source Data'!$B$2:$B$1602,$A101,'Source Data'!$F$2:$F$1602))</f>
        <v/>
      </c>
      <c r="M101" s="6" t="str">
        <f aca="false">IF(COUNTIFS('Source Data'!$B$2:$B$1602,$A101,'Source Data'!$F$2:$F$1602,"&lt;&gt;")=0,"",_xlfn.MINIFS('Source Data'!$F$2:$F$1602,'Source Data'!$B$2:$B$1602,$A101))</f>
        <v/>
      </c>
      <c r="N101" s="6" t="str">
        <f aca="false">IF(COUNTIFS('Source Data'!$B$2:$B$1602,$A101,'Source Data'!$F$2:$F$1602,"&lt;&gt;")=0,"",_xlfn.MAXIFS('Source Data'!$F$2:$F$1602,'Source Data'!$B$2:$B$1602,$A101))</f>
        <v/>
      </c>
    </row>
    <row r="102" customFormat="false" ht="15" hidden="false" customHeight="false" outlineLevel="0" collapsed="false">
      <c r="A102" s="5" t="s">
        <v>1169</v>
      </c>
      <c r="B102" s="7" t="n">
        <f aca="false">COUNTIF('Source Data'!$B$2:$B$1602,$A102)</f>
        <v>2</v>
      </c>
      <c r="C102" s="6" t="n">
        <f aca="false">IF(COUNTIFS('Source Data'!$B$2:$B$1602,$A102,'Source Data'!$C$2:$C$1602,"&lt;&gt;")=0,"",AVERAGEIF('Source Data'!$B$2:$B$1602,$A102,'Source Data'!$C$2:$C$1602))</f>
        <v>9</v>
      </c>
      <c r="D102" s="6" t="n">
        <f aca="false">IF(COUNTIFS('Source Data'!$B$2:$B$1602,$A102,'Source Data'!$C$2:$C$1602,"&lt;&gt;")=0,"",_xlfn.MINIFS('Source Data'!$C$2:$C$1602,'Source Data'!$B$2:$B$1602,$A102))</f>
        <v>6</v>
      </c>
      <c r="E102" s="6" t="n">
        <f aca="false">IF(COUNTIFS('Source Data'!$B$2:$B$1602,$A102,'Source Data'!$C$2:$C$1602,"&lt;&gt;")=0,"",_xlfn.MAXIFS('Source Data'!$C$2:$C$1602,'Source Data'!$B$2:$B$1602,$A102))</f>
        <v>12</v>
      </c>
      <c r="F102" s="6" t="n">
        <f aca="false">IF(COUNTIFS('Source Data'!$B$2:$B$1602,$A102,'Source Data'!$D$2:$D$1602,"&lt;&gt;")=0,"",AVERAGEIF('Source Data'!$B$2:$B$1602,$A102,'Source Data'!$D$2:$D$1602))</f>
        <v>2</v>
      </c>
      <c r="G102" s="6" t="n">
        <f aca="false">IF(COUNTIFS('Source Data'!$B$2:$B$1602,$A102,'Source Data'!$D$2:$D$1602,"&lt;&gt;")=0,"",_xlfn.MINIFS('Source Data'!$D$2:$D$1602,'Source Data'!$B$2:$B$1602,$A102))</f>
        <v>0</v>
      </c>
      <c r="H102" s="6" t="n">
        <f aca="false">IF(COUNTIFS('Source Data'!$B$2:$B$1602,$A102,'Source Data'!$D$2:$D$1602,"&lt;&gt;")=0,"",_xlfn.MAXIFS('Source Data'!$D$2:$D$1602,'Source Data'!$B$2:$B$1602,$A102))</f>
        <v>4</v>
      </c>
      <c r="I102" s="6" t="str">
        <f aca="false">IF(COUNTIFS('Source Data'!$B$2:$B$1602,$A102,'Source Data'!$E$2:$E$1602,"&lt;&gt;")=0,"",AVERAGEIF('Source Data'!$B$2:$B$1602,$A102,'Source Data'!$E$2:$E$1602))</f>
        <v/>
      </c>
      <c r="J102" s="6" t="str">
        <f aca="false">IF(COUNTIFS('Source Data'!$B$2:$B$1602,$A102,'Source Data'!$E$2:$E$1602,"&lt;&gt;")=0,"",_xlfn.MINIFS('Source Data'!$E$2:$E$1602,'Source Data'!$B$2:$B$1602,$A102))</f>
        <v/>
      </c>
      <c r="K102" s="6" t="str">
        <f aca="false">IF(COUNTIFS('Source Data'!$B$2:$B$1602,$A102,'Source Data'!$E$2:$E$1602,"&lt;&gt;")=0,"",_xlfn.MAXIFS('Source Data'!$E$2:$E$1602,'Source Data'!$B$2:$B$1602,$A102))</f>
        <v/>
      </c>
      <c r="L102" s="6" t="str">
        <f aca="false">IF(COUNTIFS('Source Data'!$B$2:$B$1602,$A102,'Source Data'!$F$2:$F$1602,"&lt;&gt;")=0,"",AVERAGEIF('Source Data'!$B$2:$B$1602,$A102,'Source Data'!$F$2:$F$1602))</f>
        <v/>
      </c>
      <c r="M102" s="6" t="str">
        <f aca="false">IF(COUNTIFS('Source Data'!$B$2:$B$1602,$A102,'Source Data'!$F$2:$F$1602,"&lt;&gt;")=0,"",_xlfn.MINIFS('Source Data'!$F$2:$F$1602,'Source Data'!$B$2:$B$1602,$A102))</f>
        <v/>
      </c>
      <c r="N102" s="6" t="str">
        <f aca="false">IF(COUNTIFS('Source Data'!$B$2:$B$1602,$A102,'Source Data'!$F$2:$F$1602,"&lt;&gt;")=0,"",_xlfn.MAXIFS('Source Data'!$F$2:$F$1602,'Source Data'!$B$2:$B$1602,$A102))</f>
        <v/>
      </c>
    </row>
    <row r="103" customFormat="false" ht="15" hidden="false" customHeight="false" outlineLevel="0" collapsed="false">
      <c r="A103" s="5" t="s">
        <v>1172</v>
      </c>
      <c r="B103" s="7" t="n">
        <f aca="false">COUNTIF('Source Data'!$B$2:$B$1602,$A103)</f>
        <v>7</v>
      </c>
      <c r="C103" s="6" t="n">
        <f aca="false">IF(COUNTIFS('Source Data'!$B$2:$B$1602,$A103,'Source Data'!$C$2:$C$1602,"&lt;&gt;")=0,"",AVERAGEIF('Source Data'!$B$2:$B$1602,$A103,'Source Data'!$C$2:$C$1602))</f>
        <v>14.2857142857143</v>
      </c>
      <c r="D103" s="6" t="n">
        <f aca="false">IF(COUNTIFS('Source Data'!$B$2:$B$1602,$A103,'Source Data'!$C$2:$C$1602,"&lt;&gt;")=0,"",_xlfn.MINIFS('Source Data'!$C$2:$C$1602,'Source Data'!$B$2:$B$1602,$A103))</f>
        <v>2</v>
      </c>
      <c r="E103" s="6" t="n">
        <f aca="false">IF(COUNTIFS('Source Data'!$B$2:$B$1602,$A103,'Source Data'!$C$2:$C$1602,"&lt;&gt;")=0,"",_xlfn.MAXIFS('Source Data'!$C$2:$C$1602,'Source Data'!$B$2:$B$1602,$A103))</f>
        <v>20</v>
      </c>
      <c r="F103" s="6" t="n">
        <f aca="false">IF(COUNTIFS('Source Data'!$B$2:$B$1602,$A103,'Source Data'!$D$2:$D$1602,"&lt;&gt;")=0,"",AVERAGEIF('Source Data'!$B$2:$B$1602,$A103,'Source Data'!$D$2:$D$1602))</f>
        <v>8.57142857142857</v>
      </c>
      <c r="G103" s="6" t="n">
        <f aca="false">IF(COUNTIFS('Source Data'!$B$2:$B$1602,$A103,'Source Data'!$D$2:$D$1602,"&lt;&gt;")=0,"",_xlfn.MINIFS('Source Data'!$D$2:$D$1602,'Source Data'!$B$2:$B$1602,$A103))</f>
        <v>0</v>
      </c>
      <c r="H103" s="6" t="n">
        <f aca="false">IF(COUNTIFS('Source Data'!$B$2:$B$1602,$A103,'Source Data'!$D$2:$D$1602,"&lt;&gt;")=0,"",_xlfn.MAXIFS('Source Data'!$D$2:$D$1602,'Source Data'!$B$2:$B$1602,$A103))</f>
        <v>20</v>
      </c>
      <c r="I103" s="6" t="str">
        <f aca="false">IF(COUNTIFS('Source Data'!$B$2:$B$1602,$A103,'Source Data'!$E$2:$E$1602,"&lt;&gt;")=0,"",AVERAGEIF('Source Data'!$B$2:$B$1602,$A103,'Source Data'!$E$2:$E$1602))</f>
        <v/>
      </c>
      <c r="J103" s="6" t="str">
        <f aca="false">IF(COUNTIFS('Source Data'!$B$2:$B$1602,$A103,'Source Data'!$E$2:$E$1602,"&lt;&gt;")=0,"",_xlfn.MINIFS('Source Data'!$E$2:$E$1602,'Source Data'!$B$2:$B$1602,$A103))</f>
        <v/>
      </c>
      <c r="K103" s="6" t="str">
        <f aca="false">IF(COUNTIFS('Source Data'!$B$2:$B$1602,$A103,'Source Data'!$E$2:$E$1602,"&lt;&gt;")=0,"",_xlfn.MAXIFS('Source Data'!$E$2:$E$1602,'Source Data'!$B$2:$B$1602,$A103))</f>
        <v/>
      </c>
      <c r="L103" s="6" t="str">
        <f aca="false">IF(COUNTIFS('Source Data'!$B$2:$B$1602,$A103,'Source Data'!$F$2:$F$1602,"&lt;&gt;")=0,"",AVERAGEIF('Source Data'!$B$2:$B$1602,$A103,'Source Data'!$F$2:$F$1602))</f>
        <v/>
      </c>
      <c r="M103" s="6" t="str">
        <f aca="false">IF(COUNTIFS('Source Data'!$B$2:$B$1602,$A103,'Source Data'!$F$2:$F$1602,"&lt;&gt;")=0,"",_xlfn.MINIFS('Source Data'!$F$2:$F$1602,'Source Data'!$B$2:$B$1602,$A103))</f>
        <v/>
      </c>
      <c r="N103" s="6" t="str">
        <f aca="false">IF(COUNTIFS('Source Data'!$B$2:$B$1602,$A103,'Source Data'!$F$2:$F$1602,"&lt;&gt;")=0,"",_xlfn.MAXIFS('Source Data'!$F$2:$F$1602,'Source Data'!$B$2:$B$1602,$A103))</f>
        <v/>
      </c>
    </row>
    <row r="104" customFormat="false" ht="15" hidden="false" customHeight="false" outlineLevel="0" collapsed="false">
      <c r="A104" s="5" t="s">
        <v>60</v>
      </c>
      <c r="B104" s="7" t="n">
        <f aca="false">COUNTIF('Source Data'!$B$2:$B$1602,$A104)</f>
        <v>3</v>
      </c>
      <c r="C104" s="6" t="n">
        <f aca="false">IF(COUNTIFS('Source Data'!$B$2:$B$1602,$A104,'Source Data'!$C$2:$C$1602,"&lt;&gt;")=0,"",AVERAGEIF('Source Data'!$B$2:$B$1602,$A104,'Source Data'!$C$2:$C$1602))</f>
        <v>10</v>
      </c>
      <c r="D104" s="6" t="n">
        <f aca="false">IF(COUNTIFS('Source Data'!$B$2:$B$1602,$A104,'Source Data'!$C$2:$C$1602,"&lt;&gt;")=0,"",_xlfn.MINIFS('Source Data'!$C$2:$C$1602,'Source Data'!$B$2:$B$1602,$A104))</f>
        <v>6</v>
      </c>
      <c r="E104" s="6" t="n">
        <f aca="false">IF(COUNTIFS('Source Data'!$B$2:$B$1602,$A104,'Source Data'!$C$2:$C$1602,"&lt;&gt;")=0,"",_xlfn.MAXIFS('Source Data'!$C$2:$C$1602,'Source Data'!$B$2:$B$1602,$A104))</f>
        <v>12</v>
      </c>
      <c r="F104" s="6" t="n">
        <f aca="false">IF(COUNTIFS('Source Data'!$B$2:$B$1602,$A104,'Source Data'!$D$2:$D$1602,"&lt;&gt;")=0,"",AVERAGEIF('Source Data'!$B$2:$B$1602,$A104,'Source Data'!$D$2:$D$1602))</f>
        <v>4</v>
      </c>
      <c r="G104" s="6" t="n">
        <f aca="false">IF(COUNTIFS('Source Data'!$B$2:$B$1602,$A104,'Source Data'!$D$2:$D$1602,"&lt;&gt;")=0,"",_xlfn.MINIFS('Source Data'!$D$2:$D$1602,'Source Data'!$B$2:$B$1602,$A104))</f>
        <v>0</v>
      </c>
      <c r="H104" s="6" t="n">
        <f aca="false">IF(COUNTIFS('Source Data'!$B$2:$B$1602,$A104,'Source Data'!$D$2:$D$1602,"&lt;&gt;")=0,"",_xlfn.MAXIFS('Source Data'!$D$2:$D$1602,'Source Data'!$B$2:$B$1602,$A104))</f>
        <v>12</v>
      </c>
      <c r="I104" s="6" t="n">
        <f aca="false">IF(COUNTIFS('Source Data'!$B$2:$B$1602,$A104,'Source Data'!$E$2:$E$1602,"&lt;&gt;")=0,"",AVERAGEIF('Source Data'!$B$2:$B$1602,$A104,'Source Data'!$E$2:$E$1602))</f>
        <v>2</v>
      </c>
      <c r="J104" s="6" t="n">
        <f aca="false">IF(COUNTIFS('Source Data'!$B$2:$B$1602,$A104,'Source Data'!$E$2:$E$1602,"&lt;&gt;")=0,"",_xlfn.MINIFS('Source Data'!$E$2:$E$1602,'Source Data'!$B$2:$B$1602,$A104))</f>
        <v>2</v>
      </c>
      <c r="K104" s="6" t="n">
        <f aca="false">IF(COUNTIFS('Source Data'!$B$2:$B$1602,$A104,'Source Data'!$E$2:$E$1602,"&lt;&gt;")=0,"",_xlfn.MAXIFS('Source Data'!$E$2:$E$1602,'Source Data'!$B$2:$B$1602,$A104))</f>
        <v>2</v>
      </c>
      <c r="L104" s="6" t="n">
        <f aca="false">IF(COUNTIFS('Source Data'!$B$2:$B$1602,$A104,'Source Data'!$F$2:$F$1602,"&lt;&gt;")=0,"",AVERAGEIF('Source Data'!$B$2:$B$1602,$A104,'Source Data'!$F$2:$F$1602))</f>
        <v>12</v>
      </c>
      <c r="M104" s="6" t="n">
        <f aca="false">IF(COUNTIFS('Source Data'!$B$2:$B$1602,$A104,'Source Data'!$F$2:$F$1602,"&lt;&gt;")=0,"",_xlfn.MINIFS('Source Data'!$F$2:$F$1602,'Source Data'!$B$2:$B$1602,$A104))</f>
        <v>12</v>
      </c>
      <c r="N104" s="6" t="n">
        <f aca="false">IF(COUNTIFS('Source Data'!$B$2:$B$1602,$A104,'Source Data'!$F$2:$F$1602,"&lt;&gt;")=0,"",_xlfn.MAXIFS('Source Data'!$F$2:$F$1602,'Source Data'!$B$2:$B$1602,$A104))</f>
        <v>12</v>
      </c>
    </row>
    <row r="105" customFormat="false" ht="15" hidden="false" customHeight="false" outlineLevel="0" collapsed="false">
      <c r="A105" s="5" t="s">
        <v>256</v>
      </c>
      <c r="B105" s="7" t="n">
        <f aca="false">COUNTIF('Source Data'!$B$2:$B$1602,$A105)</f>
        <v>4</v>
      </c>
      <c r="C105" s="6" t="n">
        <f aca="false">IF(COUNTIFS('Source Data'!$B$2:$B$1602,$A105,'Source Data'!$C$2:$C$1602,"&lt;&gt;")=0,"",AVERAGEIF('Source Data'!$B$2:$B$1602,$A105,'Source Data'!$C$2:$C$1602))</f>
        <v>9.625</v>
      </c>
      <c r="D105" s="6" t="n">
        <f aca="false">IF(COUNTIFS('Source Data'!$B$2:$B$1602,$A105,'Source Data'!$C$2:$C$1602,"&lt;&gt;")=0,"",_xlfn.MINIFS('Source Data'!$C$2:$C$1602,'Source Data'!$B$2:$B$1602,$A105))</f>
        <v>0</v>
      </c>
      <c r="E105" s="6" t="n">
        <f aca="false">IF(COUNTIFS('Source Data'!$B$2:$B$1602,$A105,'Source Data'!$C$2:$C$1602,"&lt;&gt;")=0,"",_xlfn.MAXIFS('Source Data'!$C$2:$C$1602,'Source Data'!$B$2:$B$1602,$A105))</f>
        <v>20.5</v>
      </c>
      <c r="F105" s="6" t="n">
        <f aca="false">IF(COUNTIFS('Source Data'!$B$2:$B$1602,$A105,'Source Data'!$D$2:$D$1602,"&lt;&gt;")=0,"",AVERAGEIF('Source Data'!$B$2:$B$1602,$A105,'Source Data'!$D$2:$D$1602))</f>
        <v>4.75</v>
      </c>
      <c r="G105" s="6" t="n">
        <f aca="false">IF(COUNTIFS('Source Data'!$B$2:$B$1602,$A105,'Source Data'!$D$2:$D$1602,"&lt;&gt;")=0,"",_xlfn.MINIFS('Source Data'!$D$2:$D$1602,'Source Data'!$B$2:$B$1602,$A105))</f>
        <v>0</v>
      </c>
      <c r="H105" s="6" t="n">
        <f aca="false">IF(COUNTIFS('Source Data'!$B$2:$B$1602,$A105,'Source Data'!$D$2:$D$1602,"&lt;&gt;")=0,"",_xlfn.MAXIFS('Source Data'!$D$2:$D$1602,'Source Data'!$B$2:$B$1602,$A105))</f>
        <v>13</v>
      </c>
      <c r="I105" s="6" t="n">
        <f aca="false">IF(COUNTIFS('Source Data'!$B$2:$B$1602,$A105,'Source Data'!$E$2:$E$1602,"&lt;&gt;")=0,"",AVERAGEIF('Source Data'!$B$2:$B$1602,$A105,'Source Data'!$E$2:$E$1602))</f>
        <v>4</v>
      </c>
      <c r="J105" s="6" t="n">
        <f aca="false">IF(COUNTIFS('Source Data'!$B$2:$B$1602,$A105,'Source Data'!$E$2:$E$1602,"&lt;&gt;")=0,"",_xlfn.MINIFS('Source Data'!$E$2:$E$1602,'Source Data'!$B$2:$B$1602,$A105))</f>
        <v>4</v>
      </c>
      <c r="K105" s="6" t="n">
        <f aca="false">IF(COUNTIFS('Source Data'!$B$2:$B$1602,$A105,'Source Data'!$E$2:$E$1602,"&lt;&gt;")=0,"",_xlfn.MAXIFS('Source Data'!$E$2:$E$1602,'Source Data'!$B$2:$B$1602,$A105))</f>
        <v>4</v>
      </c>
      <c r="L105" s="6" t="str">
        <f aca="false">IF(COUNTIFS('Source Data'!$B$2:$B$1602,$A105,'Source Data'!$F$2:$F$1602,"&lt;&gt;")=0,"",AVERAGEIF('Source Data'!$B$2:$B$1602,$A105,'Source Data'!$F$2:$F$1602))</f>
        <v/>
      </c>
      <c r="M105" s="6" t="str">
        <f aca="false">IF(COUNTIFS('Source Data'!$B$2:$B$1602,$A105,'Source Data'!$F$2:$F$1602,"&lt;&gt;")=0,"",_xlfn.MINIFS('Source Data'!$F$2:$F$1602,'Source Data'!$B$2:$B$1602,$A105))</f>
        <v/>
      </c>
      <c r="N105" s="6" t="str">
        <f aca="false">IF(COUNTIFS('Source Data'!$B$2:$B$1602,$A105,'Source Data'!$F$2:$F$1602,"&lt;&gt;")=0,"",_xlfn.MAXIFS('Source Data'!$F$2:$F$1602,'Source Data'!$B$2:$B$1602,$A105))</f>
        <v/>
      </c>
    </row>
    <row r="106" customFormat="false" ht="15" hidden="false" customHeight="false" outlineLevel="0" collapsed="false">
      <c r="A106" s="5" t="s">
        <v>1189</v>
      </c>
      <c r="B106" s="7" t="n">
        <f aca="false">COUNTIF('Source Data'!$B$2:$B$1602,$A106)</f>
        <v>1</v>
      </c>
      <c r="C106" s="6" t="n">
        <f aca="false">IF(COUNTIFS('Source Data'!$B$2:$B$1602,$A106,'Source Data'!$C$2:$C$1602,"&lt;&gt;")=0,"",AVERAGEIF('Source Data'!$B$2:$B$1602,$A106,'Source Data'!$C$2:$C$1602))</f>
        <v>0</v>
      </c>
      <c r="D106" s="6" t="n">
        <f aca="false">IF(COUNTIFS('Source Data'!$B$2:$B$1602,$A106,'Source Data'!$C$2:$C$1602,"&lt;&gt;")=0,"",_xlfn.MINIFS('Source Data'!$C$2:$C$1602,'Source Data'!$B$2:$B$1602,$A106))</f>
        <v>0</v>
      </c>
      <c r="E106" s="6" t="n">
        <f aca="false">IF(COUNTIFS('Source Data'!$B$2:$B$1602,$A106,'Source Data'!$C$2:$C$1602,"&lt;&gt;")=0,"",_xlfn.MAXIFS('Source Data'!$C$2:$C$1602,'Source Data'!$B$2:$B$1602,$A106))</f>
        <v>0</v>
      </c>
      <c r="F106" s="6" t="n">
        <f aca="false">IF(COUNTIFS('Source Data'!$B$2:$B$1602,$A106,'Source Data'!$D$2:$D$1602,"&lt;&gt;")=0,"",AVERAGEIF('Source Data'!$B$2:$B$1602,$A106,'Source Data'!$D$2:$D$1602))</f>
        <v>16</v>
      </c>
      <c r="G106" s="6" t="n">
        <f aca="false">IF(COUNTIFS('Source Data'!$B$2:$B$1602,$A106,'Source Data'!$D$2:$D$1602,"&lt;&gt;")=0,"",_xlfn.MINIFS('Source Data'!$D$2:$D$1602,'Source Data'!$B$2:$B$1602,$A106))</f>
        <v>16</v>
      </c>
      <c r="H106" s="6" t="n">
        <f aca="false">IF(COUNTIFS('Source Data'!$B$2:$B$1602,$A106,'Source Data'!$D$2:$D$1602,"&lt;&gt;")=0,"",_xlfn.MAXIFS('Source Data'!$D$2:$D$1602,'Source Data'!$B$2:$B$1602,$A106))</f>
        <v>16</v>
      </c>
      <c r="I106" s="6" t="str">
        <f aca="false">IF(COUNTIFS('Source Data'!$B$2:$B$1602,$A106,'Source Data'!$E$2:$E$1602,"&lt;&gt;")=0,"",AVERAGEIF('Source Data'!$B$2:$B$1602,$A106,'Source Data'!$E$2:$E$1602))</f>
        <v/>
      </c>
      <c r="J106" s="6" t="str">
        <f aca="false">IF(COUNTIFS('Source Data'!$B$2:$B$1602,$A106,'Source Data'!$E$2:$E$1602,"&lt;&gt;")=0,"",_xlfn.MINIFS('Source Data'!$E$2:$E$1602,'Source Data'!$B$2:$B$1602,$A106))</f>
        <v/>
      </c>
      <c r="K106" s="6" t="str">
        <f aca="false">IF(COUNTIFS('Source Data'!$B$2:$B$1602,$A106,'Source Data'!$E$2:$E$1602,"&lt;&gt;")=0,"",_xlfn.MAXIFS('Source Data'!$E$2:$E$1602,'Source Data'!$B$2:$B$1602,$A106))</f>
        <v/>
      </c>
      <c r="L106" s="6" t="str">
        <f aca="false">IF(COUNTIFS('Source Data'!$B$2:$B$1602,$A106,'Source Data'!$F$2:$F$1602,"&lt;&gt;")=0,"",AVERAGEIF('Source Data'!$B$2:$B$1602,$A106,'Source Data'!$F$2:$F$1602))</f>
        <v/>
      </c>
      <c r="M106" s="6" t="str">
        <f aca="false">IF(COUNTIFS('Source Data'!$B$2:$B$1602,$A106,'Source Data'!$F$2:$F$1602,"&lt;&gt;")=0,"",_xlfn.MINIFS('Source Data'!$F$2:$F$1602,'Source Data'!$B$2:$B$1602,$A106))</f>
        <v/>
      </c>
      <c r="N106" s="6" t="str">
        <f aca="false">IF(COUNTIFS('Source Data'!$B$2:$B$1602,$A106,'Source Data'!$F$2:$F$1602,"&lt;&gt;")=0,"",_xlfn.MAXIFS('Source Data'!$F$2:$F$1602,'Source Data'!$B$2:$B$1602,$A106))</f>
        <v/>
      </c>
    </row>
    <row r="107" customFormat="false" ht="15" hidden="false" customHeight="false" outlineLevel="0" collapsed="false">
      <c r="A107" s="5" t="s">
        <v>258</v>
      </c>
      <c r="B107" s="7" t="n">
        <f aca="false">COUNTIF('Source Data'!$B$2:$B$1602,$A107)</f>
        <v>17</v>
      </c>
      <c r="C107" s="6" t="n">
        <f aca="false">IF(COUNTIFS('Source Data'!$B$2:$B$1602,$A107,'Source Data'!$C$2:$C$1602,"&lt;&gt;")=0,"",AVERAGEIF('Source Data'!$B$2:$B$1602,$A107,'Source Data'!$C$2:$C$1602))</f>
        <v>10.2058823529412</v>
      </c>
      <c r="D107" s="6" t="n">
        <f aca="false">IF(COUNTIFS('Source Data'!$B$2:$B$1602,$A107,'Source Data'!$C$2:$C$1602,"&lt;&gt;")=0,"",_xlfn.MINIFS('Source Data'!$C$2:$C$1602,'Source Data'!$B$2:$B$1602,$A107))</f>
        <v>0</v>
      </c>
      <c r="E107" s="6" t="n">
        <f aca="false">IF(COUNTIFS('Source Data'!$B$2:$B$1602,$A107,'Source Data'!$C$2:$C$1602,"&lt;&gt;")=0,"",_xlfn.MAXIFS('Source Data'!$C$2:$C$1602,'Source Data'!$B$2:$B$1602,$A107))</f>
        <v>24</v>
      </c>
      <c r="F107" s="6" t="n">
        <f aca="false">IF(COUNTIFS('Source Data'!$B$2:$B$1602,$A107,'Source Data'!$D$2:$D$1602,"&lt;&gt;")=0,"",AVERAGEIF('Source Data'!$B$2:$B$1602,$A107,'Source Data'!$D$2:$D$1602))</f>
        <v>8.86666666666667</v>
      </c>
      <c r="G107" s="6" t="n">
        <f aca="false">IF(COUNTIFS('Source Data'!$B$2:$B$1602,$A107,'Source Data'!$D$2:$D$1602,"&lt;&gt;")=0,"",_xlfn.MINIFS('Source Data'!$D$2:$D$1602,'Source Data'!$B$2:$B$1602,$A107))</f>
        <v>0</v>
      </c>
      <c r="H107" s="6" t="n">
        <f aca="false">IF(COUNTIFS('Source Data'!$B$2:$B$1602,$A107,'Source Data'!$D$2:$D$1602,"&lt;&gt;")=0,"",_xlfn.MAXIFS('Source Data'!$D$2:$D$1602,'Source Data'!$B$2:$B$1602,$A107))</f>
        <v>26</v>
      </c>
      <c r="I107" s="6" t="n">
        <f aca="false">IF(COUNTIFS('Source Data'!$B$2:$B$1602,$A107,'Source Data'!$E$2:$E$1602,"&lt;&gt;")=0,"",AVERAGEIF('Source Data'!$B$2:$B$1602,$A107,'Source Data'!$E$2:$E$1602))</f>
        <v>4</v>
      </c>
      <c r="J107" s="6" t="n">
        <f aca="false">IF(COUNTIFS('Source Data'!$B$2:$B$1602,$A107,'Source Data'!$E$2:$E$1602,"&lt;&gt;")=0,"",_xlfn.MINIFS('Source Data'!$E$2:$E$1602,'Source Data'!$B$2:$B$1602,$A107))</f>
        <v>0</v>
      </c>
      <c r="K107" s="6" t="n">
        <f aca="false">IF(COUNTIFS('Source Data'!$B$2:$B$1602,$A107,'Source Data'!$E$2:$E$1602,"&lt;&gt;")=0,"",_xlfn.MAXIFS('Source Data'!$E$2:$E$1602,'Source Data'!$B$2:$B$1602,$A107))</f>
        <v>6</v>
      </c>
      <c r="L107" s="6" t="n">
        <f aca="false">IF(COUNTIFS('Source Data'!$B$2:$B$1602,$A107,'Source Data'!$F$2:$F$1602,"&lt;&gt;")=0,"",AVERAGEIF('Source Data'!$B$2:$B$1602,$A107,'Source Data'!$F$2:$F$1602))</f>
        <v>8</v>
      </c>
      <c r="M107" s="6" t="n">
        <f aca="false">IF(COUNTIFS('Source Data'!$B$2:$B$1602,$A107,'Source Data'!$F$2:$F$1602,"&lt;&gt;")=0,"",_xlfn.MINIFS('Source Data'!$F$2:$F$1602,'Source Data'!$B$2:$B$1602,$A107))</f>
        <v>0</v>
      </c>
      <c r="N107" s="6" t="n">
        <f aca="false">IF(COUNTIFS('Source Data'!$B$2:$B$1602,$A107,'Source Data'!$F$2:$F$1602,"&lt;&gt;")=0,"",_xlfn.MAXIFS('Source Data'!$F$2:$F$1602,'Source Data'!$B$2:$B$1602,$A107))</f>
        <v>16</v>
      </c>
    </row>
    <row r="108" customFormat="false" ht="15" hidden="false" customHeight="false" outlineLevel="0" collapsed="false">
      <c r="A108" s="5" t="s">
        <v>1202</v>
      </c>
      <c r="B108" s="7" t="n">
        <f aca="false">COUNTIF('Source Data'!$B$2:$B$1602,$A108)</f>
        <v>4</v>
      </c>
      <c r="C108" s="6" t="n">
        <f aca="false">IF(COUNTIFS('Source Data'!$B$2:$B$1602,$A108,'Source Data'!$C$2:$C$1602,"&lt;&gt;")=0,"",AVERAGEIF('Source Data'!$B$2:$B$1602,$A108,'Source Data'!$C$2:$C$1602))</f>
        <v>6</v>
      </c>
      <c r="D108" s="6" t="n">
        <f aca="false">IF(COUNTIFS('Source Data'!$B$2:$B$1602,$A108,'Source Data'!$C$2:$C$1602,"&lt;&gt;")=0,"",_xlfn.MINIFS('Source Data'!$C$2:$C$1602,'Source Data'!$B$2:$B$1602,$A108))</f>
        <v>2</v>
      </c>
      <c r="E108" s="6" t="n">
        <f aca="false">IF(COUNTIFS('Source Data'!$B$2:$B$1602,$A108,'Source Data'!$C$2:$C$1602,"&lt;&gt;")=0,"",_xlfn.MAXIFS('Source Data'!$C$2:$C$1602,'Source Data'!$B$2:$B$1602,$A108))</f>
        <v>10</v>
      </c>
      <c r="F108" s="6" t="n">
        <f aca="false">IF(COUNTIFS('Source Data'!$B$2:$B$1602,$A108,'Source Data'!$D$2:$D$1602,"&lt;&gt;")=0,"",AVERAGEIF('Source Data'!$B$2:$B$1602,$A108,'Source Data'!$D$2:$D$1602))</f>
        <v>8</v>
      </c>
      <c r="G108" s="6" t="n">
        <f aca="false">IF(COUNTIFS('Source Data'!$B$2:$B$1602,$A108,'Source Data'!$D$2:$D$1602,"&lt;&gt;")=0,"",_xlfn.MINIFS('Source Data'!$D$2:$D$1602,'Source Data'!$B$2:$B$1602,$A108))</f>
        <v>0</v>
      </c>
      <c r="H108" s="6" t="n">
        <f aca="false">IF(COUNTIFS('Source Data'!$B$2:$B$1602,$A108,'Source Data'!$D$2:$D$1602,"&lt;&gt;")=0,"",_xlfn.MAXIFS('Source Data'!$D$2:$D$1602,'Source Data'!$B$2:$B$1602,$A108))</f>
        <v>16</v>
      </c>
      <c r="I108" s="6" t="str">
        <f aca="false">IF(COUNTIFS('Source Data'!$B$2:$B$1602,$A108,'Source Data'!$E$2:$E$1602,"&lt;&gt;")=0,"",AVERAGEIF('Source Data'!$B$2:$B$1602,$A108,'Source Data'!$E$2:$E$1602))</f>
        <v/>
      </c>
      <c r="J108" s="6" t="str">
        <f aca="false">IF(COUNTIFS('Source Data'!$B$2:$B$1602,$A108,'Source Data'!$E$2:$E$1602,"&lt;&gt;")=0,"",_xlfn.MINIFS('Source Data'!$E$2:$E$1602,'Source Data'!$B$2:$B$1602,$A108))</f>
        <v/>
      </c>
      <c r="K108" s="6" t="str">
        <f aca="false">IF(COUNTIFS('Source Data'!$B$2:$B$1602,$A108,'Source Data'!$E$2:$E$1602,"&lt;&gt;")=0,"",_xlfn.MAXIFS('Source Data'!$E$2:$E$1602,'Source Data'!$B$2:$B$1602,$A108))</f>
        <v/>
      </c>
      <c r="L108" s="6" t="str">
        <f aca="false">IF(COUNTIFS('Source Data'!$B$2:$B$1602,$A108,'Source Data'!$F$2:$F$1602,"&lt;&gt;")=0,"",AVERAGEIF('Source Data'!$B$2:$B$1602,$A108,'Source Data'!$F$2:$F$1602))</f>
        <v/>
      </c>
      <c r="M108" s="6" t="str">
        <f aca="false">IF(COUNTIFS('Source Data'!$B$2:$B$1602,$A108,'Source Data'!$F$2:$F$1602,"&lt;&gt;")=0,"",_xlfn.MINIFS('Source Data'!$F$2:$F$1602,'Source Data'!$B$2:$B$1602,$A108))</f>
        <v/>
      </c>
      <c r="N108" s="6" t="str">
        <f aca="false">IF(COUNTIFS('Source Data'!$B$2:$B$1602,$A108,'Source Data'!$F$2:$F$1602,"&lt;&gt;")=0,"",_xlfn.MAXIFS('Source Data'!$F$2:$F$1602,'Source Data'!$B$2:$B$1602,$A108))</f>
        <v/>
      </c>
    </row>
    <row r="109" customFormat="false" ht="15" hidden="false" customHeight="false" outlineLevel="0" collapsed="false">
      <c r="A109" s="5" t="s">
        <v>264</v>
      </c>
      <c r="B109" s="7" t="n">
        <f aca="false">COUNTIF('Source Data'!$B$2:$B$1602,$A109)</f>
        <v>7</v>
      </c>
      <c r="C109" s="6" t="n">
        <f aca="false">IF(COUNTIFS('Source Data'!$B$2:$B$1602,$A109,'Source Data'!$C$2:$C$1602,"&lt;&gt;")=0,"",AVERAGEIF('Source Data'!$B$2:$B$1602,$A109,'Source Data'!$C$2:$C$1602))</f>
        <v>16.0714285714286</v>
      </c>
      <c r="D109" s="6" t="n">
        <f aca="false">IF(COUNTIFS('Source Data'!$B$2:$B$1602,$A109,'Source Data'!$C$2:$C$1602,"&lt;&gt;")=0,"",_xlfn.MINIFS('Source Data'!$C$2:$C$1602,'Source Data'!$B$2:$B$1602,$A109))</f>
        <v>6</v>
      </c>
      <c r="E109" s="6" t="n">
        <f aca="false">IF(COUNTIFS('Source Data'!$B$2:$B$1602,$A109,'Source Data'!$C$2:$C$1602,"&lt;&gt;")=0,"",_xlfn.MAXIFS('Source Data'!$C$2:$C$1602,'Source Data'!$B$2:$B$1602,$A109))</f>
        <v>26</v>
      </c>
      <c r="F109" s="6" t="n">
        <f aca="false">IF(COUNTIFS('Source Data'!$B$2:$B$1602,$A109,'Source Data'!$D$2:$D$1602,"&lt;&gt;")=0,"",AVERAGEIF('Source Data'!$B$2:$B$1602,$A109,'Source Data'!$D$2:$D$1602))</f>
        <v>9</v>
      </c>
      <c r="G109" s="6" t="n">
        <f aca="false">IF(COUNTIFS('Source Data'!$B$2:$B$1602,$A109,'Source Data'!$D$2:$D$1602,"&lt;&gt;")=0,"",_xlfn.MINIFS('Source Data'!$D$2:$D$1602,'Source Data'!$B$2:$B$1602,$A109))</f>
        <v>0</v>
      </c>
      <c r="H109" s="6" t="n">
        <f aca="false">IF(COUNTIFS('Source Data'!$B$2:$B$1602,$A109,'Source Data'!$D$2:$D$1602,"&lt;&gt;")=0,"",_xlfn.MAXIFS('Source Data'!$D$2:$D$1602,'Source Data'!$B$2:$B$1602,$A109))</f>
        <v>26</v>
      </c>
      <c r="I109" s="6" t="n">
        <f aca="false">IF(COUNTIFS('Source Data'!$B$2:$B$1602,$A109,'Source Data'!$E$2:$E$1602,"&lt;&gt;")=0,"",AVERAGEIF('Source Data'!$B$2:$B$1602,$A109,'Source Data'!$E$2:$E$1602))</f>
        <v>16</v>
      </c>
      <c r="J109" s="6" t="n">
        <f aca="false">IF(COUNTIFS('Source Data'!$B$2:$B$1602,$A109,'Source Data'!$E$2:$E$1602,"&lt;&gt;")=0,"",_xlfn.MINIFS('Source Data'!$E$2:$E$1602,'Source Data'!$B$2:$B$1602,$A109))</f>
        <v>16</v>
      </c>
      <c r="K109" s="6" t="n">
        <f aca="false">IF(COUNTIFS('Source Data'!$B$2:$B$1602,$A109,'Source Data'!$E$2:$E$1602,"&lt;&gt;")=0,"",_xlfn.MAXIFS('Source Data'!$E$2:$E$1602,'Source Data'!$B$2:$B$1602,$A109))</f>
        <v>16</v>
      </c>
      <c r="L109" s="6" t="str">
        <f aca="false">IF(COUNTIFS('Source Data'!$B$2:$B$1602,$A109,'Source Data'!$F$2:$F$1602,"&lt;&gt;")=0,"",AVERAGEIF('Source Data'!$B$2:$B$1602,$A109,'Source Data'!$F$2:$F$1602))</f>
        <v/>
      </c>
      <c r="M109" s="6" t="str">
        <f aca="false">IF(COUNTIFS('Source Data'!$B$2:$B$1602,$A109,'Source Data'!$F$2:$F$1602,"&lt;&gt;")=0,"",_xlfn.MINIFS('Source Data'!$F$2:$F$1602,'Source Data'!$B$2:$B$1602,$A109))</f>
        <v/>
      </c>
      <c r="N109" s="6" t="str">
        <f aca="false">IF(COUNTIFS('Source Data'!$B$2:$B$1602,$A109,'Source Data'!$F$2:$F$1602,"&lt;&gt;")=0,"",_xlfn.MAXIFS('Source Data'!$F$2:$F$1602,'Source Data'!$B$2:$B$1602,$A109))</f>
        <v/>
      </c>
    </row>
    <row r="110" customFormat="false" ht="15" hidden="false" customHeight="false" outlineLevel="0" collapsed="false">
      <c r="A110" s="5" t="s">
        <v>266</v>
      </c>
      <c r="B110" s="7" t="n">
        <f aca="false">COUNTIF('Source Data'!$B$2:$B$1602,$A110)</f>
        <v>6</v>
      </c>
      <c r="C110" s="6" t="n">
        <f aca="false">IF(COUNTIFS('Source Data'!$B$2:$B$1602,$A110,'Source Data'!$C$2:$C$1602,"&lt;&gt;")=0,"",AVERAGEIF('Source Data'!$B$2:$B$1602,$A110,'Source Data'!$C$2:$C$1602))</f>
        <v>10</v>
      </c>
      <c r="D110" s="6" t="n">
        <f aca="false">IF(COUNTIFS('Source Data'!$B$2:$B$1602,$A110,'Source Data'!$C$2:$C$1602,"&lt;&gt;")=0,"",_xlfn.MINIFS('Source Data'!$C$2:$C$1602,'Source Data'!$B$2:$B$1602,$A110))</f>
        <v>3</v>
      </c>
      <c r="E110" s="6" t="n">
        <f aca="false">IF(COUNTIFS('Source Data'!$B$2:$B$1602,$A110,'Source Data'!$C$2:$C$1602,"&lt;&gt;")=0,"",_xlfn.MAXIFS('Source Data'!$C$2:$C$1602,'Source Data'!$B$2:$B$1602,$A110))</f>
        <v>16</v>
      </c>
      <c r="F110" s="6" t="n">
        <f aca="false">IF(COUNTIFS('Source Data'!$B$2:$B$1602,$A110,'Source Data'!$D$2:$D$1602,"&lt;&gt;")=0,"",AVERAGEIF('Source Data'!$B$2:$B$1602,$A110,'Source Data'!$D$2:$D$1602))</f>
        <v>14.5</v>
      </c>
      <c r="G110" s="6" t="n">
        <f aca="false">IF(COUNTIFS('Source Data'!$B$2:$B$1602,$A110,'Source Data'!$D$2:$D$1602,"&lt;&gt;")=0,"",_xlfn.MINIFS('Source Data'!$D$2:$D$1602,'Source Data'!$B$2:$B$1602,$A110))</f>
        <v>1.5</v>
      </c>
      <c r="H110" s="6" t="n">
        <f aca="false">IF(COUNTIFS('Source Data'!$B$2:$B$1602,$A110,'Source Data'!$D$2:$D$1602,"&lt;&gt;")=0,"",_xlfn.MAXIFS('Source Data'!$D$2:$D$1602,'Source Data'!$B$2:$B$1602,$A110))</f>
        <v>26</v>
      </c>
      <c r="I110" s="6" t="n">
        <f aca="false">IF(COUNTIFS('Source Data'!$B$2:$B$1602,$A110,'Source Data'!$E$2:$E$1602,"&lt;&gt;")=0,"",AVERAGEIF('Source Data'!$B$2:$B$1602,$A110,'Source Data'!$E$2:$E$1602))</f>
        <v>1</v>
      </c>
      <c r="J110" s="6" t="n">
        <f aca="false">IF(COUNTIFS('Source Data'!$B$2:$B$1602,$A110,'Source Data'!$E$2:$E$1602,"&lt;&gt;")=0,"",_xlfn.MINIFS('Source Data'!$E$2:$E$1602,'Source Data'!$B$2:$B$1602,$A110))</f>
        <v>0</v>
      </c>
      <c r="K110" s="6" t="n">
        <f aca="false">IF(COUNTIFS('Source Data'!$B$2:$B$1602,$A110,'Source Data'!$E$2:$E$1602,"&lt;&gt;")=0,"",_xlfn.MAXIFS('Source Data'!$E$2:$E$1602,'Source Data'!$B$2:$B$1602,$A110))</f>
        <v>2</v>
      </c>
      <c r="L110" s="6" t="str">
        <f aca="false">IF(COUNTIFS('Source Data'!$B$2:$B$1602,$A110,'Source Data'!$F$2:$F$1602,"&lt;&gt;")=0,"",AVERAGEIF('Source Data'!$B$2:$B$1602,$A110,'Source Data'!$F$2:$F$1602))</f>
        <v/>
      </c>
      <c r="M110" s="6" t="str">
        <f aca="false">IF(COUNTIFS('Source Data'!$B$2:$B$1602,$A110,'Source Data'!$F$2:$F$1602,"&lt;&gt;")=0,"",_xlfn.MINIFS('Source Data'!$F$2:$F$1602,'Source Data'!$B$2:$B$1602,$A110))</f>
        <v/>
      </c>
      <c r="N110" s="6" t="str">
        <f aca="false">IF(COUNTIFS('Source Data'!$B$2:$B$1602,$A110,'Source Data'!$F$2:$F$1602,"&lt;&gt;")=0,"",_xlfn.MAXIFS('Source Data'!$F$2:$F$1602,'Source Data'!$B$2:$B$1602,$A110))</f>
        <v/>
      </c>
    </row>
    <row r="111" customFormat="false" ht="15" hidden="false" customHeight="false" outlineLevel="0" collapsed="false">
      <c r="A111" s="5" t="s">
        <v>62</v>
      </c>
      <c r="B111" s="7" t="n">
        <f aca="false">COUNTIF('Source Data'!$B$2:$B$1602,$A111)</f>
        <v>5</v>
      </c>
      <c r="C111" s="6" t="n">
        <f aca="false">IF(COUNTIFS('Source Data'!$B$2:$B$1602,$A111,'Source Data'!$C$2:$C$1602,"&lt;&gt;")=0,"",AVERAGEIF('Source Data'!$B$2:$B$1602,$A111,'Source Data'!$C$2:$C$1602))</f>
        <v>17.6</v>
      </c>
      <c r="D111" s="6" t="n">
        <f aca="false">IF(COUNTIFS('Source Data'!$B$2:$B$1602,$A111,'Source Data'!$C$2:$C$1602,"&lt;&gt;")=0,"",_xlfn.MINIFS('Source Data'!$C$2:$C$1602,'Source Data'!$B$2:$B$1602,$A111))</f>
        <v>6</v>
      </c>
      <c r="E111" s="6" t="n">
        <f aca="false">IF(COUNTIFS('Source Data'!$B$2:$B$1602,$A111,'Source Data'!$C$2:$C$1602,"&lt;&gt;")=0,"",_xlfn.MAXIFS('Source Data'!$C$2:$C$1602,'Source Data'!$B$2:$B$1602,$A111))</f>
        <v>30</v>
      </c>
      <c r="F111" s="6" t="n">
        <f aca="false">IF(COUNTIFS('Source Data'!$B$2:$B$1602,$A111,'Source Data'!$D$2:$D$1602,"&lt;&gt;")=0,"",AVERAGEIF('Source Data'!$B$2:$B$1602,$A111,'Source Data'!$D$2:$D$1602))</f>
        <v>11.3333333333333</v>
      </c>
      <c r="G111" s="6" t="n">
        <f aca="false">IF(COUNTIFS('Source Data'!$B$2:$B$1602,$A111,'Source Data'!$D$2:$D$1602,"&lt;&gt;")=0,"",_xlfn.MINIFS('Source Data'!$D$2:$D$1602,'Source Data'!$B$2:$B$1602,$A111))</f>
        <v>0</v>
      </c>
      <c r="H111" s="6" t="n">
        <f aca="false">IF(COUNTIFS('Source Data'!$B$2:$B$1602,$A111,'Source Data'!$D$2:$D$1602,"&lt;&gt;")=0,"",_xlfn.MAXIFS('Source Data'!$D$2:$D$1602,'Source Data'!$B$2:$B$1602,$A111))</f>
        <v>34</v>
      </c>
      <c r="I111" s="6" t="n">
        <f aca="false">IF(COUNTIFS('Source Data'!$B$2:$B$1602,$A111,'Source Data'!$E$2:$E$1602,"&lt;&gt;")=0,"",AVERAGEIF('Source Data'!$B$2:$B$1602,$A111,'Source Data'!$E$2:$E$1602))</f>
        <v>2</v>
      </c>
      <c r="J111" s="6" t="n">
        <f aca="false">IF(COUNTIFS('Source Data'!$B$2:$B$1602,$A111,'Source Data'!$E$2:$E$1602,"&lt;&gt;")=0,"",_xlfn.MINIFS('Source Data'!$E$2:$E$1602,'Source Data'!$B$2:$B$1602,$A111))</f>
        <v>2</v>
      </c>
      <c r="K111" s="6" t="n">
        <f aca="false">IF(COUNTIFS('Source Data'!$B$2:$B$1602,$A111,'Source Data'!$E$2:$E$1602,"&lt;&gt;")=0,"",_xlfn.MAXIFS('Source Data'!$E$2:$E$1602,'Source Data'!$B$2:$B$1602,$A111))</f>
        <v>2</v>
      </c>
      <c r="L111" s="6" t="n">
        <f aca="false">IF(COUNTIFS('Source Data'!$B$2:$B$1602,$A111,'Source Data'!$F$2:$F$1602,"&lt;&gt;")=0,"",AVERAGEIF('Source Data'!$B$2:$B$1602,$A111,'Source Data'!$F$2:$F$1602))</f>
        <v>8</v>
      </c>
      <c r="M111" s="6" t="n">
        <f aca="false">IF(COUNTIFS('Source Data'!$B$2:$B$1602,$A111,'Source Data'!$F$2:$F$1602,"&lt;&gt;")=0,"",_xlfn.MINIFS('Source Data'!$F$2:$F$1602,'Source Data'!$B$2:$B$1602,$A111))</f>
        <v>8</v>
      </c>
      <c r="N111" s="6" t="n">
        <f aca="false">IF(COUNTIFS('Source Data'!$B$2:$B$1602,$A111,'Source Data'!$F$2:$F$1602,"&lt;&gt;")=0,"",_xlfn.MAXIFS('Source Data'!$F$2:$F$1602,'Source Data'!$B$2:$B$1602,$A111))</f>
        <v>8</v>
      </c>
    </row>
    <row r="112" customFormat="false" ht="15" hidden="false" customHeight="false" outlineLevel="0" collapsed="false">
      <c r="A112" s="5" t="s">
        <v>268</v>
      </c>
      <c r="B112" s="7" t="n">
        <f aca="false">COUNTIF('Source Data'!$B$2:$B$1602,$A112)</f>
        <v>9</v>
      </c>
      <c r="C112" s="6" t="n">
        <f aca="false">IF(COUNTIFS('Source Data'!$B$2:$B$1602,$A112,'Source Data'!$C$2:$C$1602,"&lt;&gt;")=0,"",AVERAGEIF('Source Data'!$B$2:$B$1602,$A112,'Source Data'!$C$2:$C$1602))</f>
        <v>10</v>
      </c>
      <c r="D112" s="6" t="n">
        <f aca="false">IF(COUNTIFS('Source Data'!$B$2:$B$1602,$A112,'Source Data'!$C$2:$C$1602,"&lt;&gt;")=0,"",_xlfn.MINIFS('Source Data'!$C$2:$C$1602,'Source Data'!$B$2:$B$1602,$A112))</f>
        <v>6</v>
      </c>
      <c r="E112" s="6" t="n">
        <f aca="false">IF(COUNTIFS('Source Data'!$B$2:$B$1602,$A112,'Source Data'!$C$2:$C$1602,"&lt;&gt;")=0,"",_xlfn.MAXIFS('Source Data'!$C$2:$C$1602,'Source Data'!$B$2:$B$1602,$A112))</f>
        <v>16</v>
      </c>
      <c r="F112" s="6" t="n">
        <f aca="false">IF(COUNTIFS('Source Data'!$B$2:$B$1602,$A112,'Source Data'!$D$2:$D$1602,"&lt;&gt;")=0,"",AVERAGEIF('Source Data'!$B$2:$B$1602,$A112,'Source Data'!$D$2:$D$1602))</f>
        <v>8.25</v>
      </c>
      <c r="G112" s="6" t="n">
        <f aca="false">IF(COUNTIFS('Source Data'!$B$2:$B$1602,$A112,'Source Data'!$D$2:$D$1602,"&lt;&gt;")=0,"",_xlfn.MINIFS('Source Data'!$D$2:$D$1602,'Source Data'!$B$2:$B$1602,$A112))</f>
        <v>0</v>
      </c>
      <c r="H112" s="6" t="n">
        <f aca="false">IF(COUNTIFS('Source Data'!$B$2:$B$1602,$A112,'Source Data'!$D$2:$D$1602,"&lt;&gt;")=0,"",_xlfn.MAXIFS('Source Data'!$D$2:$D$1602,'Source Data'!$B$2:$B$1602,$A112))</f>
        <v>26</v>
      </c>
      <c r="I112" s="6" t="n">
        <f aca="false">IF(COUNTIFS('Source Data'!$B$2:$B$1602,$A112,'Source Data'!$E$2:$E$1602,"&lt;&gt;")=0,"",AVERAGEIF('Source Data'!$B$2:$B$1602,$A112,'Source Data'!$E$2:$E$1602))</f>
        <v>4</v>
      </c>
      <c r="J112" s="6" t="n">
        <f aca="false">IF(COUNTIFS('Source Data'!$B$2:$B$1602,$A112,'Source Data'!$E$2:$E$1602,"&lt;&gt;")=0,"",_xlfn.MINIFS('Source Data'!$E$2:$E$1602,'Source Data'!$B$2:$B$1602,$A112))</f>
        <v>2</v>
      </c>
      <c r="K112" s="6" t="n">
        <f aca="false">IF(COUNTIFS('Source Data'!$B$2:$B$1602,$A112,'Source Data'!$E$2:$E$1602,"&lt;&gt;")=0,"",_xlfn.MAXIFS('Source Data'!$E$2:$E$1602,'Source Data'!$B$2:$B$1602,$A112))</f>
        <v>8</v>
      </c>
      <c r="L112" s="6" t="str">
        <f aca="false">IF(COUNTIFS('Source Data'!$B$2:$B$1602,$A112,'Source Data'!$F$2:$F$1602,"&lt;&gt;")=0,"",AVERAGEIF('Source Data'!$B$2:$B$1602,$A112,'Source Data'!$F$2:$F$1602))</f>
        <v/>
      </c>
      <c r="M112" s="6" t="str">
        <f aca="false">IF(COUNTIFS('Source Data'!$B$2:$B$1602,$A112,'Source Data'!$F$2:$F$1602,"&lt;&gt;")=0,"",_xlfn.MINIFS('Source Data'!$F$2:$F$1602,'Source Data'!$B$2:$B$1602,$A112))</f>
        <v/>
      </c>
      <c r="N112" s="6" t="str">
        <f aca="false">IF(COUNTIFS('Source Data'!$B$2:$B$1602,$A112,'Source Data'!$F$2:$F$1602,"&lt;&gt;")=0,"",_xlfn.MAXIFS('Source Data'!$F$2:$F$1602,'Source Data'!$B$2:$B$1602,$A112))</f>
        <v/>
      </c>
    </row>
    <row r="113" customFormat="false" ht="15" hidden="false" customHeight="false" outlineLevel="0" collapsed="false">
      <c r="A113" s="5" t="s">
        <v>1225</v>
      </c>
      <c r="B113" s="7" t="n">
        <f aca="false">COUNTIF('Source Data'!$B$2:$B$1602,$A113)</f>
        <v>5</v>
      </c>
      <c r="C113" s="6" t="n">
        <f aca="false">IF(COUNTIFS('Source Data'!$B$2:$B$1602,$A113,'Source Data'!$C$2:$C$1602,"&lt;&gt;")=0,"",AVERAGEIF('Source Data'!$B$2:$B$1602,$A113,'Source Data'!$C$2:$C$1602))</f>
        <v>8.2</v>
      </c>
      <c r="D113" s="6" t="n">
        <f aca="false">IF(COUNTIFS('Source Data'!$B$2:$B$1602,$A113,'Source Data'!$C$2:$C$1602,"&lt;&gt;")=0,"",_xlfn.MINIFS('Source Data'!$C$2:$C$1602,'Source Data'!$B$2:$B$1602,$A113))</f>
        <v>2</v>
      </c>
      <c r="E113" s="6" t="n">
        <f aca="false">IF(COUNTIFS('Source Data'!$B$2:$B$1602,$A113,'Source Data'!$C$2:$C$1602,"&lt;&gt;")=0,"",_xlfn.MAXIFS('Source Data'!$C$2:$C$1602,'Source Data'!$B$2:$B$1602,$A113))</f>
        <v>12</v>
      </c>
      <c r="F113" s="6" t="n">
        <f aca="false">IF(COUNTIFS('Source Data'!$B$2:$B$1602,$A113,'Source Data'!$D$2:$D$1602,"&lt;&gt;")=0,"",AVERAGEIF('Source Data'!$B$2:$B$1602,$A113,'Source Data'!$D$2:$D$1602))</f>
        <v>4</v>
      </c>
      <c r="G113" s="6" t="n">
        <f aca="false">IF(COUNTIFS('Source Data'!$B$2:$B$1602,$A113,'Source Data'!$D$2:$D$1602,"&lt;&gt;")=0,"",_xlfn.MINIFS('Source Data'!$D$2:$D$1602,'Source Data'!$B$2:$B$1602,$A113))</f>
        <v>0</v>
      </c>
      <c r="H113" s="6" t="n">
        <f aca="false">IF(COUNTIFS('Source Data'!$B$2:$B$1602,$A113,'Source Data'!$D$2:$D$1602,"&lt;&gt;")=0,"",_xlfn.MAXIFS('Source Data'!$D$2:$D$1602,'Source Data'!$B$2:$B$1602,$A113))</f>
        <v>12</v>
      </c>
      <c r="I113" s="6" t="str">
        <f aca="false">IF(COUNTIFS('Source Data'!$B$2:$B$1602,$A113,'Source Data'!$E$2:$E$1602,"&lt;&gt;")=0,"",AVERAGEIF('Source Data'!$B$2:$B$1602,$A113,'Source Data'!$E$2:$E$1602))</f>
        <v/>
      </c>
      <c r="J113" s="6" t="str">
        <f aca="false">IF(COUNTIFS('Source Data'!$B$2:$B$1602,$A113,'Source Data'!$E$2:$E$1602,"&lt;&gt;")=0,"",_xlfn.MINIFS('Source Data'!$E$2:$E$1602,'Source Data'!$B$2:$B$1602,$A113))</f>
        <v/>
      </c>
      <c r="K113" s="6" t="str">
        <f aca="false">IF(COUNTIFS('Source Data'!$B$2:$B$1602,$A113,'Source Data'!$E$2:$E$1602,"&lt;&gt;")=0,"",_xlfn.MAXIFS('Source Data'!$E$2:$E$1602,'Source Data'!$B$2:$B$1602,$A113))</f>
        <v/>
      </c>
      <c r="L113" s="6" t="str">
        <f aca="false">IF(COUNTIFS('Source Data'!$B$2:$B$1602,$A113,'Source Data'!$F$2:$F$1602,"&lt;&gt;")=0,"",AVERAGEIF('Source Data'!$B$2:$B$1602,$A113,'Source Data'!$F$2:$F$1602))</f>
        <v/>
      </c>
      <c r="M113" s="6" t="str">
        <f aca="false">IF(COUNTIFS('Source Data'!$B$2:$B$1602,$A113,'Source Data'!$F$2:$F$1602,"&lt;&gt;")=0,"",_xlfn.MINIFS('Source Data'!$F$2:$F$1602,'Source Data'!$B$2:$B$1602,$A113))</f>
        <v/>
      </c>
      <c r="N113" s="6" t="str">
        <f aca="false">IF(COUNTIFS('Source Data'!$B$2:$B$1602,$A113,'Source Data'!$F$2:$F$1602,"&lt;&gt;")=0,"",_xlfn.MAXIFS('Source Data'!$F$2:$F$1602,'Source Data'!$B$2:$B$1602,$A113))</f>
        <v/>
      </c>
    </row>
    <row r="114" customFormat="false" ht="15" hidden="false" customHeight="false" outlineLevel="0" collapsed="false">
      <c r="A114" s="5" t="s">
        <v>272</v>
      </c>
      <c r="B114" s="7" t="n">
        <f aca="false">COUNTIF('Source Data'!$B$2:$B$1602,$A114)</f>
        <v>1</v>
      </c>
      <c r="C114" s="6" t="n">
        <f aca="false">IF(COUNTIFS('Source Data'!$B$2:$B$1602,$A114,'Source Data'!$C$2:$C$1602,"&lt;&gt;")=0,"",AVERAGEIF('Source Data'!$B$2:$B$1602,$A114,'Source Data'!$C$2:$C$1602))</f>
        <v>2</v>
      </c>
      <c r="D114" s="6" t="n">
        <f aca="false">IF(COUNTIFS('Source Data'!$B$2:$B$1602,$A114,'Source Data'!$C$2:$C$1602,"&lt;&gt;")=0,"",_xlfn.MINIFS('Source Data'!$C$2:$C$1602,'Source Data'!$B$2:$B$1602,$A114))</f>
        <v>2</v>
      </c>
      <c r="E114" s="6" t="n">
        <f aca="false">IF(COUNTIFS('Source Data'!$B$2:$B$1602,$A114,'Source Data'!$C$2:$C$1602,"&lt;&gt;")=0,"",_xlfn.MAXIFS('Source Data'!$C$2:$C$1602,'Source Data'!$B$2:$B$1602,$A114))</f>
        <v>2</v>
      </c>
      <c r="F114" s="6" t="n">
        <f aca="false">IF(COUNTIFS('Source Data'!$B$2:$B$1602,$A114,'Source Data'!$D$2:$D$1602,"&lt;&gt;")=0,"",AVERAGEIF('Source Data'!$B$2:$B$1602,$A114,'Source Data'!$D$2:$D$1602))</f>
        <v>0</v>
      </c>
      <c r="G114" s="6" t="n">
        <f aca="false">IF(COUNTIFS('Source Data'!$B$2:$B$1602,$A114,'Source Data'!$D$2:$D$1602,"&lt;&gt;")=0,"",_xlfn.MINIFS('Source Data'!$D$2:$D$1602,'Source Data'!$B$2:$B$1602,$A114))</f>
        <v>0</v>
      </c>
      <c r="H114" s="6" t="n">
        <f aca="false">IF(COUNTIFS('Source Data'!$B$2:$B$1602,$A114,'Source Data'!$D$2:$D$1602,"&lt;&gt;")=0,"",_xlfn.MAXIFS('Source Data'!$D$2:$D$1602,'Source Data'!$B$2:$B$1602,$A114))</f>
        <v>0</v>
      </c>
      <c r="I114" s="6" t="str">
        <f aca="false">IF(COUNTIFS('Source Data'!$B$2:$B$1602,$A114,'Source Data'!$E$2:$E$1602,"&lt;&gt;")=0,"",AVERAGEIF('Source Data'!$B$2:$B$1602,$A114,'Source Data'!$E$2:$E$1602))</f>
        <v/>
      </c>
      <c r="J114" s="6" t="str">
        <f aca="false">IF(COUNTIFS('Source Data'!$B$2:$B$1602,$A114,'Source Data'!$E$2:$E$1602,"&lt;&gt;")=0,"",_xlfn.MINIFS('Source Data'!$E$2:$E$1602,'Source Data'!$B$2:$B$1602,$A114))</f>
        <v/>
      </c>
      <c r="K114" s="6" t="str">
        <f aca="false">IF(COUNTIFS('Source Data'!$B$2:$B$1602,$A114,'Source Data'!$E$2:$E$1602,"&lt;&gt;")=0,"",_xlfn.MAXIFS('Source Data'!$E$2:$E$1602,'Source Data'!$B$2:$B$1602,$A114))</f>
        <v/>
      </c>
      <c r="L114" s="6" t="n">
        <f aca="false">IF(COUNTIFS('Source Data'!$B$2:$B$1602,$A114,'Source Data'!$F$2:$F$1602,"&lt;&gt;")=0,"",AVERAGEIF('Source Data'!$B$2:$B$1602,$A114,'Source Data'!$F$2:$F$1602))</f>
        <v>12</v>
      </c>
      <c r="M114" s="6" t="n">
        <f aca="false">IF(COUNTIFS('Source Data'!$B$2:$B$1602,$A114,'Source Data'!$F$2:$F$1602,"&lt;&gt;")=0,"",_xlfn.MINIFS('Source Data'!$F$2:$F$1602,'Source Data'!$B$2:$B$1602,$A114))</f>
        <v>12</v>
      </c>
      <c r="N114" s="6" t="n">
        <f aca="false">IF(COUNTIFS('Source Data'!$B$2:$B$1602,$A114,'Source Data'!$F$2:$F$1602,"&lt;&gt;")=0,"",_xlfn.MAXIFS('Source Data'!$F$2:$F$1602,'Source Data'!$B$2:$B$1602,$A114))</f>
        <v>12</v>
      </c>
    </row>
    <row r="115" customFormat="false" ht="15" hidden="false" customHeight="false" outlineLevel="0" collapsed="false">
      <c r="A115" s="5" t="s">
        <v>274</v>
      </c>
      <c r="B115" s="7" t="n">
        <f aca="false">COUNTIF('Source Data'!$B$2:$B$1602,$A115)</f>
        <v>4</v>
      </c>
      <c r="C115" s="6" t="n">
        <f aca="false">IF(COUNTIFS('Source Data'!$B$2:$B$1602,$A115,'Source Data'!$C$2:$C$1602,"&lt;&gt;")=0,"",AVERAGEIF('Source Data'!$B$2:$B$1602,$A115,'Source Data'!$C$2:$C$1602))</f>
        <v>17.25</v>
      </c>
      <c r="D115" s="6" t="n">
        <f aca="false">IF(COUNTIFS('Source Data'!$B$2:$B$1602,$A115,'Source Data'!$C$2:$C$1602,"&lt;&gt;")=0,"",_xlfn.MINIFS('Source Data'!$C$2:$C$1602,'Source Data'!$B$2:$B$1602,$A115))</f>
        <v>5</v>
      </c>
      <c r="E115" s="6" t="n">
        <f aca="false">IF(COUNTIFS('Source Data'!$B$2:$B$1602,$A115,'Source Data'!$C$2:$C$1602,"&lt;&gt;")=0,"",_xlfn.MAXIFS('Source Data'!$C$2:$C$1602,'Source Data'!$B$2:$B$1602,$A115))</f>
        <v>52</v>
      </c>
      <c r="F115" s="6" t="n">
        <f aca="false">IF(COUNTIFS('Source Data'!$B$2:$B$1602,$A115,'Source Data'!$D$2:$D$1602,"&lt;&gt;")=0,"",AVERAGEIF('Source Data'!$B$2:$B$1602,$A115,'Source Data'!$D$2:$D$1602))</f>
        <v>4.5</v>
      </c>
      <c r="G115" s="6" t="n">
        <f aca="false">IF(COUNTIFS('Source Data'!$B$2:$B$1602,$A115,'Source Data'!$D$2:$D$1602,"&lt;&gt;")=0,"",_xlfn.MINIFS('Source Data'!$D$2:$D$1602,'Source Data'!$B$2:$B$1602,$A115))</f>
        <v>0</v>
      </c>
      <c r="H115" s="6" t="n">
        <f aca="false">IF(COUNTIFS('Source Data'!$B$2:$B$1602,$A115,'Source Data'!$D$2:$D$1602,"&lt;&gt;")=0,"",_xlfn.MAXIFS('Source Data'!$D$2:$D$1602,'Source Data'!$B$2:$B$1602,$A115))</f>
        <v>12</v>
      </c>
      <c r="I115" s="6" t="n">
        <f aca="false">IF(COUNTIFS('Source Data'!$B$2:$B$1602,$A115,'Source Data'!$E$2:$E$1602,"&lt;&gt;")=0,"",AVERAGEIF('Source Data'!$B$2:$B$1602,$A115,'Source Data'!$E$2:$E$1602))</f>
        <v>0</v>
      </c>
      <c r="J115" s="6" t="n">
        <f aca="false">IF(COUNTIFS('Source Data'!$B$2:$B$1602,$A115,'Source Data'!$E$2:$E$1602,"&lt;&gt;")=0,"",_xlfn.MINIFS('Source Data'!$E$2:$E$1602,'Source Data'!$B$2:$B$1602,$A115))</f>
        <v>0</v>
      </c>
      <c r="K115" s="6" t="n">
        <f aca="false">IF(COUNTIFS('Source Data'!$B$2:$B$1602,$A115,'Source Data'!$E$2:$E$1602,"&lt;&gt;")=0,"",_xlfn.MAXIFS('Source Data'!$E$2:$E$1602,'Source Data'!$B$2:$B$1602,$A115))</f>
        <v>0</v>
      </c>
      <c r="L115" s="6" t="str">
        <f aca="false">IF(COUNTIFS('Source Data'!$B$2:$B$1602,$A115,'Source Data'!$F$2:$F$1602,"&lt;&gt;")=0,"",AVERAGEIF('Source Data'!$B$2:$B$1602,$A115,'Source Data'!$F$2:$F$1602))</f>
        <v/>
      </c>
      <c r="M115" s="6" t="str">
        <f aca="false">IF(COUNTIFS('Source Data'!$B$2:$B$1602,$A115,'Source Data'!$F$2:$F$1602,"&lt;&gt;")=0,"",_xlfn.MINIFS('Source Data'!$F$2:$F$1602,'Source Data'!$B$2:$B$1602,$A115))</f>
        <v/>
      </c>
      <c r="N115" s="6" t="str">
        <f aca="false">IF(COUNTIFS('Source Data'!$B$2:$B$1602,$A115,'Source Data'!$F$2:$F$1602,"&lt;&gt;")=0,"",_xlfn.MAXIFS('Source Data'!$F$2:$F$1602,'Source Data'!$B$2:$B$1602,$A115))</f>
        <v/>
      </c>
    </row>
    <row r="116" customFormat="false" ht="15" hidden="false" customHeight="false" outlineLevel="0" collapsed="false">
      <c r="A116" s="5" t="s">
        <v>1232</v>
      </c>
      <c r="B116" s="7" t="n">
        <f aca="false">COUNTIF('Source Data'!$B$2:$B$1602,$A116)</f>
        <v>8</v>
      </c>
      <c r="C116" s="6" t="n">
        <f aca="false">IF(COUNTIFS('Source Data'!$B$2:$B$1602,$A116,'Source Data'!$C$2:$C$1602,"&lt;&gt;")=0,"",AVERAGEIF('Source Data'!$B$2:$B$1602,$A116,'Source Data'!$C$2:$C$1602))</f>
        <v>15.625</v>
      </c>
      <c r="D116" s="6" t="n">
        <f aca="false">IF(COUNTIFS('Source Data'!$B$2:$B$1602,$A116,'Source Data'!$C$2:$C$1602,"&lt;&gt;")=0,"",_xlfn.MINIFS('Source Data'!$C$2:$C$1602,'Source Data'!$B$2:$B$1602,$A116))</f>
        <v>0</v>
      </c>
      <c r="E116" s="6" t="n">
        <f aca="false">IF(COUNTIFS('Source Data'!$B$2:$B$1602,$A116,'Source Data'!$C$2:$C$1602,"&lt;&gt;")=0,"",_xlfn.MAXIFS('Source Data'!$C$2:$C$1602,'Source Data'!$B$2:$B$1602,$A116))</f>
        <v>52</v>
      </c>
      <c r="F116" s="6" t="n">
        <f aca="false">IF(COUNTIFS('Source Data'!$B$2:$B$1602,$A116,'Source Data'!$D$2:$D$1602,"&lt;&gt;")=0,"",AVERAGEIF('Source Data'!$B$2:$B$1602,$A116,'Source Data'!$D$2:$D$1602))</f>
        <v>8.25</v>
      </c>
      <c r="G116" s="6" t="n">
        <f aca="false">IF(COUNTIFS('Source Data'!$B$2:$B$1602,$A116,'Source Data'!$D$2:$D$1602,"&lt;&gt;")=0,"",_xlfn.MINIFS('Source Data'!$D$2:$D$1602,'Source Data'!$B$2:$B$1602,$A116))</f>
        <v>0</v>
      </c>
      <c r="H116" s="6" t="n">
        <f aca="false">IF(COUNTIFS('Source Data'!$B$2:$B$1602,$A116,'Source Data'!$D$2:$D$1602,"&lt;&gt;")=0,"",_xlfn.MAXIFS('Source Data'!$D$2:$D$1602,'Source Data'!$B$2:$B$1602,$A116))</f>
        <v>26</v>
      </c>
      <c r="I116" s="6" t="str">
        <f aca="false">IF(COUNTIFS('Source Data'!$B$2:$B$1602,$A116,'Source Data'!$E$2:$E$1602,"&lt;&gt;")=0,"",AVERAGEIF('Source Data'!$B$2:$B$1602,$A116,'Source Data'!$E$2:$E$1602))</f>
        <v/>
      </c>
      <c r="J116" s="6" t="str">
        <f aca="false">IF(COUNTIFS('Source Data'!$B$2:$B$1602,$A116,'Source Data'!$E$2:$E$1602,"&lt;&gt;")=0,"",_xlfn.MINIFS('Source Data'!$E$2:$E$1602,'Source Data'!$B$2:$B$1602,$A116))</f>
        <v/>
      </c>
      <c r="K116" s="6" t="str">
        <f aca="false">IF(COUNTIFS('Source Data'!$B$2:$B$1602,$A116,'Source Data'!$E$2:$E$1602,"&lt;&gt;")=0,"",_xlfn.MAXIFS('Source Data'!$E$2:$E$1602,'Source Data'!$B$2:$B$1602,$A116))</f>
        <v/>
      </c>
      <c r="L116" s="6" t="str">
        <f aca="false">IF(COUNTIFS('Source Data'!$B$2:$B$1602,$A116,'Source Data'!$F$2:$F$1602,"&lt;&gt;")=0,"",AVERAGEIF('Source Data'!$B$2:$B$1602,$A116,'Source Data'!$F$2:$F$1602))</f>
        <v/>
      </c>
      <c r="M116" s="6" t="str">
        <f aca="false">IF(COUNTIFS('Source Data'!$B$2:$B$1602,$A116,'Source Data'!$F$2:$F$1602,"&lt;&gt;")=0,"",_xlfn.MINIFS('Source Data'!$F$2:$F$1602,'Source Data'!$B$2:$B$1602,$A116))</f>
        <v/>
      </c>
      <c r="N116" s="6" t="str">
        <f aca="false">IF(COUNTIFS('Source Data'!$B$2:$B$1602,$A116,'Source Data'!$F$2:$F$1602,"&lt;&gt;")=0,"",_xlfn.MAXIFS('Source Data'!$F$2:$F$1602,'Source Data'!$B$2:$B$1602,$A116))</f>
        <v/>
      </c>
    </row>
    <row r="117" customFormat="false" ht="15" hidden="false" customHeight="false" outlineLevel="0" collapsed="false">
      <c r="A117" s="5" t="s">
        <v>1241</v>
      </c>
      <c r="B117" s="7" t="n">
        <f aca="false">COUNTIF('Source Data'!$B$2:$B$1602,$A117)</f>
        <v>1</v>
      </c>
      <c r="C117" s="6" t="n">
        <f aca="false">IF(COUNTIFS('Source Data'!$B$2:$B$1602,$A117,'Source Data'!$C$2:$C$1602,"&lt;&gt;")=0,"",AVERAGEIF('Source Data'!$B$2:$B$1602,$A117,'Source Data'!$C$2:$C$1602))</f>
        <v>16</v>
      </c>
      <c r="D117" s="6" t="n">
        <f aca="false">IF(COUNTIFS('Source Data'!$B$2:$B$1602,$A117,'Source Data'!$C$2:$C$1602,"&lt;&gt;")=0,"",_xlfn.MINIFS('Source Data'!$C$2:$C$1602,'Source Data'!$B$2:$B$1602,$A117))</f>
        <v>16</v>
      </c>
      <c r="E117" s="6" t="n">
        <f aca="false">IF(COUNTIFS('Source Data'!$B$2:$B$1602,$A117,'Source Data'!$C$2:$C$1602,"&lt;&gt;")=0,"",_xlfn.MAXIFS('Source Data'!$C$2:$C$1602,'Source Data'!$B$2:$B$1602,$A117))</f>
        <v>16</v>
      </c>
      <c r="F117" s="6" t="n">
        <f aca="false">IF(COUNTIFS('Source Data'!$B$2:$B$1602,$A117,'Source Data'!$D$2:$D$1602,"&lt;&gt;")=0,"",AVERAGEIF('Source Data'!$B$2:$B$1602,$A117,'Source Data'!$D$2:$D$1602))</f>
        <v>0</v>
      </c>
      <c r="G117" s="6" t="n">
        <f aca="false">IF(COUNTIFS('Source Data'!$B$2:$B$1602,$A117,'Source Data'!$D$2:$D$1602,"&lt;&gt;")=0,"",_xlfn.MINIFS('Source Data'!$D$2:$D$1602,'Source Data'!$B$2:$B$1602,$A117))</f>
        <v>0</v>
      </c>
      <c r="H117" s="6" t="n">
        <f aca="false">IF(COUNTIFS('Source Data'!$B$2:$B$1602,$A117,'Source Data'!$D$2:$D$1602,"&lt;&gt;")=0,"",_xlfn.MAXIFS('Source Data'!$D$2:$D$1602,'Source Data'!$B$2:$B$1602,$A117))</f>
        <v>0</v>
      </c>
      <c r="I117" s="6" t="str">
        <f aca="false">IF(COUNTIFS('Source Data'!$B$2:$B$1602,$A117,'Source Data'!$E$2:$E$1602,"&lt;&gt;")=0,"",AVERAGEIF('Source Data'!$B$2:$B$1602,$A117,'Source Data'!$E$2:$E$1602))</f>
        <v/>
      </c>
      <c r="J117" s="6" t="str">
        <f aca="false">IF(COUNTIFS('Source Data'!$B$2:$B$1602,$A117,'Source Data'!$E$2:$E$1602,"&lt;&gt;")=0,"",_xlfn.MINIFS('Source Data'!$E$2:$E$1602,'Source Data'!$B$2:$B$1602,$A117))</f>
        <v/>
      </c>
      <c r="K117" s="6" t="str">
        <f aca="false">IF(COUNTIFS('Source Data'!$B$2:$B$1602,$A117,'Source Data'!$E$2:$E$1602,"&lt;&gt;")=0,"",_xlfn.MAXIFS('Source Data'!$E$2:$E$1602,'Source Data'!$B$2:$B$1602,$A117))</f>
        <v/>
      </c>
      <c r="L117" s="6" t="str">
        <f aca="false">IF(COUNTIFS('Source Data'!$B$2:$B$1602,$A117,'Source Data'!$F$2:$F$1602,"&lt;&gt;")=0,"",AVERAGEIF('Source Data'!$B$2:$B$1602,$A117,'Source Data'!$F$2:$F$1602))</f>
        <v/>
      </c>
      <c r="M117" s="6" t="str">
        <f aca="false">IF(COUNTIFS('Source Data'!$B$2:$B$1602,$A117,'Source Data'!$F$2:$F$1602,"&lt;&gt;")=0,"",_xlfn.MINIFS('Source Data'!$F$2:$F$1602,'Source Data'!$B$2:$B$1602,$A117))</f>
        <v/>
      </c>
      <c r="N117" s="6" t="str">
        <f aca="false">IF(COUNTIFS('Source Data'!$B$2:$B$1602,$A117,'Source Data'!$F$2:$F$1602,"&lt;&gt;")=0,"",_xlfn.MAXIFS('Source Data'!$F$2:$F$1602,'Source Data'!$B$2:$B$1602,$A117))</f>
        <v/>
      </c>
    </row>
    <row r="118" customFormat="false" ht="15" hidden="false" customHeight="false" outlineLevel="0" collapsed="false">
      <c r="A118" s="5" t="s">
        <v>276</v>
      </c>
      <c r="B118" s="7" t="n">
        <f aca="false">COUNTIF('Source Data'!$B$2:$B$1602,$A118)</f>
        <v>5</v>
      </c>
      <c r="C118" s="6" t="n">
        <f aca="false">IF(COUNTIFS('Source Data'!$B$2:$B$1602,$A118,'Source Data'!$C$2:$C$1602,"&lt;&gt;")=0,"",AVERAGEIF('Source Data'!$B$2:$B$1602,$A118,'Source Data'!$C$2:$C$1602))</f>
        <v>14.4</v>
      </c>
      <c r="D118" s="6" t="n">
        <f aca="false">IF(COUNTIFS('Source Data'!$B$2:$B$1602,$A118,'Source Data'!$C$2:$C$1602,"&lt;&gt;")=0,"",_xlfn.MINIFS('Source Data'!$C$2:$C$1602,'Source Data'!$B$2:$B$1602,$A118))</f>
        <v>12</v>
      </c>
      <c r="E118" s="6" t="n">
        <f aca="false">IF(COUNTIFS('Source Data'!$B$2:$B$1602,$A118,'Source Data'!$C$2:$C$1602,"&lt;&gt;")=0,"",_xlfn.MAXIFS('Source Data'!$C$2:$C$1602,'Source Data'!$B$2:$B$1602,$A118))</f>
        <v>24</v>
      </c>
      <c r="F118" s="6" t="n">
        <f aca="false">IF(COUNTIFS('Source Data'!$B$2:$B$1602,$A118,'Source Data'!$D$2:$D$1602,"&lt;&gt;")=0,"",AVERAGEIF('Source Data'!$B$2:$B$1602,$A118,'Source Data'!$D$2:$D$1602))</f>
        <v>2.25</v>
      </c>
      <c r="G118" s="6" t="n">
        <f aca="false">IF(COUNTIFS('Source Data'!$B$2:$B$1602,$A118,'Source Data'!$D$2:$D$1602,"&lt;&gt;")=0,"",_xlfn.MINIFS('Source Data'!$D$2:$D$1602,'Source Data'!$B$2:$B$1602,$A118))</f>
        <v>0</v>
      </c>
      <c r="H118" s="6" t="n">
        <f aca="false">IF(COUNTIFS('Source Data'!$B$2:$B$1602,$A118,'Source Data'!$D$2:$D$1602,"&lt;&gt;")=0,"",_xlfn.MAXIFS('Source Data'!$D$2:$D$1602,'Source Data'!$B$2:$B$1602,$A118))</f>
        <v>5</v>
      </c>
      <c r="I118" s="6" t="n">
        <f aca="false">IF(COUNTIFS('Source Data'!$B$2:$B$1602,$A118,'Source Data'!$E$2:$E$1602,"&lt;&gt;")=0,"",AVERAGEIF('Source Data'!$B$2:$B$1602,$A118,'Source Data'!$E$2:$E$1602))</f>
        <v>15.5</v>
      </c>
      <c r="J118" s="6" t="n">
        <f aca="false">IF(COUNTIFS('Source Data'!$B$2:$B$1602,$A118,'Source Data'!$E$2:$E$1602,"&lt;&gt;")=0,"",_xlfn.MINIFS('Source Data'!$E$2:$E$1602,'Source Data'!$B$2:$B$1602,$A118))</f>
        <v>7</v>
      </c>
      <c r="K118" s="6" t="n">
        <f aca="false">IF(COUNTIFS('Source Data'!$B$2:$B$1602,$A118,'Source Data'!$E$2:$E$1602,"&lt;&gt;")=0,"",_xlfn.MAXIFS('Source Data'!$E$2:$E$1602,'Source Data'!$B$2:$B$1602,$A118))</f>
        <v>24</v>
      </c>
      <c r="L118" s="6" t="str">
        <f aca="false">IF(COUNTIFS('Source Data'!$B$2:$B$1602,$A118,'Source Data'!$F$2:$F$1602,"&lt;&gt;")=0,"",AVERAGEIF('Source Data'!$B$2:$B$1602,$A118,'Source Data'!$F$2:$F$1602))</f>
        <v/>
      </c>
      <c r="M118" s="6" t="str">
        <f aca="false">IF(COUNTIFS('Source Data'!$B$2:$B$1602,$A118,'Source Data'!$F$2:$F$1602,"&lt;&gt;")=0,"",_xlfn.MINIFS('Source Data'!$F$2:$F$1602,'Source Data'!$B$2:$B$1602,$A118))</f>
        <v/>
      </c>
      <c r="N118" s="6" t="str">
        <f aca="false">IF(COUNTIFS('Source Data'!$B$2:$B$1602,$A118,'Source Data'!$F$2:$F$1602,"&lt;&gt;")=0,"",_xlfn.MAXIFS('Source Data'!$F$2:$F$1602,'Source Data'!$B$2:$B$1602,$A118))</f>
        <v/>
      </c>
    </row>
    <row r="119" customFormat="false" ht="15" hidden="false" customHeight="false" outlineLevel="0" collapsed="false">
      <c r="A119" s="5" t="s">
        <v>1247</v>
      </c>
      <c r="B119" s="7" t="n">
        <f aca="false">COUNTIF('Source Data'!$B$2:$B$1602,$A119)</f>
        <v>3</v>
      </c>
      <c r="C119" s="6" t="n">
        <f aca="false">IF(COUNTIFS('Source Data'!$B$2:$B$1602,$A119,'Source Data'!$C$2:$C$1602,"&lt;&gt;")=0,"",AVERAGEIF('Source Data'!$B$2:$B$1602,$A119,'Source Data'!$C$2:$C$1602))</f>
        <v>9.66666666666667</v>
      </c>
      <c r="D119" s="6" t="n">
        <f aca="false">IF(COUNTIFS('Source Data'!$B$2:$B$1602,$A119,'Source Data'!$C$2:$C$1602,"&lt;&gt;")=0,"",_xlfn.MINIFS('Source Data'!$C$2:$C$1602,'Source Data'!$B$2:$B$1602,$A119))</f>
        <v>6</v>
      </c>
      <c r="E119" s="6" t="n">
        <f aca="false">IF(COUNTIFS('Source Data'!$B$2:$B$1602,$A119,'Source Data'!$C$2:$C$1602,"&lt;&gt;")=0,"",_xlfn.MAXIFS('Source Data'!$C$2:$C$1602,'Source Data'!$B$2:$B$1602,$A119))</f>
        <v>15</v>
      </c>
      <c r="F119" s="6" t="n">
        <f aca="false">IF(COUNTIFS('Source Data'!$B$2:$B$1602,$A119,'Source Data'!$D$2:$D$1602,"&lt;&gt;")=0,"",AVERAGEIF('Source Data'!$B$2:$B$1602,$A119,'Source Data'!$D$2:$D$1602))</f>
        <v>10.3333333333333</v>
      </c>
      <c r="G119" s="6" t="n">
        <f aca="false">IF(COUNTIFS('Source Data'!$B$2:$B$1602,$A119,'Source Data'!$D$2:$D$1602,"&lt;&gt;")=0,"",_xlfn.MINIFS('Source Data'!$D$2:$D$1602,'Source Data'!$B$2:$B$1602,$A119))</f>
        <v>6</v>
      </c>
      <c r="H119" s="6" t="n">
        <f aca="false">IF(COUNTIFS('Source Data'!$B$2:$B$1602,$A119,'Source Data'!$D$2:$D$1602,"&lt;&gt;")=0,"",_xlfn.MAXIFS('Source Data'!$D$2:$D$1602,'Source Data'!$B$2:$B$1602,$A119))</f>
        <v>16</v>
      </c>
      <c r="I119" s="6" t="str">
        <f aca="false">IF(COUNTIFS('Source Data'!$B$2:$B$1602,$A119,'Source Data'!$E$2:$E$1602,"&lt;&gt;")=0,"",AVERAGEIF('Source Data'!$B$2:$B$1602,$A119,'Source Data'!$E$2:$E$1602))</f>
        <v/>
      </c>
      <c r="J119" s="6" t="str">
        <f aca="false">IF(COUNTIFS('Source Data'!$B$2:$B$1602,$A119,'Source Data'!$E$2:$E$1602,"&lt;&gt;")=0,"",_xlfn.MINIFS('Source Data'!$E$2:$E$1602,'Source Data'!$B$2:$B$1602,$A119))</f>
        <v/>
      </c>
      <c r="K119" s="6" t="str">
        <f aca="false">IF(COUNTIFS('Source Data'!$B$2:$B$1602,$A119,'Source Data'!$E$2:$E$1602,"&lt;&gt;")=0,"",_xlfn.MAXIFS('Source Data'!$E$2:$E$1602,'Source Data'!$B$2:$B$1602,$A119))</f>
        <v/>
      </c>
      <c r="L119" s="6" t="str">
        <f aca="false">IF(COUNTIFS('Source Data'!$B$2:$B$1602,$A119,'Source Data'!$F$2:$F$1602,"&lt;&gt;")=0,"",AVERAGEIF('Source Data'!$B$2:$B$1602,$A119,'Source Data'!$F$2:$F$1602))</f>
        <v/>
      </c>
      <c r="M119" s="6" t="str">
        <f aca="false">IF(COUNTIFS('Source Data'!$B$2:$B$1602,$A119,'Source Data'!$F$2:$F$1602,"&lt;&gt;")=0,"",_xlfn.MINIFS('Source Data'!$F$2:$F$1602,'Source Data'!$B$2:$B$1602,$A119))</f>
        <v/>
      </c>
      <c r="N119" s="6" t="str">
        <f aca="false">IF(COUNTIFS('Source Data'!$B$2:$B$1602,$A119,'Source Data'!$F$2:$F$1602,"&lt;&gt;")=0,"",_xlfn.MAXIFS('Source Data'!$F$2:$F$1602,'Source Data'!$B$2:$B$1602,$A119))</f>
        <v/>
      </c>
    </row>
    <row r="120" customFormat="false" ht="15" hidden="false" customHeight="false" outlineLevel="0" collapsed="false">
      <c r="A120" s="5" t="s">
        <v>1251</v>
      </c>
      <c r="B120" s="7" t="n">
        <f aca="false">COUNTIF('Source Data'!$B$2:$B$1602,$A120)</f>
        <v>2</v>
      </c>
      <c r="C120" s="6" t="n">
        <f aca="false">IF(COUNTIFS('Source Data'!$B$2:$B$1602,$A120,'Source Data'!$C$2:$C$1602,"&lt;&gt;")=0,"",AVERAGEIF('Source Data'!$B$2:$B$1602,$A120,'Source Data'!$C$2:$C$1602))</f>
        <v>19</v>
      </c>
      <c r="D120" s="6" t="n">
        <f aca="false">IF(COUNTIFS('Source Data'!$B$2:$B$1602,$A120,'Source Data'!$C$2:$C$1602,"&lt;&gt;")=0,"",_xlfn.MINIFS('Source Data'!$C$2:$C$1602,'Source Data'!$B$2:$B$1602,$A120))</f>
        <v>12</v>
      </c>
      <c r="E120" s="6" t="n">
        <f aca="false">IF(COUNTIFS('Source Data'!$B$2:$B$1602,$A120,'Source Data'!$C$2:$C$1602,"&lt;&gt;")=0,"",_xlfn.MAXIFS('Source Data'!$C$2:$C$1602,'Source Data'!$B$2:$B$1602,$A120))</f>
        <v>26</v>
      </c>
      <c r="F120" s="6" t="n">
        <f aca="false">IF(COUNTIFS('Source Data'!$B$2:$B$1602,$A120,'Source Data'!$D$2:$D$1602,"&lt;&gt;")=0,"",AVERAGEIF('Source Data'!$B$2:$B$1602,$A120,'Source Data'!$D$2:$D$1602))</f>
        <v>6</v>
      </c>
      <c r="G120" s="6" t="n">
        <f aca="false">IF(COUNTIFS('Source Data'!$B$2:$B$1602,$A120,'Source Data'!$D$2:$D$1602,"&lt;&gt;")=0,"",_xlfn.MINIFS('Source Data'!$D$2:$D$1602,'Source Data'!$B$2:$B$1602,$A120))</f>
        <v>0</v>
      </c>
      <c r="H120" s="6" t="n">
        <f aca="false">IF(COUNTIFS('Source Data'!$B$2:$B$1602,$A120,'Source Data'!$D$2:$D$1602,"&lt;&gt;")=0,"",_xlfn.MAXIFS('Source Data'!$D$2:$D$1602,'Source Data'!$B$2:$B$1602,$A120))</f>
        <v>12</v>
      </c>
      <c r="I120" s="6" t="str">
        <f aca="false">IF(COUNTIFS('Source Data'!$B$2:$B$1602,$A120,'Source Data'!$E$2:$E$1602,"&lt;&gt;")=0,"",AVERAGEIF('Source Data'!$B$2:$B$1602,$A120,'Source Data'!$E$2:$E$1602))</f>
        <v/>
      </c>
      <c r="J120" s="6" t="str">
        <f aca="false">IF(COUNTIFS('Source Data'!$B$2:$B$1602,$A120,'Source Data'!$E$2:$E$1602,"&lt;&gt;")=0,"",_xlfn.MINIFS('Source Data'!$E$2:$E$1602,'Source Data'!$B$2:$B$1602,$A120))</f>
        <v/>
      </c>
      <c r="K120" s="6" t="str">
        <f aca="false">IF(COUNTIFS('Source Data'!$B$2:$B$1602,$A120,'Source Data'!$E$2:$E$1602,"&lt;&gt;")=0,"",_xlfn.MAXIFS('Source Data'!$E$2:$E$1602,'Source Data'!$B$2:$B$1602,$A120))</f>
        <v/>
      </c>
      <c r="L120" s="6" t="str">
        <f aca="false">IF(COUNTIFS('Source Data'!$B$2:$B$1602,$A120,'Source Data'!$F$2:$F$1602,"&lt;&gt;")=0,"",AVERAGEIF('Source Data'!$B$2:$B$1602,$A120,'Source Data'!$F$2:$F$1602))</f>
        <v/>
      </c>
      <c r="M120" s="6" t="str">
        <f aca="false">IF(COUNTIFS('Source Data'!$B$2:$B$1602,$A120,'Source Data'!$F$2:$F$1602,"&lt;&gt;")=0,"",_xlfn.MINIFS('Source Data'!$F$2:$F$1602,'Source Data'!$B$2:$B$1602,$A120))</f>
        <v/>
      </c>
      <c r="N120" s="6" t="str">
        <f aca="false">IF(COUNTIFS('Source Data'!$B$2:$B$1602,$A120,'Source Data'!$F$2:$F$1602,"&lt;&gt;")=0,"",_xlfn.MAXIFS('Source Data'!$F$2:$F$1602,'Source Data'!$B$2:$B$1602,$A120))</f>
        <v/>
      </c>
    </row>
    <row r="121" customFormat="false" ht="15" hidden="false" customHeight="false" outlineLevel="0" collapsed="false">
      <c r="A121" s="5" t="s">
        <v>1254</v>
      </c>
      <c r="B121" s="7" t="n">
        <f aca="false">COUNTIF('Source Data'!$B$2:$B$1602,$A121)</f>
        <v>6</v>
      </c>
      <c r="C121" s="6" t="n">
        <f aca="false">IF(COUNTIFS('Source Data'!$B$2:$B$1602,$A121,'Source Data'!$C$2:$C$1602,"&lt;&gt;")=0,"",AVERAGEIF('Source Data'!$B$2:$B$1602,$A121,'Source Data'!$C$2:$C$1602))</f>
        <v>5.33333333333333</v>
      </c>
      <c r="D121" s="6" t="n">
        <f aca="false">IF(COUNTIFS('Source Data'!$B$2:$B$1602,$A121,'Source Data'!$C$2:$C$1602,"&lt;&gt;")=0,"",_xlfn.MINIFS('Source Data'!$C$2:$C$1602,'Source Data'!$B$2:$B$1602,$A121))</f>
        <v>0</v>
      </c>
      <c r="E121" s="6" t="n">
        <f aca="false">IF(COUNTIFS('Source Data'!$B$2:$B$1602,$A121,'Source Data'!$C$2:$C$1602,"&lt;&gt;")=0,"",_xlfn.MAXIFS('Source Data'!$C$2:$C$1602,'Source Data'!$B$2:$B$1602,$A121))</f>
        <v>12</v>
      </c>
      <c r="F121" s="6" t="n">
        <f aca="false">IF(COUNTIFS('Source Data'!$B$2:$B$1602,$A121,'Source Data'!$D$2:$D$1602,"&lt;&gt;")=0,"",AVERAGEIF('Source Data'!$B$2:$B$1602,$A121,'Source Data'!$D$2:$D$1602))</f>
        <v>4.66666666666667</v>
      </c>
      <c r="G121" s="6" t="n">
        <f aca="false">IF(COUNTIFS('Source Data'!$B$2:$B$1602,$A121,'Source Data'!$D$2:$D$1602,"&lt;&gt;")=0,"",_xlfn.MINIFS('Source Data'!$D$2:$D$1602,'Source Data'!$B$2:$B$1602,$A121))</f>
        <v>0</v>
      </c>
      <c r="H121" s="6" t="n">
        <f aca="false">IF(COUNTIFS('Source Data'!$B$2:$B$1602,$A121,'Source Data'!$D$2:$D$1602,"&lt;&gt;")=0,"",_xlfn.MAXIFS('Source Data'!$D$2:$D$1602,'Source Data'!$B$2:$B$1602,$A121))</f>
        <v>12</v>
      </c>
      <c r="I121" s="6" t="str">
        <f aca="false">IF(COUNTIFS('Source Data'!$B$2:$B$1602,$A121,'Source Data'!$E$2:$E$1602,"&lt;&gt;")=0,"",AVERAGEIF('Source Data'!$B$2:$B$1602,$A121,'Source Data'!$E$2:$E$1602))</f>
        <v/>
      </c>
      <c r="J121" s="6" t="str">
        <f aca="false">IF(COUNTIFS('Source Data'!$B$2:$B$1602,$A121,'Source Data'!$E$2:$E$1602,"&lt;&gt;")=0,"",_xlfn.MINIFS('Source Data'!$E$2:$E$1602,'Source Data'!$B$2:$B$1602,$A121))</f>
        <v/>
      </c>
      <c r="K121" s="6" t="str">
        <f aca="false">IF(COUNTIFS('Source Data'!$B$2:$B$1602,$A121,'Source Data'!$E$2:$E$1602,"&lt;&gt;")=0,"",_xlfn.MAXIFS('Source Data'!$E$2:$E$1602,'Source Data'!$B$2:$B$1602,$A121))</f>
        <v/>
      </c>
      <c r="L121" s="6" t="str">
        <f aca="false">IF(COUNTIFS('Source Data'!$B$2:$B$1602,$A121,'Source Data'!$F$2:$F$1602,"&lt;&gt;")=0,"",AVERAGEIF('Source Data'!$B$2:$B$1602,$A121,'Source Data'!$F$2:$F$1602))</f>
        <v/>
      </c>
      <c r="M121" s="6" t="str">
        <f aca="false">IF(COUNTIFS('Source Data'!$B$2:$B$1602,$A121,'Source Data'!$F$2:$F$1602,"&lt;&gt;")=0,"",_xlfn.MINIFS('Source Data'!$F$2:$F$1602,'Source Data'!$B$2:$B$1602,$A121))</f>
        <v/>
      </c>
      <c r="N121" s="6" t="str">
        <f aca="false">IF(COUNTIFS('Source Data'!$B$2:$B$1602,$A121,'Source Data'!$F$2:$F$1602,"&lt;&gt;")=0,"",_xlfn.MAXIFS('Source Data'!$F$2:$F$1602,'Source Data'!$B$2:$B$1602,$A121))</f>
        <v/>
      </c>
    </row>
    <row r="122" customFormat="false" ht="15" hidden="false" customHeight="false" outlineLevel="0" collapsed="false">
      <c r="A122" s="5" t="s">
        <v>278</v>
      </c>
      <c r="B122" s="7" t="n">
        <f aca="false">COUNTIF('Source Data'!$B$2:$B$1602,$A122)</f>
        <v>1</v>
      </c>
      <c r="C122" s="6" t="n">
        <f aca="false">IF(COUNTIFS('Source Data'!$B$2:$B$1602,$A122,'Source Data'!$C$2:$C$1602,"&lt;&gt;")=0,"",AVERAGEIF('Source Data'!$B$2:$B$1602,$A122,'Source Data'!$C$2:$C$1602))</f>
        <v>6</v>
      </c>
      <c r="D122" s="6" t="n">
        <f aca="false">IF(COUNTIFS('Source Data'!$B$2:$B$1602,$A122,'Source Data'!$C$2:$C$1602,"&lt;&gt;")=0,"",_xlfn.MINIFS('Source Data'!$C$2:$C$1602,'Source Data'!$B$2:$B$1602,$A122))</f>
        <v>6</v>
      </c>
      <c r="E122" s="6" t="n">
        <f aca="false">IF(COUNTIFS('Source Data'!$B$2:$B$1602,$A122,'Source Data'!$C$2:$C$1602,"&lt;&gt;")=0,"",_xlfn.MAXIFS('Source Data'!$C$2:$C$1602,'Source Data'!$B$2:$B$1602,$A122))</f>
        <v>6</v>
      </c>
      <c r="F122" s="6" t="n">
        <f aca="false">IF(COUNTIFS('Source Data'!$B$2:$B$1602,$A122,'Source Data'!$D$2:$D$1602,"&lt;&gt;")=0,"",AVERAGEIF('Source Data'!$B$2:$B$1602,$A122,'Source Data'!$D$2:$D$1602))</f>
        <v>0</v>
      </c>
      <c r="G122" s="6" t="n">
        <f aca="false">IF(COUNTIFS('Source Data'!$B$2:$B$1602,$A122,'Source Data'!$D$2:$D$1602,"&lt;&gt;")=0,"",_xlfn.MINIFS('Source Data'!$D$2:$D$1602,'Source Data'!$B$2:$B$1602,$A122))</f>
        <v>0</v>
      </c>
      <c r="H122" s="6" t="n">
        <f aca="false">IF(COUNTIFS('Source Data'!$B$2:$B$1602,$A122,'Source Data'!$D$2:$D$1602,"&lt;&gt;")=0,"",_xlfn.MAXIFS('Source Data'!$D$2:$D$1602,'Source Data'!$B$2:$B$1602,$A122))</f>
        <v>0</v>
      </c>
      <c r="I122" s="6" t="n">
        <f aca="false">IF(COUNTIFS('Source Data'!$B$2:$B$1602,$A122,'Source Data'!$E$2:$E$1602,"&lt;&gt;")=0,"",AVERAGEIF('Source Data'!$B$2:$B$1602,$A122,'Source Data'!$E$2:$E$1602))</f>
        <v>6</v>
      </c>
      <c r="J122" s="6" t="n">
        <f aca="false">IF(COUNTIFS('Source Data'!$B$2:$B$1602,$A122,'Source Data'!$E$2:$E$1602,"&lt;&gt;")=0,"",_xlfn.MINIFS('Source Data'!$E$2:$E$1602,'Source Data'!$B$2:$B$1602,$A122))</f>
        <v>6</v>
      </c>
      <c r="K122" s="6" t="n">
        <f aca="false">IF(COUNTIFS('Source Data'!$B$2:$B$1602,$A122,'Source Data'!$E$2:$E$1602,"&lt;&gt;")=0,"",_xlfn.MAXIFS('Source Data'!$E$2:$E$1602,'Source Data'!$B$2:$B$1602,$A122))</f>
        <v>6</v>
      </c>
      <c r="L122" s="6" t="str">
        <f aca="false">IF(COUNTIFS('Source Data'!$B$2:$B$1602,$A122,'Source Data'!$F$2:$F$1602,"&lt;&gt;")=0,"",AVERAGEIF('Source Data'!$B$2:$B$1602,$A122,'Source Data'!$F$2:$F$1602))</f>
        <v/>
      </c>
      <c r="M122" s="6" t="str">
        <f aca="false">IF(COUNTIFS('Source Data'!$B$2:$B$1602,$A122,'Source Data'!$F$2:$F$1602,"&lt;&gt;")=0,"",_xlfn.MINIFS('Source Data'!$F$2:$F$1602,'Source Data'!$B$2:$B$1602,$A122))</f>
        <v/>
      </c>
      <c r="N122" s="6" t="str">
        <f aca="false">IF(COUNTIFS('Source Data'!$B$2:$B$1602,$A122,'Source Data'!$F$2:$F$1602,"&lt;&gt;")=0,"",_xlfn.MAXIFS('Source Data'!$F$2:$F$1602,'Source Data'!$B$2:$B$1602,$A122))</f>
        <v/>
      </c>
    </row>
    <row r="123" customFormat="false" ht="15" hidden="false" customHeight="false" outlineLevel="0" collapsed="false">
      <c r="A123" s="5" t="s">
        <v>1261</v>
      </c>
      <c r="B123" s="7" t="n">
        <f aca="false">COUNTIF('Source Data'!$B$2:$B$1602,$A123)</f>
        <v>1</v>
      </c>
      <c r="C123" s="6" t="n">
        <f aca="false">IF(COUNTIFS('Source Data'!$B$2:$B$1602,$A123,'Source Data'!$C$2:$C$1602,"&lt;&gt;")=0,"",AVERAGEIF('Source Data'!$B$2:$B$1602,$A123,'Source Data'!$C$2:$C$1602))</f>
        <v>8</v>
      </c>
      <c r="D123" s="6" t="n">
        <f aca="false">IF(COUNTIFS('Source Data'!$B$2:$B$1602,$A123,'Source Data'!$C$2:$C$1602,"&lt;&gt;")=0,"",_xlfn.MINIFS('Source Data'!$C$2:$C$1602,'Source Data'!$B$2:$B$1602,$A123))</f>
        <v>8</v>
      </c>
      <c r="E123" s="6" t="n">
        <f aca="false">IF(COUNTIFS('Source Data'!$B$2:$B$1602,$A123,'Source Data'!$C$2:$C$1602,"&lt;&gt;")=0,"",_xlfn.MAXIFS('Source Data'!$C$2:$C$1602,'Source Data'!$B$2:$B$1602,$A123))</f>
        <v>8</v>
      </c>
      <c r="F123" s="6" t="n">
        <f aca="false">IF(COUNTIFS('Source Data'!$B$2:$B$1602,$A123,'Source Data'!$D$2:$D$1602,"&lt;&gt;")=0,"",AVERAGEIF('Source Data'!$B$2:$B$1602,$A123,'Source Data'!$D$2:$D$1602))</f>
        <v>8</v>
      </c>
      <c r="G123" s="6" t="n">
        <f aca="false">IF(COUNTIFS('Source Data'!$B$2:$B$1602,$A123,'Source Data'!$D$2:$D$1602,"&lt;&gt;")=0,"",_xlfn.MINIFS('Source Data'!$D$2:$D$1602,'Source Data'!$B$2:$B$1602,$A123))</f>
        <v>8</v>
      </c>
      <c r="H123" s="6" t="n">
        <f aca="false">IF(COUNTIFS('Source Data'!$B$2:$B$1602,$A123,'Source Data'!$D$2:$D$1602,"&lt;&gt;")=0,"",_xlfn.MAXIFS('Source Data'!$D$2:$D$1602,'Source Data'!$B$2:$B$1602,$A123))</f>
        <v>8</v>
      </c>
      <c r="I123" s="6" t="str">
        <f aca="false">IF(COUNTIFS('Source Data'!$B$2:$B$1602,$A123,'Source Data'!$E$2:$E$1602,"&lt;&gt;")=0,"",AVERAGEIF('Source Data'!$B$2:$B$1602,$A123,'Source Data'!$E$2:$E$1602))</f>
        <v/>
      </c>
      <c r="J123" s="6" t="str">
        <f aca="false">IF(COUNTIFS('Source Data'!$B$2:$B$1602,$A123,'Source Data'!$E$2:$E$1602,"&lt;&gt;")=0,"",_xlfn.MINIFS('Source Data'!$E$2:$E$1602,'Source Data'!$B$2:$B$1602,$A123))</f>
        <v/>
      </c>
      <c r="K123" s="6" t="str">
        <f aca="false">IF(COUNTIFS('Source Data'!$B$2:$B$1602,$A123,'Source Data'!$E$2:$E$1602,"&lt;&gt;")=0,"",_xlfn.MAXIFS('Source Data'!$E$2:$E$1602,'Source Data'!$B$2:$B$1602,$A123))</f>
        <v/>
      </c>
      <c r="L123" s="6" t="str">
        <f aca="false">IF(COUNTIFS('Source Data'!$B$2:$B$1602,$A123,'Source Data'!$F$2:$F$1602,"&lt;&gt;")=0,"",AVERAGEIF('Source Data'!$B$2:$B$1602,$A123,'Source Data'!$F$2:$F$1602))</f>
        <v/>
      </c>
      <c r="M123" s="6" t="str">
        <f aca="false">IF(COUNTIFS('Source Data'!$B$2:$B$1602,$A123,'Source Data'!$F$2:$F$1602,"&lt;&gt;")=0,"",_xlfn.MINIFS('Source Data'!$F$2:$F$1602,'Source Data'!$B$2:$B$1602,$A123))</f>
        <v/>
      </c>
      <c r="N123" s="6" t="str">
        <f aca="false">IF(COUNTIFS('Source Data'!$B$2:$B$1602,$A123,'Source Data'!$F$2:$F$1602,"&lt;&gt;")=0,"",_xlfn.MAXIFS('Source Data'!$F$2:$F$1602,'Source Data'!$B$2:$B$1602,$A123))</f>
        <v/>
      </c>
    </row>
    <row r="124" customFormat="false" ht="15" hidden="false" customHeight="false" outlineLevel="0" collapsed="false">
      <c r="A124" s="5" t="s">
        <v>1263</v>
      </c>
      <c r="B124" s="7" t="n">
        <f aca="false">COUNTIF('Source Data'!$B$2:$B$1602,$A124)</f>
        <v>2</v>
      </c>
      <c r="C124" s="6" t="n">
        <f aca="false">IF(COUNTIFS('Source Data'!$B$2:$B$1602,$A124,'Source Data'!$C$2:$C$1602,"&lt;&gt;")=0,"",AVERAGEIF('Source Data'!$B$2:$B$1602,$A124,'Source Data'!$C$2:$C$1602))</f>
        <v>12</v>
      </c>
      <c r="D124" s="6" t="n">
        <f aca="false">IF(COUNTIFS('Source Data'!$B$2:$B$1602,$A124,'Source Data'!$C$2:$C$1602,"&lt;&gt;")=0,"",_xlfn.MINIFS('Source Data'!$C$2:$C$1602,'Source Data'!$B$2:$B$1602,$A124))</f>
        <v>12</v>
      </c>
      <c r="E124" s="6" t="n">
        <f aca="false">IF(COUNTIFS('Source Data'!$B$2:$B$1602,$A124,'Source Data'!$C$2:$C$1602,"&lt;&gt;")=0,"",_xlfn.MAXIFS('Source Data'!$C$2:$C$1602,'Source Data'!$B$2:$B$1602,$A124))</f>
        <v>12</v>
      </c>
      <c r="F124" s="6" t="n">
        <f aca="false">IF(COUNTIFS('Source Data'!$B$2:$B$1602,$A124,'Source Data'!$D$2:$D$1602,"&lt;&gt;")=0,"",AVERAGEIF('Source Data'!$B$2:$B$1602,$A124,'Source Data'!$D$2:$D$1602))</f>
        <v>32</v>
      </c>
      <c r="G124" s="6" t="n">
        <f aca="false">IF(COUNTIFS('Source Data'!$B$2:$B$1602,$A124,'Source Data'!$D$2:$D$1602,"&lt;&gt;")=0,"",_xlfn.MINIFS('Source Data'!$D$2:$D$1602,'Source Data'!$B$2:$B$1602,$A124))</f>
        <v>12</v>
      </c>
      <c r="H124" s="6" t="n">
        <f aca="false">IF(COUNTIFS('Source Data'!$B$2:$B$1602,$A124,'Source Data'!$D$2:$D$1602,"&lt;&gt;")=0,"",_xlfn.MAXIFS('Source Data'!$D$2:$D$1602,'Source Data'!$B$2:$B$1602,$A124))</f>
        <v>52</v>
      </c>
      <c r="I124" s="6" t="str">
        <f aca="false">IF(COUNTIFS('Source Data'!$B$2:$B$1602,$A124,'Source Data'!$E$2:$E$1602,"&lt;&gt;")=0,"",AVERAGEIF('Source Data'!$B$2:$B$1602,$A124,'Source Data'!$E$2:$E$1602))</f>
        <v/>
      </c>
      <c r="J124" s="6" t="str">
        <f aca="false">IF(COUNTIFS('Source Data'!$B$2:$B$1602,$A124,'Source Data'!$E$2:$E$1602,"&lt;&gt;")=0,"",_xlfn.MINIFS('Source Data'!$E$2:$E$1602,'Source Data'!$B$2:$B$1602,$A124))</f>
        <v/>
      </c>
      <c r="K124" s="6" t="str">
        <f aca="false">IF(COUNTIFS('Source Data'!$B$2:$B$1602,$A124,'Source Data'!$E$2:$E$1602,"&lt;&gt;")=0,"",_xlfn.MAXIFS('Source Data'!$E$2:$E$1602,'Source Data'!$B$2:$B$1602,$A124))</f>
        <v/>
      </c>
      <c r="L124" s="6" t="str">
        <f aca="false">IF(COUNTIFS('Source Data'!$B$2:$B$1602,$A124,'Source Data'!$F$2:$F$1602,"&lt;&gt;")=0,"",AVERAGEIF('Source Data'!$B$2:$B$1602,$A124,'Source Data'!$F$2:$F$1602))</f>
        <v/>
      </c>
      <c r="M124" s="6" t="str">
        <f aca="false">IF(COUNTIFS('Source Data'!$B$2:$B$1602,$A124,'Source Data'!$F$2:$F$1602,"&lt;&gt;")=0,"",_xlfn.MINIFS('Source Data'!$F$2:$F$1602,'Source Data'!$B$2:$B$1602,$A124))</f>
        <v/>
      </c>
      <c r="N124" s="6" t="str">
        <f aca="false">IF(COUNTIFS('Source Data'!$B$2:$B$1602,$A124,'Source Data'!$F$2:$F$1602,"&lt;&gt;")=0,"",_xlfn.MAXIFS('Source Data'!$F$2:$F$1602,'Source Data'!$B$2:$B$1602,$A124))</f>
        <v/>
      </c>
    </row>
    <row r="125" customFormat="false" ht="15" hidden="false" customHeight="false" outlineLevel="0" collapsed="false">
      <c r="A125" s="5" t="s">
        <v>1266</v>
      </c>
      <c r="B125" s="7" t="n">
        <f aca="false">COUNTIF('Source Data'!$B$2:$B$1602,$A125)</f>
        <v>2</v>
      </c>
      <c r="C125" s="6" t="n">
        <f aca="false">IF(COUNTIFS('Source Data'!$B$2:$B$1602,$A125,'Source Data'!$C$2:$C$1602,"&lt;&gt;")=0,"",AVERAGEIF('Source Data'!$B$2:$B$1602,$A125,'Source Data'!$C$2:$C$1602))</f>
        <v>9</v>
      </c>
      <c r="D125" s="6" t="n">
        <f aca="false">IF(COUNTIFS('Source Data'!$B$2:$B$1602,$A125,'Source Data'!$C$2:$C$1602,"&lt;&gt;")=0,"",_xlfn.MINIFS('Source Data'!$C$2:$C$1602,'Source Data'!$B$2:$B$1602,$A125))</f>
        <v>6</v>
      </c>
      <c r="E125" s="6" t="n">
        <f aca="false">IF(COUNTIFS('Source Data'!$B$2:$B$1602,$A125,'Source Data'!$C$2:$C$1602,"&lt;&gt;")=0,"",_xlfn.MAXIFS('Source Data'!$C$2:$C$1602,'Source Data'!$B$2:$B$1602,$A125))</f>
        <v>12</v>
      </c>
      <c r="F125" s="6" t="n">
        <f aca="false">IF(COUNTIFS('Source Data'!$B$2:$B$1602,$A125,'Source Data'!$D$2:$D$1602,"&lt;&gt;")=0,"",AVERAGEIF('Source Data'!$B$2:$B$1602,$A125,'Source Data'!$D$2:$D$1602))</f>
        <v>5</v>
      </c>
      <c r="G125" s="6" t="n">
        <f aca="false">IF(COUNTIFS('Source Data'!$B$2:$B$1602,$A125,'Source Data'!$D$2:$D$1602,"&lt;&gt;")=0,"",_xlfn.MINIFS('Source Data'!$D$2:$D$1602,'Source Data'!$B$2:$B$1602,$A125))</f>
        <v>4</v>
      </c>
      <c r="H125" s="6" t="n">
        <f aca="false">IF(COUNTIFS('Source Data'!$B$2:$B$1602,$A125,'Source Data'!$D$2:$D$1602,"&lt;&gt;")=0,"",_xlfn.MAXIFS('Source Data'!$D$2:$D$1602,'Source Data'!$B$2:$B$1602,$A125))</f>
        <v>6</v>
      </c>
      <c r="I125" s="6" t="str">
        <f aca="false">IF(COUNTIFS('Source Data'!$B$2:$B$1602,$A125,'Source Data'!$E$2:$E$1602,"&lt;&gt;")=0,"",AVERAGEIF('Source Data'!$B$2:$B$1602,$A125,'Source Data'!$E$2:$E$1602))</f>
        <v/>
      </c>
      <c r="J125" s="6" t="str">
        <f aca="false">IF(COUNTIFS('Source Data'!$B$2:$B$1602,$A125,'Source Data'!$E$2:$E$1602,"&lt;&gt;")=0,"",_xlfn.MINIFS('Source Data'!$E$2:$E$1602,'Source Data'!$B$2:$B$1602,$A125))</f>
        <v/>
      </c>
      <c r="K125" s="6" t="str">
        <f aca="false">IF(COUNTIFS('Source Data'!$B$2:$B$1602,$A125,'Source Data'!$E$2:$E$1602,"&lt;&gt;")=0,"",_xlfn.MAXIFS('Source Data'!$E$2:$E$1602,'Source Data'!$B$2:$B$1602,$A125))</f>
        <v/>
      </c>
      <c r="L125" s="6" t="str">
        <f aca="false">IF(COUNTIFS('Source Data'!$B$2:$B$1602,$A125,'Source Data'!$F$2:$F$1602,"&lt;&gt;")=0,"",AVERAGEIF('Source Data'!$B$2:$B$1602,$A125,'Source Data'!$F$2:$F$1602))</f>
        <v/>
      </c>
      <c r="M125" s="6" t="str">
        <f aca="false">IF(COUNTIFS('Source Data'!$B$2:$B$1602,$A125,'Source Data'!$F$2:$F$1602,"&lt;&gt;")=0,"",_xlfn.MINIFS('Source Data'!$F$2:$F$1602,'Source Data'!$B$2:$B$1602,$A125))</f>
        <v/>
      </c>
      <c r="N125" s="6" t="str">
        <f aca="false">IF(COUNTIFS('Source Data'!$B$2:$B$1602,$A125,'Source Data'!$F$2:$F$1602,"&lt;&gt;")=0,"",_xlfn.MAXIFS('Source Data'!$F$2:$F$1602,'Source Data'!$B$2:$B$1602,$A125))</f>
        <v/>
      </c>
    </row>
    <row r="126" customFormat="false" ht="15" hidden="false" customHeight="false" outlineLevel="0" collapsed="false">
      <c r="A126" s="5" t="s">
        <v>1269</v>
      </c>
      <c r="B126" s="7" t="n">
        <f aca="false">COUNTIF('Source Data'!$B$2:$B$1602,$A126)</f>
        <v>1</v>
      </c>
      <c r="C126" s="6" t="n">
        <f aca="false">IF(COUNTIFS('Source Data'!$B$2:$B$1602,$A126,'Source Data'!$C$2:$C$1602,"&lt;&gt;")=0,"",AVERAGEIF('Source Data'!$B$2:$B$1602,$A126,'Source Data'!$C$2:$C$1602))</f>
        <v>12</v>
      </c>
      <c r="D126" s="6" t="n">
        <f aca="false">IF(COUNTIFS('Source Data'!$B$2:$B$1602,$A126,'Source Data'!$C$2:$C$1602,"&lt;&gt;")=0,"",_xlfn.MINIFS('Source Data'!$C$2:$C$1602,'Source Data'!$B$2:$B$1602,$A126))</f>
        <v>12</v>
      </c>
      <c r="E126" s="6" t="n">
        <f aca="false">IF(COUNTIFS('Source Data'!$B$2:$B$1602,$A126,'Source Data'!$C$2:$C$1602,"&lt;&gt;")=0,"",_xlfn.MAXIFS('Source Data'!$C$2:$C$1602,'Source Data'!$B$2:$B$1602,$A126))</f>
        <v>12</v>
      </c>
      <c r="F126" s="6" t="n">
        <f aca="false">IF(COUNTIFS('Source Data'!$B$2:$B$1602,$A126,'Source Data'!$D$2:$D$1602,"&lt;&gt;")=0,"",AVERAGEIF('Source Data'!$B$2:$B$1602,$A126,'Source Data'!$D$2:$D$1602))</f>
        <v>0</v>
      </c>
      <c r="G126" s="6" t="n">
        <f aca="false">IF(COUNTIFS('Source Data'!$B$2:$B$1602,$A126,'Source Data'!$D$2:$D$1602,"&lt;&gt;")=0,"",_xlfn.MINIFS('Source Data'!$D$2:$D$1602,'Source Data'!$B$2:$B$1602,$A126))</f>
        <v>0</v>
      </c>
      <c r="H126" s="6" t="n">
        <f aca="false">IF(COUNTIFS('Source Data'!$B$2:$B$1602,$A126,'Source Data'!$D$2:$D$1602,"&lt;&gt;")=0,"",_xlfn.MAXIFS('Source Data'!$D$2:$D$1602,'Source Data'!$B$2:$B$1602,$A126))</f>
        <v>0</v>
      </c>
      <c r="I126" s="6" t="str">
        <f aca="false">IF(COUNTIFS('Source Data'!$B$2:$B$1602,$A126,'Source Data'!$E$2:$E$1602,"&lt;&gt;")=0,"",AVERAGEIF('Source Data'!$B$2:$B$1602,$A126,'Source Data'!$E$2:$E$1602))</f>
        <v/>
      </c>
      <c r="J126" s="6" t="str">
        <f aca="false">IF(COUNTIFS('Source Data'!$B$2:$B$1602,$A126,'Source Data'!$E$2:$E$1602,"&lt;&gt;")=0,"",_xlfn.MINIFS('Source Data'!$E$2:$E$1602,'Source Data'!$B$2:$B$1602,$A126))</f>
        <v/>
      </c>
      <c r="K126" s="6" t="str">
        <f aca="false">IF(COUNTIFS('Source Data'!$B$2:$B$1602,$A126,'Source Data'!$E$2:$E$1602,"&lt;&gt;")=0,"",_xlfn.MAXIFS('Source Data'!$E$2:$E$1602,'Source Data'!$B$2:$B$1602,$A126))</f>
        <v/>
      </c>
      <c r="L126" s="6" t="str">
        <f aca="false">IF(COUNTIFS('Source Data'!$B$2:$B$1602,$A126,'Source Data'!$F$2:$F$1602,"&lt;&gt;")=0,"",AVERAGEIF('Source Data'!$B$2:$B$1602,$A126,'Source Data'!$F$2:$F$1602))</f>
        <v/>
      </c>
      <c r="M126" s="6" t="str">
        <f aca="false">IF(COUNTIFS('Source Data'!$B$2:$B$1602,$A126,'Source Data'!$F$2:$F$1602,"&lt;&gt;")=0,"",_xlfn.MINIFS('Source Data'!$F$2:$F$1602,'Source Data'!$B$2:$B$1602,$A126))</f>
        <v/>
      </c>
      <c r="N126" s="6" t="str">
        <f aca="false">IF(COUNTIFS('Source Data'!$B$2:$B$1602,$A126,'Source Data'!$F$2:$F$1602,"&lt;&gt;")=0,"",_xlfn.MAXIFS('Source Data'!$F$2:$F$1602,'Source Data'!$B$2:$B$1602,$A126))</f>
        <v/>
      </c>
    </row>
    <row r="127" customFormat="false" ht="15" hidden="false" customHeight="false" outlineLevel="0" collapsed="false">
      <c r="A127" s="5" t="s">
        <v>1271</v>
      </c>
      <c r="B127" s="7" t="n">
        <f aca="false">COUNTIF('Source Data'!$B$2:$B$1602,$A127)</f>
        <v>1</v>
      </c>
      <c r="C127" s="6" t="n">
        <f aca="false">IF(COUNTIFS('Source Data'!$B$2:$B$1602,$A127,'Source Data'!$C$2:$C$1602,"&lt;&gt;")=0,"",AVERAGEIF('Source Data'!$B$2:$B$1602,$A127,'Source Data'!$C$2:$C$1602))</f>
        <v>4</v>
      </c>
      <c r="D127" s="6" t="n">
        <f aca="false">IF(COUNTIFS('Source Data'!$B$2:$B$1602,$A127,'Source Data'!$C$2:$C$1602,"&lt;&gt;")=0,"",_xlfn.MINIFS('Source Data'!$C$2:$C$1602,'Source Data'!$B$2:$B$1602,$A127))</f>
        <v>4</v>
      </c>
      <c r="E127" s="6" t="n">
        <f aca="false">IF(COUNTIFS('Source Data'!$B$2:$B$1602,$A127,'Source Data'!$C$2:$C$1602,"&lt;&gt;")=0,"",_xlfn.MAXIFS('Source Data'!$C$2:$C$1602,'Source Data'!$B$2:$B$1602,$A127))</f>
        <v>4</v>
      </c>
      <c r="F127" s="6" t="n">
        <f aca="false">IF(COUNTIFS('Source Data'!$B$2:$B$1602,$A127,'Source Data'!$D$2:$D$1602,"&lt;&gt;")=0,"",AVERAGEIF('Source Data'!$B$2:$B$1602,$A127,'Source Data'!$D$2:$D$1602))</f>
        <v>12</v>
      </c>
      <c r="G127" s="6" t="n">
        <f aca="false">IF(COUNTIFS('Source Data'!$B$2:$B$1602,$A127,'Source Data'!$D$2:$D$1602,"&lt;&gt;")=0,"",_xlfn.MINIFS('Source Data'!$D$2:$D$1602,'Source Data'!$B$2:$B$1602,$A127))</f>
        <v>12</v>
      </c>
      <c r="H127" s="6" t="n">
        <f aca="false">IF(COUNTIFS('Source Data'!$B$2:$B$1602,$A127,'Source Data'!$D$2:$D$1602,"&lt;&gt;")=0,"",_xlfn.MAXIFS('Source Data'!$D$2:$D$1602,'Source Data'!$B$2:$B$1602,$A127))</f>
        <v>12</v>
      </c>
      <c r="I127" s="6" t="str">
        <f aca="false">IF(COUNTIFS('Source Data'!$B$2:$B$1602,$A127,'Source Data'!$E$2:$E$1602,"&lt;&gt;")=0,"",AVERAGEIF('Source Data'!$B$2:$B$1602,$A127,'Source Data'!$E$2:$E$1602))</f>
        <v/>
      </c>
      <c r="J127" s="6" t="str">
        <f aca="false">IF(COUNTIFS('Source Data'!$B$2:$B$1602,$A127,'Source Data'!$E$2:$E$1602,"&lt;&gt;")=0,"",_xlfn.MINIFS('Source Data'!$E$2:$E$1602,'Source Data'!$B$2:$B$1602,$A127))</f>
        <v/>
      </c>
      <c r="K127" s="6" t="str">
        <f aca="false">IF(COUNTIFS('Source Data'!$B$2:$B$1602,$A127,'Source Data'!$E$2:$E$1602,"&lt;&gt;")=0,"",_xlfn.MAXIFS('Source Data'!$E$2:$E$1602,'Source Data'!$B$2:$B$1602,$A127))</f>
        <v/>
      </c>
      <c r="L127" s="6" t="str">
        <f aca="false">IF(COUNTIFS('Source Data'!$B$2:$B$1602,$A127,'Source Data'!$F$2:$F$1602,"&lt;&gt;")=0,"",AVERAGEIF('Source Data'!$B$2:$B$1602,$A127,'Source Data'!$F$2:$F$1602))</f>
        <v/>
      </c>
      <c r="M127" s="6" t="str">
        <f aca="false">IF(COUNTIFS('Source Data'!$B$2:$B$1602,$A127,'Source Data'!$F$2:$F$1602,"&lt;&gt;")=0,"",_xlfn.MINIFS('Source Data'!$F$2:$F$1602,'Source Data'!$B$2:$B$1602,$A127))</f>
        <v/>
      </c>
      <c r="N127" s="6" t="str">
        <f aca="false">IF(COUNTIFS('Source Data'!$B$2:$B$1602,$A127,'Source Data'!$F$2:$F$1602,"&lt;&gt;")=0,"",_xlfn.MAXIFS('Source Data'!$F$2:$F$1602,'Source Data'!$B$2:$B$1602,$A127))</f>
        <v/>
      </c>
    </row>
    <row r="128" customFormat="false" ht="15" hidden="false" customHeight="false" outlineLevel="0" collapsed="false">
      <c r="A128" s="5" t="s">
        <v>1273</v>
      </c>
      <c r="B128" s="7" t="n">
        <f aca="false">COUNTIF('Source Data'!$B$2:$B$1602,$A128)</f>
        <v>2</v>
      </c>
      <c r="C128" s="6" t="n">
        <f aca="false">IF(COUNTIFS('Source Data'!$B$2:$B$1602,$A128,'Source Data'!$C$2:$C$1602,"&lt;&gt;")=0,"",AVERAGEIF('Source Data'!$B$2:$B$1602,$A128,'Source Data'!$C$2:$C$1602))</f>
        <v>4.5</v>
      </c>
      <c r="D128" s="6" t="n">
        <f aca="false">IF(COUNTIFS('Source Data'!$B$2:$B$1602,$A128,'Source Data'!$C$2:$C$1602,"&lt;&gt;")=0,"",_xlfn.MINIFS('Source Data'!$C$2:$C$1602,'Source Data'!$B$2:$B$1602,$A128))</f>
        <v>1</v>
      </c>
      <c r="E128" s="6" t="n">
        <f aca="false">IF(COUNTIFS('Source Data'!$B$2:$B$1602,$A128,'Source Data'!$C$2:$C$1602,"&lt;&gt;")=0,"",_xlfn.MAXIFS('Source Data'!$C$2:$C$1602,'Source Data'!$B$2:$B$1602,$A128))</f>
        <v>8</v>
      </c>
      <c r="F128" s="6" t="n">
        <f aca="false">IF(COUNTIFS('Source Data'!$B$2:$B$1602,$A128,'Source Data'!$D$2:$D$1602,"&lt;&gt;")=0,"",AVERAGEIF('Source Data'!$B$2:$B$1602,$A128,'Source Data'!$D$2:$D$1602))</f>
        <v>8</v>
      </c>
      <c r="G128" s="6" t="n">
        <f aca="false">IF(COUNTIFS('Source Data'!$B$2:$B$1602,$A128,'Source Data'!$D$2:$D$1602,"&lt;&gt;")=0,"",_xlfn.MINIFS('Source Data'!$D$2:$D$1602,'Source Data'!$B$2:$B$1602,$A128))</f>
        <v>4</v>
      </c>
      <c r="H128" s="6" t="n">
        <f aca="false">IF(COUNTIFS('Source Data'!$B$2:$B$1602,$A128,'Source Data'!$D$2:$D$1602,"&lt;&gt;")=0,"",_xlfn.MAXIFS('Source Data'!$D$2:$D$1602,'Source Data'!$B$2:$B$1602,$A128))</f>
        <v>12</v>
      </c>
      <c r="I128" s="6" t="str">
        <f aca="false">IF(COUNTIFS('Source Data'!$B$2:$B$1602,$A128,'Source Data'!$E$2:$E$1602,"&lt;&gt;")=0,"",AVERAGEIF('Source Data'!$B$2:$B$1602,$A128,'Source Data'!$E$2:$E$1602))</f>
        <v/>
      </c>
      <c r="J128" s="6" t="str">
        <f aca="false">IF(COUNTIFS('Source Data'!$B$2:$B$1602,$A128,'Source Data'!$E$2:$E$1602,"&lt;&gt;")=0,"",_xlfn.MINIFS('Source Data'!$E$2:$E$1602,'Source Data'!$B$2:$B$1602,$A128))</f>
        <v/>
      </c>
      <c r="K128" s="6" t="str">
        <f aca="false">IF(COUNTIFS('Source Data'!$B$2:$B$1602,$A128,'Source Data'!$E$2:$E$1602,"&lt;&gt;")=0,"",_xlfn.MAXIFS('Source Data'!$E$2:$E$1602,'Source Data'!$B$2:$B$1602,$A128))</f>
        <v/>
      </c>
      <c r="L128" s="6" t="str">
        <f aca="false">IF(COUNTIFS('Source Data'!$B$2:$B$1602,$A128,'Source Data'!$F$2:$F$1602,"&lt;&gt;")=0,"",AVERAGEIF('Source Data'!$B$2:$B$1602,$A128,'Source Data'!$F$2:$F$1602))</f>
        <v/>
      </c>
      <c r="M128" s="6" t="str">
        <f aca="false">IF(COUNTIFS('Source Data'!$B$2:$B$1602,$A128,'Source Data'!$F$2:$F$1602,"&lt;&gt;")=0,"",_xlfn.MINIFS('Source Data'!$F$2:$F$1602,'Source Data'!$B$2:$B$1602,$A128))</f>
        <v/>
      </c>
      <c r="N128" s="6" t="str">
        <f aca="false">IF(COUNTIFS('Source Data'!$B$2:$B$1602,$A128,'Source Data'!$F$2:$F$1602,"&lt;&gt;")=0,"",_xlfn.MAXIFS('Source Data'!$F$2:$F$1602,'Source Data'!$B$2:$B$1602,$A128))</f>
        <v/>
      </c>
    </row>
    <row r="129" customFormat="false" ht="15" hidden="false" customHeight="false" outlineLevel="0" collapsed="false">
      <c r="A129" s="5" t="s">
        <v>1276</v>
      </c>
      <c r="B129" s="7" t="n">
        <f aca="false">COUNTIF('Source Data'!$B$2:$B$1602,$A129)</f>
        <v>1</v>
      </c>
      <c r="C129" s="6" t="n">
        <f aca="false">IF(COUNTIFS('Source Data'!$B$2:$B$1602,$A129,'Source Data'!$C$2:$C$1602,"&lt;&gt;")=0,"",AVERAGEIF('Source Data'!$B$2:$B$1602,$A129,'Source Data'!$C$2:$C$1602))</f>
        <v>12</v>
      </c>
      <c r="D129" s="6" t="n">
        <f aca="false">IF(COUNTIFS('Source Data'!$B$2:$B$1602,$A129,'Source Data'!$C$2:$C$1602,"&lt;&gt;")=0,"",_xlfn.MINIFS('Source Data'!$C$2:$C$1602,'Source Data'!$B$2:$B$1602,$A129))</f>
        <v>12</v>
      </c>
      <c r="E129" s="6" t="n">
        <f aca="false">IF(COUNTIFS('Source Data'!$B$2:$B$1602,$A129,'Source Data'!$C$2:$C$1602,"&lt;&gt;")=0,"",_xlfn.MAXIFS('Source Data'!$C$2:$C$1602,'Source Data'!$B$2:$B$1602,$A129))</f>
        <v>12</v>
      </c>
      <c r="F129" s="6" t="n">
        <f aca="false">IF(COUNTIFS('Source Data'!$B$2:$B$1602,$A129,'Source Data'!$D$2:$D$1602,"&lt;&gt;")=0,"",AVERAGEIF('Source Data'!$B$2:$B$1602,$A129,'Source Data'!$D$2:$D$1602))</f>
        <v>6</v>
      </c>
      <c r="G129" s="6" t="n">
        <f aca="false">IF(COUNTIFS('Source Data'!$B$2:$B$1602,$A129,'Source Data'!$D$2:$D$1602,"&lt;&gt;")=0,"",_xlfn.MINIFS('Source Data'!$D$2:$D$1602,'Source Data'!$B$2:$B$1602,$A129))</f>
        <v>6</v>
      </c>
      <c r="H129" s="6" t="n">
        <f aca="false">IF(COUNTIFS('Source Data'!$B$2:$B$1602,$A129,'Source Data'!$D$2:$D$1602,"&lt;&gt;")=0,"",_xlfn.MAXIFS('Source Data'!$D$2:$D$1602,'Source Data'!$B$2:$B$1602,$A129))</f>
        <v>6</v>
      </c>
      <c r="I129" s="6" t="str">
        <f aca="false">IF(COUNTIFS('Source Data'!$B$2:$B$1602,$A129,'Source Data'!$E$2:$E$1602,"&lt;&gt;")=0,"",AVERAGEIF('Source Data'!$B$2:$B$1602,$A129,'Source Data'!$E$2:$E$1602))</f>
        <v/>
      </c>
      <c r="J129" s="6" t="str">
        <f aca="false">IF(COUNTIFS('Source Data'!$B$2:$B$1602,$A129,'Source Data'!$E$2:$E$1602,"&lt;&gt;")=0,"",_xlfn.MINIFS('Source Data'!$E$2:$E$1602,'Source Data'!$B$2:$B$1602,$A129))</f>
        <v/>
      </c>
      <c r="K129" s="6" t="str">
        <f aca="false">IF(COUNTIFS('Source Data'!$B$2:$B$1602,$A129,'Source Data'!$E$2:$E$1602,"&lt;&gt;")=0,"",_xlfn.MAXIFS('Source Data'!$E$2:$E$1602,'Source Data'!$B$2:$B$1602,$A129))</f>
        <v/>
      </c>
      <c r="L129" s="6" t="str">
        <f aca="false">IF(COUNTIFS('Source Data'!$B$2:$B$1602,$A129,'Source Data'!$F$2:$F$1602,"&lt;&gt;")=0,"",AVERAGEIF('Source Data'!$B$2:$B$1602,$A129,'Source Data'!$F$2:$F$1602))</f>
        <v/>
      </c>
      <c r="M129" s="6" t="str">
        <f aca="false">IF(COUNTIFS('Source Data'!$B$2:$B$1602,$A129,'Source Data'!$F$2:$F$1602,"&lt;&gt;")=0,"",_xlfn.MINIFS('Source Data'!$F$2:$F$1602,'Source Data'!$B$2:$B$1602,$A129))</f>
        <v/>
      </c>
      <c r="N129" s="6" t="str">
        <f aca="false">IF(COUNTIFS('Source Data'!$B$2:$B$1602,$A129,'Source Data'!$F$2:$F$1602,"&lt;&gt;")=0,"",_xlfn.MAXIFS('Source Data'!$F$2:$F$1602,'Source Data'!$B$2:$B$1602,$A129))</f>
        <v/>
      </c>
    </row>
    <row r="130" customFormat="false" ht="15" hidden="false" customHeight="false" outlineLevel="0" collapsed="false">
      <c r="A130" s="5" t="s">
        <v>280</v>
      </c>
      <c r="B130" s="7" t="n">
        <f aca="false">COUNTIF('Source Data'!$B$2:$B$1602,$A130)</f>
        <v>1</v>
      </c>
      <c r="C130" s="6" t="n">
        <f aca="false">IF(COUNTIFS('Source Data'!$B$2:$B$1602,$A130,'Source Data'!$C$2:$C$1602,"&lt;&gt;")=0,"",AVERAGEIF('Source Data'!$B$2:$B$1602,$A130,'Source Data'!$C$2:$C$1602))</f>
        <v>5.5</v>
      </c>
      <c r="D130" s="6" t="n">
        <f aca="false">IF(COUNTIFS('Source Data'!$B$2:$B$1602,$A130,'Source Data'!$C$2:$C$1602,"&lt;&gt;")=0,"",_xlfn.MINIFS('Source Data'!$C$2:$C$1602,'Source Data'!$B$2:$B$1602,$A130))</f>
        <v>5.5</v>
      </c>
      <c r="E130" s="6" t="n">
        <f aca="false">IF(COUNTIFS('Source Data'!$B$2:$B$1602,$A130,'Source Data'!$C$2:$C$1602,"&lt;&gt;")=0,"",_xlfn.MAXIFS('Source Data'!$C$2:$C$1602,'Source Data'!$B$2:$B$1602,$A130))</f>
        <v>5.5</v>
      </c>
      <c r="F130" s="6" t="n">
        <f aca="false">IF(COUNTIFS('Source Data'!$B$2:$B$1602,$A130,'Source Data'!$D$2:$D$1602,"&lt;&gt;")=0,"",AVERAGEIF('Source Data'!$B$2:$B$1602,$A130,'Source Data'!$D$2:$D$1602))</f>
        <v>0</v>
      </c>
      <c r="G130" s="6" t="n">
        <f aca="false">IF(COUNTIFS('Source Data'!$B$2:$B$1602,$A130,'Source Data'!$D$2:$D$1602,"&lt;&gt;")=0,"",_xlfn.MINIFS('Source Data'!$D$2:$D$1602,'Source Data'!$B$2:$B$1602,$A130))</f>
        <v>0</v>
      </c>
      <c r="H130" s="6" t="n">
        <f aca="false">IF(COUNTIFS('Source Data'!$B$2:$B$1602,$A130,'Source Data'!$D$2:$D$1602,"&lt;&gt;")=0,"",_xlfn.MAXIFS('Source Data'!$D$2:$D$1602,'Source Data'!$B$2:$B$1602,$A130))</f>
        <v>0</v>
      </c>
      <c r="I130" s="6" t="n">
        <f aca="false">IF(COUNTIFS('Source Data'!$B$2:$B$1602,$A130,'Source Data'!$E$2:$E$1602,"&lt;&gt;")=0,"",AVERAGEIF('Source Data'!$B$2:$B$1602,$A130,'Source Data'!$E$2:$E$1602))</f>
        <v>3</v>
      </c>
      <c r="J130" s="6" t="n">
        <f aca="false">IF(COUNTIFS('Source Data'!$B$2:$B$1602,$A130,'Source Data'!$E$2:$E$1602,"&lt;&gt;")=0,"",_xlfn.MINIFS('Source Data'!$E$2:$E$1602,'Source Data'!$B$2:$B$1602,$A130))</f>
        <v>3</v>
      </c>
      <c r="K130" s="6" t="n">
        <f aca="false">IF(COUNTIFS('Source Data'!$B$2:$B$1602,$A130,'Source Data'!$E$2:$E$1602,"&lt;&gt;")=0,"",_xlfn.MAXIFS('Source Data'!$E$2:$E$1602,'Source Data'!$B$2:$B$1602,$A130))</f>
        <v>3</v>
      </c>
      <c r="L130" s="6" t="str">
        <f aca="false">IF(COUNTIFS('Source Data'!$B$2:$B$1602,$A130,'Source Data'!$F$2:$F$1602,"&lt;&gt;")=0,"",AVERAGEIF('Source Data'!$B$2:$B$1602,$A130,'Source Data'!$F$2:$F$1602))</f>
        <v/>
      </c>
      <c r="M130" s="6" t="str">
        <f aca="false">IF(COUNTIFS('Source Data'!$B$2:$B$1602,$A130,'Source Data'!$F$2:$F$1602,"&lt;&gt;")=0,"",_xlfn.MINIFS('Source Data'!$F$2:$F$1602,'Source Data'!$B$2:$B$1602,$A130))</f>
        <v/>
      </c>
      <c r="N130" s="6" t="str">
        <f aca="false">IF(COUNTIFS('Source Data'!$B$2:$B$1602,$A130,'Source Data'!$F$2:$F$1602,"&lt;&gt;")=0,"",_xlfn.MAXIFS('Source Data'!$F$2:$F$1602,'Source Data'!$B$2:$B$1602,$A130))</f>
        <v/>
      </c>
    </row>
    <row r="131" customFormat="false" ht="15" hidden="false" customHeight="false" outlineLevel="0" collapsed="false">
      <c r="A131" s="5" t="s">
        <v>64</v>
      </c>
      <c r="B131" s="7" t="n">
        <f aca="false">COUNTIF('Source Data'!$B$2:$B$1602,$A131)</f>
        <v>2</v>
      </c>
      <c r="C131" s="6" t="n">
        <f aca="false">IF(COUNTIFS('Source Data'!$B$2:$B$1602,$A131,'Source Data'!$C$2:$C$1602,"&lt;&gt;")=0,"",AVERAGEIF('Source Data'!$B$2:$B$1602,$A131,'Source Data'!$C$2:$C$1602))</f>
        <v>6</v>
      </c>
      <c r="D131" s="6" t="n">
        <f aca="false">IF(COUNTIFS('Source Data'!$B$2:$B$1602,$A131,'Source Data'!$C$2:$C$1602,"&lt;&gt;")=0,"",_xlfn.MINIFS('Source Data'!$C$2:$C$1602,'Source Data'!$B$2:$B$1602,$A131))</f>
        <v>0</v>
      </c>
      <c r="E131" s="6" t="n">
        <f aca="false">IF(COUNTIFS('Source Data'!$B$2:$B$1602,$A131,'Source Data'!$C$2:$C$1602,"&lt;&gt;")=0,"",_xlfn.MAXIFS('Source Data'!$C$2:$C$1602,'Source Data'!$B$2:$B$1602,$A131))</f>
        <v>12</v>
      </c>
      <c r="F131" s="6" t="n">
        <f aca="false">IF(COUNTIFS('Source Data'!$B$2:$B$1602,$A131,'Source Data'!$D$2:$D$1602,"&lt;&gt;")=0,"",AVERAGEIF('Source Data'!$B$2:$B$1602,$A131,'Source Data'!$D$2:$D$1602))</f>
        <v>12</v>
      </c>
      <c r="G131" s="6" t="n">
        <f aca="false">IF(COUNTIFS('Source Data'!$B$2:$B$1602,$A131,'Source Data'!$D$2:$D$1602,"&lt;&gt;")=0,"",_xlfn.MINIFS('Source Data'!$D$2:$D$1602,'Source Data'!$B$2:$B$1602,$A131))</f>
        <v>12</v>
      </c>
      <c r="H131" s="6" t="n">
        <f aca="false">IF(COUNTIFS('Source Data'!$B$2:$B$1602,$A131,'Source Data'!$D$2:$D$1602,"&lt;&gt;")=0,"",_xlfn.MAXIFS('Source Data'!$D$2:$D$1602,'Source Data'!$B$2:$B$1602,$A131))</f>
        <v>12</v>
      </c>
      <c r="I131" s="6" t="n">
        <f aca="false">IF(COUNTIFS('Source Data'!$B$2:$B$1602,$A131,'Source Data'!$E$2:$E$1602,"&lt;&gt;")=0,"",AVERAGEIF('Source Data'!$B$2:$B$1602,$A131,'Source Data'!$E$2:$E$1602))</f>
        <v>0</v>
      </c>
      <c r="J131" s="6" t="n">
        <f aca="false">IF(COUNTIFS('Source Data'!$B$2:$B$1602,$A131,'Source Data'!$E$2:$E$1602,"&lt;&gt;")=0,"",_xlfn.MINIFS('Source Data'!$E$2:$E$1602,'Source Data'!$B$2:$B$1602,$A131))</f>
        <v>0</v>
      </c>
      <c r="K131" s="6" t="n">
        <f aca="false">IF(COUNTIFS('Source Data'!$B$2:$B$1602,$A131,'Source Data'!$E$2:$E$1602,"&lt;&gt;")=0,"",_xlfn.MAXIFS('Source Data'!$E$2:$E$1602,'Source Data'!$B$2:$B$1602,$A131))</f>
        <v>0</v>
      </c>
      <c r="L131" s="6" t="n">
        <f aca="false">IF(COUNTIFS('Source Data'!$B$2:$B$1602,$A131,'Source Data'!$F$2:$F$1602,"&lt;&gt;")=0,"",AVERAGEIF('Source Data'!$B$2:$B$1602,$A131,'Source Data'!$F$2:$F$1602))</f>
        <v>12</v>
      </c>
      <c r="M131" s="6" t="n">
        <f aca="false">IF(COUNTIFS('Source Data'!$B$2:$B$1602,$A131,'Source Data'!$F$2:$F$1602,"&lt;&gt;")=0,"",_xlfn.MINIFS('Source Data'!$F$2:$F$1602,'Source Data'!$B$2:$B$1602,$A131))</f>
        <v>12</v>
      </c>
      <c r="N131" s="6" t="n">
        <f aca="false">IF(COUNTIFS('Source Data'!$B$2:$B$1602,$A131,'Source Data'!$F$2:$F$1602,"&lt;&gt;")=0,"",_xlfn.MAXIFS('Source Data'!$F$2:$F$1602,'Source Data'!$B$2:$B$1602,$A131))</f>
        <v>12</v>
      </c>
    </row>
    <row r="132" customFormat="false" ht="15" hidden="false" customHeight="false" outlineLevel="0" collapsed="false">
      <c r="A132" s="5" t="s">
        <v>282</v>
      </c>
      <c r="B132" s="7" t="n">
        <f aca="false">COUNTIF('Source Data'!$B$2:$B$1602,$A132)</f>
        <v>7</v>
      </c>
      <c r="C132" s="6" t="n">
        <f aca="false">IF(COUNTIFS('Source Data'!$B$2:$B$1602,$A132,'Source Data'!$C$2:$C$1602,"&lt;&gt;")=0,"",AVERAGEIF('Source Data'!$B$2:$B$1602,$A132,'Source Data'!$C$2:$C$1602))</f>
        <v>8.85714285714286</v>
      </c>
      <c r="D132" s="6" t="n">
        <f aca="false">IF(COUNTIFS('Source Data'!$B$2:$B$1602,$A132,'Source Data'!$C$2:$C$1602,"&lt;&gt;")=0,"",_xlfn.MINIFS('Source Data'!$C$2:$C$1602,'Source Data'!$B$2:$B$1602,$A132))</f>
        <v>3</v>
      </c>
      <c r="E132" s="6" t="n">
        <f aca="false">IF(COUNTIFS('Source Data'!$B$2:$B$1602,$A132,'Source Data'!$C$2:$C$1602,"&lt;&gt;")=0,"",_xlfn.MAXIFS('Source Data'!$C$2:$C$1602,'Source Data'!$B$2:$B$1602,$A132))</f>
        <v>16</v>
      </c>
      <c r="F132" s="6" t="n">
        <f aca="false">IF(COUNTIFS('Source Data'!$B$2:$B$1602,$A132,'Source Data'!$D$2:$D$1602,"&lt;&gt;")=0,"",AVERAGEIF('Source Data'!$B$2:$B$1602,$A132,'Source Data'!$D$2:$D$1602))</f>
        <v>2.14285714285714</v>
      </c>
      <c r="G132" s="6" t="n">
        <f aca="false">IF(COUNTIFS('Source Data'!$B$2:$B$1602,$A132,'Source Data'!$D$2:$D$1602,"&lt;&gt;")=0,"",_xlfn.MINIFS('Source Data'!$D$2:$D$1602,'Source Data'!$B$2:$B$1602,$A132))</f>
        <v>0</v>
      </c>
      <c r="H132" s="6" t="n">
        <f aca="false">IF(COUNTIFS('Source Data'!$B$2:$B$1602,$A132,'Source Data'!$D$2:$D$1602,"&lt;&gt;")=0,"",_xlfn.MAXIFS('Source Data'!$D$2:$D$1602,'Source Data'!$B$2:$B$1602,$A132))</f>
        <v>9</v>
      </c>
      <c r="I132" s="6" t="n">
        <f aca="false">IF(COUNTIFS('Source Data'!$B$2:$B$1602,$A132,'Source Data'!$E$2:$E$1602,"&lt;&gt;")=0,"",AVERAGEIF('Source Data'!$B$2:$B$1602,$A132,'Source Data'!$E$2:$E$1602))</f>
        <v>2</v>
      </c>
      <c r="J132" s="6" t="n">
        <f aca="false">IF(COUNTIFS('Source Data'!$B$2:$B$1602,$A132,'Source Data'!$E$2:$E$1602,"&lt;&gt;")=0,"",_xlfn.MINIFS('Source Data'!$E$2:$E$1602,'Source Data'!$B$2:$B$1602,$A132))</f>
        <v>2</v>
      </c>
      <c r="K132" s="6" t="n">
        <f aca="false">IF(COUNTIFS('Source Data'!$B$2:$B$1602,$A132,'Source Data'!$E$2:$E$1602,"&lt;&gt;")=0,"",_xlfn.MAXIFS('Source Data'!$E$2:$E$1602,'Source Data'!$B$2:$B$1602,$A132))</f>
        <v>2</v>
      </c>
      <c r="L132" s="6" t="str">
        <f aca="false">IF(COUNTIFS('Source Data'!$B$2:$B$1602,$A132,'Source Data'!$F$2:$F$1602,"&lt;&gt;")=0,"",AVERAGEIF('Source Data'!$B$2:$B$1602,$A132,'Source Data'!$F$2:$F$1602))</f>
        <v/>
      </c>
      <c r="M132" s="6" t="str">
        <f aca="false">IF(COUNTIFS('Source Data'!$B$2:$B$1602,$A132,'Source Data'!$F$2:$F$1602,"&lt;&gt;")=0,"",_xlfn.MINIFS('Source Data'!$F$2:$F$1602,'Source Data'!$B$2:$B$1602,$A132))</f>
        <v/>
      </c>
      <c r="N132" s="6" t="str">
        <f aca="false">IF(COUNTIFS('Source Data'!$B$2:$B$1602,$A132,'Source Data'!$F$2:$F$1602,"&lt;&gt;")=0,"",_xlfn.MAXIFS('Source Data'!$F$2:$F$1602,'Source Data'!$B$2:$B$1602,$A132))</f>
        <v/>
      </c>
    </row>
    <row r="133" customFormat="false" ht="15" hidden="false" customHeight="false" outlineLevel="0" collapsed="false">
      <c r="A133" s="5" t="s">
        <v>1285</v>
      </c>
      <c r="B133" s="7" t="n">
        <f aca="false">COUNTIF('Source Data'!$B$2:$B$1602,$A133)</f>
        <v>1</v>
      </c>
      <c r="C133" s="6" t="n">
        <f aca="false">IF(COUNTIFS('Source Data'!$B$2:$B$1602,$A133,'Source Data'!$C$2:$C$1602,"&lt;&gt;")=0,"",AVERAGEIF('Source Data'!$B$2:$B$1602,$A133,'Source Data'!$C$2:$C$1602))</f>
        <v>8</v>
      </c>
      <c r="D133" s="6" t="n">
        <f aca="false">IF(COUNTIFS('Source Data'!$B$2:$B$1602,$A133,'Source Data'!$C$2:$C$1602,"&lt;&gt;")=0,"",_xlfn.MINIFS('Source Data'!$C$2:$C$1602,'Source Data'!$B$2:$B$1602,$A133))</f>
        <v>8</v>
      </c>
      <c r="E133" s="6" t="n">
        <f aca="false">IF(COUNTIFS('Source Data'!$B$2:$B$1602,$A133,'Source Data'!$C$2:$C$1602,"&lt;&gt;")=0,"",_xlfn.MAXIFS('Source Data'!$C$2:$C$1602,'Source Data'!$B$2:$B$1602,$A133))</f>
        <v>8</v>
      </c>
      <c r="F133" s="6" t="n">
        <f aca="false">IF(COUNTIFS('Source Data'!$B$2:$B$1602,$A133,'Source Data'!$D$2:$D$1602,"&lt;&gt;")=0,"",AVERAGEIF('Source Data'!$B$2:$B$1602,$A133,'Source Data'!$D$2:$D$1602))</f>
        <v>12</v>
      </c>
      <c r="G133" s="6" t="n">
        <f aca="false">IF(COUNTIFS('Source Data'!$B$2:$B$1602,$A133,'Source Data'!$D$2:$D$1602,"&lt;&gt;")=0,"",_xlfn.MINIFS('Source Data'!$D$2:$D$1602,'Source Data'!$B$2:$B$1602,$A133))</f>
        <v>12</v>
      </c>
      <c r="H133" s="6" t="n">
        <f aca="false">IF(COUNTIFS('Source Data'!$B$2:$B$1602,$A133,'Source Data'!$D$2:$D$1602,"&lt;&gt;")=0,"",_xlfn.MAXIFS('Source Data'!$D$2:$D$1602,'Source Data'!$B$2:$B$1602,$A133))</f>
        <v>12</v>
      </c>
      <c r="I133" s="6" t="str">
        <f aca="false">IF(COUNTIFS('Source Data'!$B$2:$B$1602,$A133,'Source Data'!$E$2:$E$1602,"&lt;&gt;")=0,"",AVERAGEIF('Source Data'!$B$2:$B$1602,$A133,'Source Data'!$E$2:$E$1602))</f>
        <v/>
      </c>
      <c r="J133" s="6" t="str">
        <f aca="false">IF(COUNTIFS('Source Data'!$B$2:$B$1602,$A133,'Source Data'!$E$2:$E$1602,"&lt;&gt;")=0,"",_xlfn.MINIFS('Source Data'!$E$2:$E$1602,'Source Data'!$B$2:$B$1602,$A133))</f>
        <v/>
      </c>
      <c r="K133" s="6" t="str">
        <f aca="false">IF(COUNTIFS('Source Data'!$B$2:$B$1602,$A133,'Source Data'!$E$2:$E$1602,"&lt;&gt;")=0,"",_xlfn.MAXIFS('Source Data'!$E$2:$E$1602,'Source Data'!$B$2:$B$1602,$A133))</f>
        <v/>
      </c>
      <c r="L133" s="6" t="str">
        <f aca="false">IF(COUNTIFS('Source Data'!$B$2:$B$1602,$A133,'Source Data'!$F$2:$F$1602,"&lt;&gt;")=0,"",AVERAGEIF('Source Data'!$B$2:$B$1602,$A133,'Source Data'!$F$2:$F$1602))</f>
        <v/>
      </c>
      <c r="M133" s="6" t="str">
        <f aca="false">IF(COUNTIFS('Source Data'!$B$2:$B$1602,$A133,'Source Data'!$F$2:$F$1602,"&lt;&gt;")=0,"",_xlfn.MINIFS('Source Data'!$F$2:$F$1602,'Source Data'!$B$2:$B$1602,$A133))</f>
        <v/>
      </c>
      <c r="N133" s="6" t="str">
        <f aca="false">IF(COUNTIFS('Source Data'!$B$2:$B$1602,$A133,'Source Data'!$F$2:$F$1602,"&lt;&gt;")=0,"",_xlfn.MAXIFS('Source Data'!$F$2:$F$1602,'Source Data'!$B$2:$B$1602,$A133))</f>
        <v/>
      </c>
    </row>
    <row r="134" customFormat="false" ht="15" hidden="false" customHeight="false" outlineLevel="0" collapsed="false">
      <c r="A134" s="5" t="s">
        <v>1287</v>
      </c>
      <c r="B134" s="7" t="n">
        <f aca="false">COUNTIF('Source Data'!$B$2:$B$1602,$A134)</f>
        <v>4</v>
      </c>
      <c r="C134" s="6" t="n">
        <f aca="false">IF(COUNTIFS('Source Data'!$B$2:$B$1602,$A134,'Source Data'!$C$2:$C$1602,"&lt;&gt;")=0,"",AVERAGEIF('Source Data'!$B$2:$B$1602,$A134,'Source Data'!$C$2:$C$1602))</f>
        <v>7.5</v>
      </c>
      <c r="D134" s="6" t="n">
        <f aca="false">IF(COUNTIFS('Source Data'!$B$2:$B$1602,$A134,'Source Data'!$C$2:$C$1602,"&lt;&gt;")=0,"",_xlfn.MINIFS('Source Data'!$C$2:$C$1602,'Source Data'!$B$2:$B$1602,$A134))</f>
        <v>0</v>
      </c>
      <c r="E134" s="6" t="n">
        <f aca="false">IF(COUNTIFS('Source Data'!$B$2:$B$1602,$A134,'Source Data'!$C$2:$C$1602,"&lt;&gt;")=0,"",_xlfn.MAXIFS('Source Data'!$C$2:$C$1602,'Source Data'!$B$2:$B$1602,$A134))</f>
        <v>12</v>
      </c>
      <c r="F134" s="6" t="n">
        <f aca="false">IF(COUNTIFS('Source Data'!$B$2:$B$1602,$A134,'Source Data'!$D$2:$D$1602,"&lt;&gt;")=0,"",AVERAGEIF('Source Data'!$B$2:$B$1602,$A134,'Source Data'!$D$2:$D$1602))</f>
        <v>2</v>
      </c>
      <c r="G134" s="6" t="n">
        <f aca="false">IF(COUNTIFS('Source Data'!$B$2:$B$1602,$A134,'Source Data'!$D$2:$D$1602,"&lt;&gt;")=0,"",_xlfn.MINIFS('Source Data'!$D$2:$D$1602,'Source Data'!$B$2:$B$1602,$A134))</f>
        <v>0</v>
      </c>
      <c r="H134" s="6" t="n">
        <f aca="false">IF(COUNTIFS('Source Data'!$B$2:$B$1602,$A134,'Source Data'!$D$2:$D$1602,"&lt;&gt;")=0,"",_xlfn.MAXIFS('Source Data'!$D$2:$D$1602,'Source Data'!$B$2:$B$1602,$A134))</f>
        <v>4</v>
      </c>
      <c r="I134" s="6" t="str">
        <f aca="false">IF(COUNTIFS('Source Data'!$B$2:$B$1602,$A134,'Source Data'!$E$2:$E$1602,"&lt;&gt;")=0,"",AVERAGEIF('Source Data'!$B$2:$B$1602,$A134,'Source Data'!$E$2:$E$1602))</f>
        <v/>
      </c>
      <c r="J134" s="6" t="str">
        <f aca="false">IF(COUNTIFS('Source Data'!$B$2:$B$1602,$A134,'Source Data'!$E$2:$E$1602,"&lt;&gt;")=0,"",_xlfn.MINIFS('Source Data'!$E$2:$E$1602,'Source Data'!$B$2:$B$1602,$A134))</f>
        <v/>
      </c>
      <c r="K134" s="6" t="str">
        <f aca="false">IF(COUNTIFS('Source Data'!$B$2:$B$1602,$A134,'Source Data'!$E$2:$E$1602,"&lt;&gt;")=0,"",_xlfn.MAXIFS('Source Data'!$E$2:$E$1602,'Source Data'!$B$2:$B$1602,$A134))</f>
        <v/>
      </c>
      <c r="L134" s="6" t="str">
        <f aca="false">IF(COUNTIFS('Source Data'!$B$2:$B$1602,$A134,'Source Data'!$F$2:$F$1602,"&lt;&gt;")=0,"",AVERAGEIF('Source Data'!$B$2:$B$1602,$A134,'Source Data'!$F$2:$F$1602))</f>
        <v/>
      </c>
      <c r="M134" s="6" t="str">
        <f aca="false">IF(COUNTIFS('Source Data'!$B$2:$B$1602,$A134,'Source Data'!$F$2:$F$1602,"&lt;&gt;")=0,"",_xlfn.MINIFS('Source Data'!$F$2:$F$1602,'Source Data'!$B$2:$B$1602,$A134))</f>
        <v/>
      </c>
      <c r="N134" s="6" t="str">
        <f aca="false">IF(COUNTIFS('Source Data'!$B$2:$B$1602,$A134,'Source Data'!$F$2:$F$1602,"&lt;&gt;")=0,"",_xlfn.MAXIFS('Source Data'!$F$2:$F$1602,'Source Data'!$B$2:$B$1602,$A134))</f>
        <v/>
      </c>
    </row>
    <row r="135" customFormat="false" ht="15" hidden="false" customHeight="false" outlineLevel="0" collapsed="false">
      <c r="A135" s="5" t="s">
        <v>1290</v>
      </c>
      <c r="B135" s="7" t="n">
        <f aca="false">COUNTIF('Source Data'!$B$2:$B$1602,$A135)</f>
        <v>2</v>
      </c>
      <c r="C135" s="6" t="n">
        <f aca="false">IF(COUNTIFS('Source Data'!$B$2:$B$1602,$A135,'Source Data'!$C$2:$C$1602,"&lt;&gt;")=0,"",AVERAGEIF('Source Data'!$B$2:$B$1602,$A135,'Source Data'!$C$2:$C$1602))</f>
        <v>7.5</v>
      </c>
      <c r="D135" s="6" t="n">
        <f aca="false">IF(COUNTIFS('Source Data'!$B$2:$B$1602,$A135,'Source Data'!$C$2:$C$1602,"&lt;&gt;")=0,"",_xlfn.MINIFS('Source Data'!$C$2:$C$1602,'Source Data'!$B$2:$B$1602,$A135))</f>
        <v>6</v>
      </c>
      <c r="E135" s="6" t="n">
        <f aca="false">IF(COUNTIFS('Source Data'!$B$2:$B$1602,$A135,'Source Data'!$C$2:$C$1602,"&lt;&gt;")=0,"",_xlfn.MAXIFS('Source Data'!$C$2:$C$1602,'Source Data'!$B$2:$B$1602,$A135))</f>
        <v>9</v>
      </c>
      <c r="F135" s="6" t="n">
        <f aca="false">IF(COUNTIFS('Source Data'!$B$2:$B$1602,$A135,'Source Data'!$D$2:$D$1602,"&lt;&gt;")=0,"",AVERAGEIF('Source Data'!$B$2:$B$1602,$A135,'Source Data'!$D$2:$D$1602))</f>
        <v>3</v>
      </c>
      <c r="G135" s="6" t="n">
        <f aca="false">IF(COUNTIFS('Source Data'!$B$2:$B$1602,$A135,'Source Data'!$D$2:$D$1602,"&lt;&gt;")=0,"",_xlfn.MINIFS('Source Data'!$D$2:$D$1602,'Source Data'!$B$2:$B$1602,$A135))</f>
        <v>0</v>
      </c>
      <c r="H135" s="6" t="n">
        <f aca="false">IF(COUNTIFS('Source Data'!$B$2:$B$1602,$A135,'Source Data'!$D$2:$D$1602,"&lt;&gt;")=0,"",_xlfn.MAXIFS('Source Data'!$D$2:$D$1602,'Source Data'!$B$2:$B$1602,$A135))</f>
        <v>6</v>
      </c>
      <c r="I135" s="6" t="str">
        <f aca="false">IF(COUNTIFS('Source Data'!$B$2:$B$1602,$A135,'Source Data'!$E$2:$E$1602,"&lt;&gt;")=0,"",AVERAGEIF('Source Data'!$B$2:$B$1602,$A135,'Source Data'!$E$2:$E$1602))</f>
        <v/>
      </c>
      <c r="J135" s="6" t="str">
        <f aca="false">IF(COUNTIFS('Source Data'!$B$2:$B$1602,$A135,'Source Data'!$E$2:$E$1602,"&lt;&gt;")=0,"",_xlfn.MINIFS('Source Data'!$E$2:$E$1602,'Source Data'!$B$2:$B$1602,$A135))</f>
        <v/>
      </c>
      <c r="K135" s="6" t="str">
        <f aca="false">IF(COUNTIFS('Source Data'!$B$2:$B$1602,$A135,'Source Data'!$E$2:$E$1602,"&lt;&gt;")=0,"",_xlfn.MAXIFS('Source Data'!$E$2:$E$1602,'Source Data'!$B$2:$B$1602,$A135))</f>
        <v/>
      </c>
      <c r="L135" s="6" t="str">
        <f aca="false">IF(COUNTIFS('Source Data'!$B$2:$B$1602,$A135,'Source Data'!$F$2:$F$1602,"&lt;&gt;")=0,"",AVERAGEIF('Source Data'!$B$2:$B$1602,$A135,'Source Data'!$F$2:$F$1602))</f>
        <v/>
      </c>
      <c r="M135" s="6" t="str">
        <f aca="false">IF(COUNTIFS('Source Data'!$B$2:$B$1602,$A135,'Source Data'!$F$2:$F$1602,"&lt;&gt;")=0,"",_xlfn.MINIFS('Source Data'!$F$2:$F$1602,'Source Data'!$B$2:$B$1602,$A135))</f>
        <v/>
      </c>
      <c r="N135" s="6" t="str">
        <f aca="false">IF(COUNTIFS('Source Data'!$B$2:$B$1602,$A135,'Source Data'!$F$2:$F$1602,"&lt;&gt;")=0,"",_xlfn.MAXIFS('Source Data'!$F$2:$F$1602,'Source Data'!$B$2:$B$1602,$A135))</f>
        <v/>
      </c>
    </row>
    <row r="136" customFormat="false" ht="15" hidden="false" customHeight="false" outlineLevel="0" collapsed="false">
      <c r="A136" s="5" t="s">
        <v>66</v>
      </c>
      <c r="B136" s="7" t="n">
        <f aca="false">COUNTIF('Source Data'!$B$2:$B$1602,$A136)</f>
        <v>22</v>
      </c>
      <c r="C136" s="6" t="n">
        <f aca="false">IF(COUNTIFS('Source Data'!$B$2:$B$1602,$A136,'Source Data'!$C$2:$C$1602,"&lt;&gt;")=0,"",AVERAGEIF('Source Data'!$B$2:$B$1602,$A136,'Source Data'!$C$2:$C$1602))</f>
        <v>9.68181818181818</v>
      </c>
      <c r="D136" s="6" t="n">
        <f aca="false">IF(COUNTIFS('Source Data'!$B$2:$B$1602,$A136,'Source Data'!$C$2:$C$1602,"&lt;&gt;")=0,"",_xlfn.MINIFS('Source Data'!$C$2:$C$1602,'Source Data'!$B$2:$B$1602,$A136))</f>
        <v>4</v>
      </c>
      <c r="E136" s="6" t="n">
        <f aca="false">IF(COUNTIFS('Source Data'!$B$2:$B$1602,$A136,'Source Data'!$C$2:$C$1602,"&lt;&gt;")=0,"",_xlfn.MAXIFS('Source Data'!$C$2:$C$1602,'Source Data'!$B$2:$B$1602,$A136))</f>
        <v>16</v>
      </c>
      <c r="F136" s="6" t="n">
        <f aca="false">IF(COUNTIFS('Source Data'!$B$2:$B$1602,$A136,'Source Data'!$D$2:$D$1602,"&lt;&gt;")=0,"",AVERAGEIF('Source Data'!$B$2:$B$1602,$A136,'Source Data'!$D$2:$D$1602))</f>
        <v>8.80952380952381</v>
      </c>
      <c r="G136" s="6" t="n">
        <f aca="false">IF(COUNTIFS('Source Data'!$B$2:$B$1602,$A136,'Source Data'!$D$2:$D$1602,"&lt;&gt;")=0,"",_xlfn.MINIFS('Source Data'!$D$2:$D$1602,'Source Data'!$B$2:$B$1602,$A136))</f>
        <v>0</v>
      </c>
      <c r="H136" s="6" t="n">
        <f aca="false">IF(COUNTIFS('Source Data'!$B$2:$B$1602,$A136,'Source Data'!$D$2:$D$1602,"&lt;&gt;")=0,"",_xlfn.MAXIFS('Source Data'!$D$2:$D$1602,'Source Data'!$B$2:$B$1602,$A136))</f>
        <v>52</v>
      </c>
      <c r="I136" s="6" t="n">
        <f aca="false">IF(COUNTIFS('Source Data'!$B$2:$B$1602,$A136,'Source Data'!$E$2:$E$1602,"&lt;&gt;")=0,"",AVERAGEIF('Source Data'!$B$2:$B$1602,$A136,'Source Data'!$E$2:$E$1602))</f>
        <v>6.4</v>
      </c>
      <c r="J136" s="6" t="n">
        <f aca="false">IF(COUNTIFS('Source Data'!$B$2:$B$1602,$A136,'Source Data'!$E$2:$E$1602,"&lt;&gt;")=0,"",_xlfn.MINIFS('Source Data'!$E$2:$E$1602,'Source Data'!$B$2:$B$1602,$A136))</f>
        <v>2</v>
      </c>
      <c r="K136" s="6" t="n">
        <f aca="false">IF(COUNTIFS('Source Data'!$B$2:$B$1602,$A136,'Source Data'!$E$2:$E$1602,"&lt;&gt;")=0,"",_xlfn.MAXIFS('Source Data'!$E$2:$E$1602,'Source Data'!$B$2:$B$1602,$A136))</f>
        <v>8</v>
      </c>
      <c r="L136" s="6" t="n">
        <f aca="false">IF(COUNTIFS('Source Data'!$B$2:$B$1602,$A136,'Source Data'!$F$2:$F$1602,"&lt;&gt;")=0,"",AVERAGEIF('Source Data'!$B$2:$B$1602,$A136,'Source Data'!$F$2:$F$1602))</f>
        <v>16</v>
      </c>
      <c r="M136" s="6" t="n">
        <f aca="false">IF(COUNTIFS('Source Data'!$B$2:$B$1602,$A136,'Source Data'!$F$2:$F$1602,"&lt;&gt;")=0,"",_xlfn.MINIFS('Source Data'!$F$2:$F$1602,'Source Data'!$B$2:$B$1602,$A136))</f>
        <v>16</v>
      </c>
      <c r="N136" s="6" t="n">
        <f aca="false">IF(COUNTIFS('Source Data'!$B$2:$B$1602,$A136,'Source Data'!$F$2:$F$1602,"&lt;&gt;")=0,"",_xlfn.MAXIFS('Source Data'!$F$2:$F$1602,'Source Data'!$B$2:$B$1602,$A136))</f>
        <v>16</v>
      </c>
    </row>
    <row r="137" customFormat="false" ht="15" hidden="false" customHeight="false" outlineLevel="0" collapsed="false">
      <c r="A137" s="5" t="s">
        <v>68</v>
      </c>
      <c r="B137" s="7" t="n">
        <f aca="false">COUNTIF('Source Data'!$B$2:$B$1602,$A137)</f>
        <v>3</v>
      </c>
      <c r="C137" s="6" t="n">
        <f aca="false">IF(COUNTIFS('Source Data'!$B$2:$B$1602,$A137,'Source Data'!$C$2:$C$1602,"&lt;&gt;")=0,"",AVERAGEIF('Source Data'!$B$2:$B$1602,$A137,'Source Data'!$C$2:$C$1602))</f>
        <v>6.66666666666667</v>
      </c>
      <c r="D137" s="6" t="n">
        <f aca="false">IF(COUNTIFS('Source Data'!$B$2:$B$1602,$A137,'Source Data'!$C$2:$C$1602,"&lt;&gt;")=0,"",_xlfn.MINIFS('Source Data'!$C$2:$C$1602,'Source Data'!$B$2:$B$1602,$A137))</f>
        <v>2</v>
      </c>
      <c r="E137" s="6" t="n">
        <f aca="false">IF(COUNTIFS('Source Data'!$B$2:$B$1602,$A137,'Source Data'!$C$2:$C$1602,"&lt;&gt;")=0,"",_xlfn.MAXIFS('Source Data'!$C$2:$C$1602,'Source Data'!$B$2:$B$1602,$A137))</f>
        <v>12</v>
      </c>
      <c r="F137" s="6" t="n">
        <f aca="false">IF(COUNTIFS('Source Data'!$B$2:$B$1602,$A137,'Source Data'!$D$2:$D$1602,"&lt;&gt;")=0,"",AVERAGEIF('Source Data'!$B$2:$B$1602,$A137,'Source Data'!$D$2:$D$1602))</f>
        <v>7</v>
      </c>
      <c r="G137" s="6" t="n">
        <f aca="false">IF(COUNTIFS('Source Data'!$B$2:$B$1602,$A137,'Source Data'!$D$2:$D$1602,"&lt;&gt;")=0,"",_xlfn.MINIFS('Source Data'!$D$2:$D$1602,'Source Data'!$B$2:$B$1602,$A137))</f>
        <v>3</v>
      </c>
      <c r="H137" s="6" t="n">
        <f aca="false">IF(COUNTIFS('Source Data'!$B$2:$B$1602,$A137,'Source Data'!$D$2:$D$1602,"&lt;&gt;")=0,"",_xlfn.MAXIFS('Source Data'!$D$2:$D$1602,'Source Data'!$B$2:$B$1602,$A137))</f>
        <v>12</v>
      </c>
      <c r="I137" s="6" t="n">
        <f aca="false">IF(COUNTIFS('Source Data'!$B$2:$B$1602,$A137,'Source Data'!$E$2:$E$1602,"&lt;&gt;")=0,"",AVERAGEIF('Source Data'!$B$2:$B$1602,$A137,'Source Data'!$E$2:$E$1602))</f>
        <v>8</v>
      </c>
      <c r="J137" s="6" t="n">
        <f aca="false">IF(COUNTIFS('Source Data'!$B$2:$B$1602,$A137,'Source Data'!$E$2:$E$1602,"&lt;&gt;")=0,"",_xlfn.MINIFS('Source Data'!$E$2:$E$1602,'Source Data'!$B$2:$B$1602,$A137))</f>
        <v>8</v>
      </c>
      <c r="K137" s="6" t="n">
        <f aca="false">IF(COUNTIFS('Source Data'!$B$2:$B$1602,$A137,'Source Data'!$E$2:$E$1602,"&lt;&gt;")=0,"",_xlfn.MAXIFS('Source Data'!$E$2:$E$1602,'Source Data'!$B$2:$B$1602,$A137))</f>
        <v>8</v>
      </c>
      <c r="L137" s="6" t="n">
        <f aca="false">IF(COUNTIFS('Source Data'!$B$2:$B$1602,$A137,'Source Data'!$F$2:$F$1602,"&lt;&gt;")=0,"",AVERAGEIF('Source Data'!$B$2:$B$1602,$A137,'Source Data'!$F$2:$F$1602))</f>
        <v>24</v>
      </c>
      <c r="M137" s="6" t="n">
        <f aca="false">IF(COUNTIFS('Source Data'!$B$2:$B$1602,$A137,'Source Data'!$F$2:$F$1602,"&lt;&gt;")=0,"",_xlfn.MINIFS('Source Data'!$F$2:$F$1602,'Source Data'!$B$2:$B$1602,$A137))</f>
        <v>24</v>
      </c>
      <c r="N137" s="6" t="n">
        <f aca="false">IF(COUNTIFS('Source Data'!$B$2:$B$1602,$A137,'Source Data'!$F$2:$F$1602,"&lt;&gt;")=0,"",_xlfn.MAXIFS('Source Data'!$F$2:$F$1602,'Source Data'!$B$2:$B$1602,$A137))</f>
        <v>24</v>
      </c>
    </row>
    <row r="138" customFormat="false" ht="15" hidden="false" customHeight="false" outlineLevel="0" collapsed="false">
      <c r="A138" s="5" t="s">
        <v>288</v>
      </c>
      <c r="B138" s="7" t="n">
        <f aca="false">COUNTIF('Source Data'!$B$2:$B$1602,$A138)</f>
        <v>5</v>
      </c>
      <c r="C138" s="6" t="n">
        <f aca="false">IF(COUNTIFS('Source Data'!$B$2:$B$1602,$A138,'Source Data'!$C$2:$C$1602,"&lt;&gt;")=0,"",AVERAGEIF('Source Data'!$B$2:$B$1602,$A138,'Source Data'!$C$2:$C$1602))</f>
        <v>22.4</v>
      </c>
      <c r="D138" s="6" t="n">
        <f aca="false">IF(COUNTIFS('Source Data'!$B$2:$B$1602,$A138,'Source Data'!$C$2:$C$1602,"&lt;&gt;")=0,"",_xlfn.MINIFS('Source Data'!$C$2:$C$1602,'Source Data'!$B$2:$B$1602,$A138))</f>
        <v>13</v>
      </c>
      <c r="E138" s="6" t="n">
        <f aca="false">IF(COUNTIFS('Source Data'!$B$2:$B$1602,$A138,'Source Data'!$C$2:$C$1602,"&lt;&gt;")=0,"",_xlfn.MAXIFS('Source Data'!$C$2:$C$1602,'Source Data'!$B$2:$B$1602,$A138))</f>
        <v>32</v>
      </c>
      <c r="F138" s="6" t="n">
        <f aca="false">IF(COUNTIFS('Source Data'!$B$2:$B$1602,$A138,'Source Data'!$D$2:$D$1602,"&lt;&gt;")=0,"",AVERAGEIF('Source Data'!$B$2:$B$1602,$A138,'Source Data'!$D$2:$D$1602))</f>
        <v>8</v>
      </c>
      <c r="G138" s="6" t="n">
        <f aca="false">IF(COUNTIFS('Source Data'!$B$2:$B$1602,$A138,'Source Data'!$D$2:$D$1602,"&lt;&gt;")=0,"",_xlfn.MINIFS('Source Data'!$D$2:$D$1602,'Source Data'!$B$2:$B$1602,$A138))</f>
        <v>0</v>
      </c>
      <c r="H138" s="6" t="n">
        <f aca="false">IF(COUNTIFS('Source Data'!$B$2:$B$1602,$A138,'Source Data'!$D$2:$D$1602,"&lt;&gt;")=0,"",_xlfn.MAXIFS('Source Data'!$D$2:$D$1602,'Source Data'!$B$2:$B$1602,$A138))</f>
        <v>13</v>
      </c>
      <c r="I138" s="6" t="n">
        <f aca="false">IF(COUNTIFS('Source Data'!$B$2:$B$1602,$A138,'Source Data'!$E$2:$E$1602,"&lt;&gt;")=0,"",AVERAGEIF('Source Data'!$B$2:$B$1602,$A138,'Source Data'!$E$2:$E$1602))</f>
        <v>26</v>
      </c>
      <c r="J138" s="6" t="n">
        <f aca="false">IF(COUNTIFS('Source Data'!$B$2:$B$1602,$A138,'Source Data'!$E$2:$E$1602,"&lt;&gt;")=0,"",_xlfn.MINIFS('Source Data'!$E$2:$E$1602,'Source Data'!$B$2:$B$1602,$A138))</f>
        <v>26</v>
      </c>
      <c r="K138" s="6" t="n">
        <f aca="false">IF(COUNTIFS('Source Data'!$B$2:$B$1602,$A138,'Source Data'!$E$2:$E$1602,"&lt;&gt;")=0,"",_xlfn.MAXIFS('Source Data'!$E$2:$E$1602,'Source Data'!$B$2:$B$1602,$A138))</f>
        <v>26</v>
      </c>
      <c r="L138" s="6" t="str">
        <f aca="false">IF(COUNTIFS('Source Data'!$B$2:$B$1602,$A138,'Source Data'!$F$2:$F$1602,"&lt;&gt;")=0,"",AVERAGEIF('Source Data'!$B$2:$B$1602,$A138,'Source Data'!$F$2:$F$1602))</f>
        <v/>
      </c>
      <c r="M138" s="6" t="str">
        <f aca="false">IF(COUNTIFS('Source Data'!$B$2:$B$1602,$A138,'Source Data'!$F$2:$F$1602,"&lt;&gt;")=0,"",_xlfn.MINIFS('Source Data'!$F$2:$F$1602,'Source Data'!$B$2:$B$1602,$A138))</f>
        <v/>
      </c>
      <c r="N138" s="6" t="str">
        <f aca="false">IF(COUNTIFS('Source Data'!$B$2:$B$1602,$A138,'Source Data'!$F$2:$F$1602,"&lt;&gt;")=0,"",_xlfn.MAXIFS('Source Data'!$F$2:$F$1602,'Source Data'!$B$2:$B$1602,$A138))</f>
        <v/>
      </c>
    </row>
    <row r="139" customFormat="false" ht="15" hidden="false" customHeight="false" outlineLevel="0" collapsed="false">
      <c r="A139" s="5" t="s">
        <v>290</v>
      </c>
      <c r="B139" s="7" t="n">
        <f aca="false">COUNTIF('Source Data'!$B$2:$B$1602,$A139)</f>
        <v>1</v>
      </c>
      <c r="C139" s="6" t="n">
        <f aca="false">IF(COUNTIFS('Source Data'!$B$2:$B$1602,$A139,'Source Data'!$C$2:$C$1602,"&lt;&gt;")=0,"",AVERAGEIF('Source Data'!$B$2:$B$1602,$A139,'Source Data'!$C$2:$C$1602))</f>
        <v>2</v>
      </c>
      <c r="D139" s="6" t="n">
        <f aca="false">IF(COUNTIFS('Source Data'!$B$2:$B$1602,$A139,'Source Data'!$C$2:$C$1602,"&lt;&gt;")=0,"",_xlfn.MINIFS('Source Data'!$C$2:$C$1602,'Source Data'!$B$2:$B$1602,$A139))</f>
        <v>2</v>
      </c>
      <c r="E139" s="6" t="n">
        <f aca="false">IF(COUNTIFS('Source Data'!$B$2:$B$1602,$A139,'Source Data'!$C$2:$C$1602,"&lt;&gt;")=0,"",_xlfn.MAXIFS('Source Data'!$C$2:$C$1602,'Source Data'!$B$2:$B$1602,$A139))</f>
        <v>2</v>
      </c>
      <c r="F139" s="6" t="n">
        <f aca="false">IF(COUNTIFS('Source Data'!$B$2:$B$1602,$A139,'Source Data'!$D$2:$D$1602,"&lt;&gt;")=0,"",AVERAGEIF('Source Data'!$B$2:$B$1602,$A139,'Source Data'!$D$2:$D$1602))</f>
        <v>40</v>
      </c>
      <c r="G139" s="6" t="n">
        <f aca="false">IF(COUNTIFS('Source Data'!$B$2:$B$1602,$A139,'Source Data'!$D$2:$D$1602,"&lt;&gt;")=0,"",_xlfn.MINIFS('Source Data'!$D$2:$D$1602,'Source Data'!$B$2:$B$1602,$A139))</f>
        <v>40</v>
      </c>
      <c r="H139" s="6" t="n">
        <f aca="false">IF(COUNTIFS('Source Data'!$B$2:$B$1602,$A139,'Source Data'!$D$2:$D$1602,"&lt;&gt;")=0,"",_xlfn.MAXIFS('Source Data'!$D$2:$D$1602,'Source Data'!$B$2:$B$1602,$A139))</f>
        <v>40</v>
      </c>
      <c r="I139" s="6" t="n">
        <f aca="false">IF(COUNTIFS('Source Data'!$B$2:$B$1602,$A139,'Source Data'!$E$2:$E$1602,"&lt;&gt;")=0,"",AVERAGEIF('Source Data'!$B$2:$B$1602,$A139,'Source Data'!$E$2:$E$1602))</f>
        <v>2</v>
      </c>
      <c r="J139" s="6" t="n">
        <f aca="false">IF(COUNTIFS('Source Data'!$B$2:$B$1602,$A139,'Source Data'!$E$2:$E$1602,"&lt;&gt;")=0,"",_xlfn.MINIFS('Source Data'!$E$2:$E$1602,'Source Data'!$B$2:$B$1602,$A139))</f>
        <v>2</v>
      </c>
      <c r="K139" s="6" t="n">
        <f aca="false">IF(COUNTIFS('Source Data'!$B$2:$B$1602,$A139,'Source Data'!$E$2:$E$1602,"&lt;&gt;")=0,"",_xlfn.MAXIFS('Source Data'!$E$2:$E$1602,'Source Data'!$B$2:$B$1602,$A139))</f>
        <v>2</v>
      </c>
      <c r="L139" s="6" t="str">
        <f aca="false">IF(COUNTIFS('Source Data'!$B$2:$B$1602,$A139,'Source Data'!$F$2:$F$1602,"&lt;&gt;")=0,"",AVERAGEIF('Source Data'!$B$2:$B$1602,$A139,'Source Data'!$F$2:$F$1602))</f>
        <v/>
      </c>
      <c r="M139" s="6" t="str">
        <f aca="false">IF(COUNTIFS('Source Data'!$B$2:$B$1602,$A139,'Source Data'!$F$2:$F$1602,"&lt;&gt;")=0,"",_xlfn.MINIFS('Source Data'!$F$2:$F$1602,'Source Data'!$B$2:$B$1602,$A139))</f>
        <v/>
      </c>
      <c r="N139" s="6" t="str">
        <f aca="false">IF(COUNTIFS('Source Data'!$B$2:$B$1602,$A139,'Source Data'!$F$2:$F$1602,"&lt;&gt;")=0,"",_xlfn.MAXIFS('Source Data'!$F$2:$F$1602,'Source Data'!$B$2:$B$1602,$A139))</f>
        <v/>
      </c>
    </row>
    <row r="140" customFormat="false" ht="15" hidden="false" customHeight="false" outlineLevel="0" collapsed="false">
      <c r="A140" s="5" t="s">
        <v>1315</v>
      </c>
      <c r="B140" s="7" t="n">
        <f aca="false">COUNTIF('Source Data'!$B$2:$B$1602,$A140)</f>
        <v>6</v>
      </c>
      <c r="C140" s="6" t="n">
        <f aca="false">IF(COUNTIFS('Source Data'!$B$2:$B$1602,$A140,'Source Data'!$C$2:$C$1602,"&lt;&gt;")=0,"",AVERAGEIF('Source Data'!$B$2:$B$1602,$A140,'Source Data'!$C$2:$C$1602))</f>
        <v>7.66666666666667</v>
      </c>
      <c r="D140" s="6" t="n">
        <f aca="false">IF(COUNTIFS('Source Data'!$B$2:$B$1602,$A140,'Source Data'!$C$2:$C$1602,"&lt;&gt;")=0,"",_xlfn.MINIFS('Source Data'!$C$2:$C$1602,'Source Data'!$B$2:$B$1602,$A140))</f>
        <v>4</v>
      </c>
      <c r="E140" s="6" t="n">
        <f aca="false">IF(COUNTIFS('Source Data'!$B$2:$B$1602,$A140,'Source Data'!$C$2:$C$1602,"&lt;&gt;")=0,"",_xlfn.MAXIFS('Source Data'!$C$2:$C$1602,'Source Data'!$B$2:$B$1602,$A140))</f>
        <v>12</v>
      </c>
      <c r="F140" s="6" t="n">
        <f aca="false">IF(COUNTIFS('Source Data'!$B$2:$B$1602,$A140,'Source Data'!$D$2:$D$1602,"&lt;&gt;")=0,"",AVERAGEIF('Source Data'!$B$2:$B$1602,$A140,'Source Data'!$D$2:$D$1602))</f>
        <v>5.8</v>
      </c>
      <c r="G140" s="6" t="n">
        <f aca="false">IF(COUNTIFS('Source Data'!$B$2:$B$1602,$A140,'Source Data'!$D$2:$D$1602,"&lt;&gt;")=0,"",_xlfn.MINIFS('Source Data'!$D$2:$D$1602,'Source Data'!$B$2:$B$1602,$A140))</f>
        <v>0</v>
      </c>
      <c r="H140" s="6" t="n">
        <f aca="false">IF(COUNTIFS('Source Data'!$B$2:$B$1602,$A140,'Source Data'!$D$2:$D$1602,"&lt;&gt;")=0,"",_xlfn.MAXIFS('Source Data'!$D$2:$D$1602,'Source Data'!$B$2:$B$1602,$A140))</f>
        <v>27</v>
      </c>
      <c r="I140" s="6" t="n">
        <f aca="false">IF(COUNTIFS('Source Data'!$B$2:$B$1602,$A140,'Source Data'!$E$2:$E$1602,"&lt;&gt;")=0,"",AVERAGEIF('Source Data'!$B$2:$B$1602,$A140,'Source Data'!$E$2:$E$1602))</f>
        <v>12</v>
      </c>
      <c r="J140" s="6" t="n">
        <f aca="false">IF(COUNTIFS('Source Data'!$B$2:$B$1602,$A140,'Source Data'!$E$2:$E$1602,"&lt;&gt;")=0,"",_xlfn.MINIFS('Source Data'!$E$2:$E$1602,'Source Data'!$B$2:$B$1602,$A140))</f>
        <v>12</v>
      </c>
      <c r="K140" s="6" t="n">
        <f aca="false">IF(COUNTIFS('Source Data'!$B$2:$B$1602,$A140,'Source Data'!$E$2:$E$1602,"&lt;&gt;")=0,"",_xlfn.MAXIFS('Source Data'!$E$2:$E$1602,'Source Data'!$B$2:$B$1602,$A140))</f>
        <v>12</v>
      </c>
      <c r="L140" s="6" t="str">
        <f aca="false">IF(COUNTIFS('Source Data'!$B$2:$B$1602,$A140,'Source Data'!$F$2:$F$1602,"&lt;&gt;")=0,"",AVERAGEIF('Source Data'!$B$2:$B$1602,$A140,'Source Data'!$F$2:$F$1602))</f>
        <v/>
      </c>
      <c r="M140" s="6" t="str">
        <f aca="false">IF(COUNTIFS('Source Data'!$B$2:$B$1602,$A140,'Source Data'!$F$2:$F$1602,"&lt;&gt;")=0,"",_xlfn.MINIFS('Source Data'!$F$2:$F$1602,'Source Data'!$B$2:$B$1602,$A140))</f>
        <v/>
      </c>
      <c r="N140" s="6" t="str">
        <f aca="false">IF(COUNTIFS('Source Data'!$B$2:$B$1602,$A140,'Source Data'!$F$2:$F$1602,"&lt;&gt;")=0,"",_xlfn.MAXIFS('Source Data'!$F$2:$F$1602,'Source Data'!$B$2:$B$1602,$A140))</f>
        <v/>
      </c>
    </row>
    <row r="141" customFormat="false" ht="15" hidden="false" customHeight="false" outlineLevel="0" collapsed="false">
      <c r="A141" s="5" t="s">
        <v>292</v>
      </c>
      <c r="B141" s="7" t="n">
        <f aca="false">COUNTIF('Source Data'!$B$2:$B$1602,$A141)</f>
        <v>8</v>
      </c>
      <c r="C141" s="6" t="n">
        <f aca="false">IF(COUNTIFS('Source Data'!$B$2:$B$1602,$A141,'Source Data'!$C$2:$C$1602,"&lt;&gt;")=0,"",AVERAGEIF('Source Data'!$B$2:$B$1602,$A141,'Source Data'!$C$2:$C$1602))</f>
        <v>14.9375</v>
      </c>
      <c r="D141" s="6" t="n">
        <f aca="false">IF(COUNTIFS('Source Data'!$B$2:$B$1602,$A141,'Source Data'!$C$2:$C$1602,"&lt;&gt;")=0,"",_xlfn.MINIFS('Source Data'!$C$2:$C$1602,'Source Data'!$B$2:$B$1602,$A141))</f>
        <v>6</v>
      </c>
      <c r="E141" s="6" t="n">
        <f aca="false">IF(COUNTIFS('Source Data'!$B$2:$B$1602,$A141,'Source Data'!$C$2:$C$1602,"&lt;&gt;")=0,"",_xlfn.MAXIFS('Source Data'!$C$2:$C$1602,'Source Data'!$B$2:$B$1602,$A141))</f>
        <v>39</v>
      </c>
      <c r="F141" s="6" t="n">
        <f aca="false">IF(COUNTIFS('Source Data'!$B$2:$B$1602,$A141,'Source Data'!$D$2:$D$1602,"&lt;&gt;")=0,"",AVERAGEIF('Source Data'!$B$2:$B$1602,$A141,'Source Data'!$D$2:$D$1602))</f>
        <v>8.8125</v>
      </c>
      <c r="G141" s="6" t="n">
        <f aca="false">IF(COUNTIFS('Source Data'!$B$2:$B$1602,$A141,'Source Data'!$D$2:$D$1602,"&lt;&gt;")=0,"",_xlfn.MINIFS('Source Data'!$D$2:$D$1602,'Source Data'!$B$2:$B$1602,$A141))</f>
        <v>0</v>
      </c>
      <c r="H141" s="6" t="n">
        <f aca="false">IF(COUNTIFS('Source Data'!$B$2:$B$1602,$A141,'Source Data'!$D$2:$D$1602,"&lt;&gt;")=0,"",_xlfn.MAXIFS('Source Data'!$D$2:$D$1602,'Source Data'!$B$2:$B$1602,$A141))</f>
        <v>52</v>
      </c>
      <c r="I141" s="6" t="n">
        <f aca="false">IF(COUNTIFS('Source Data'!$B$2:$B$1602,$A141,'Source Data'!$E$2:$E$1602,"&lt;&gt;")=0,"",AVERAGEIF('Source Data'!$B$2:$B$1602,$A141,'Source Data'!$E$2:$E$1602))</f>
        <v>2.5</v>
      </c>
      <c r="J141" s="6" t="n">
        <f aca="false">IF(COUNTIFS('Source Data'!$B$2:$B$1602,$A141,'Source Data'!$E$2:$E$1602,"&lt;&gt;")=0,"",_xlfn.MINIFS('Source Data'!$E$2:$E$1602,'Source Data'!$B$2:$B$1602,$A141))</f>
        <v>1</v>
      </c>
      <c r="K141" s="6" t="n">
        <f aca="false">IF(COUNTIFS('Source Data'!$B$2:$B$1602,$A141,'Source Data'!$E$2:$E$1602,"&lt;&gt;")=0,"",_xlfn.MAXIFS('Source Data'!$E$2:$E$1602,'Source Data'!$B$2:$B$1602,$A141))</f>
        <v>4</v>
      </c>
      <c r="L141" s="6" t="str">
        <f aca="false">IF(COUNTIFS('Source Data'!$B$2:$B$1602,$A141,'Source Data'!$F$2:$F$1602,"&lt;&gt;")=0,"",AVERAGEIF('Source Data'!$B$2:$B$1602,$A141,'Source Data'!$F$2:$F$1602))</f>
        <v/>
      </c>
      <c r="M141" s="6" t="str">
        <f aca="false">IF(COUNTIFS('Source Data'!$B$2:$B$1602,$A141,'Source Data'!$F$2:$F$1602,"&lt;&gt;")=0,"",_xlfn.MINIFS('Source Data'!$F$2:$F$1602,'Source Data'!$B$2:$B$1602,$A141))</f>
        <v/>
      </c>
      <c r="N141" s="6" t="str">
        <f aca="false">IF(COUNTIFS('Source Data'!$B$2:$B$1602,$A141,'Source Data'!$F$2:$F$1602,"&lt;&gt;")=0,"",_xlfn.MAXIFS('Source Data'!$F$2:$F$1602,'Source Data'!$B$2:$B$1602,$A141))</f>
        <v/>
      </c>
    </row>
    <row r="142" customFormat="false" ht="15" hidden="false" customHeight="false" outlineLevel="0" collapsed="false">
      <c r="A142" s="5" t="s">
        <v>70</v>
      </c>
      <c r="B142" s="7" t="n">
        <f aca="false">COUNTIF('Source Data'!$B$2:$B$1602,$A142)</f>
        <v>2</v>
      </c>
      <c r="C142" s="6" t="n">
        <f aca="false">IF(COUNTIFS('Source Data'!$B$2:$B$1602,$A142,'Source Data'!$C$2:$C$1602,"&lt;&gt;")=0,"",AVERAGEIF('Source Data'!$B$2:$B$1602,$A142,'Source Data'!$C$2:$C$1602))</f>
        <v>6</v>
      </c>
      <c r="D142" s="6" t="n">
        <f aca="false">IF(COUNTIFS('Source Data'!$B$2:$B$1602,$A142,'Source Data'!$C$2:$C$1602,"&lt;&gt;")=0,"",_xlfn.MINIFS('Source Data'!$C$2:$C$1602,'Source Data'!$B$2:$B$1602,$A142))</f>
        <v>6</v>
      </c>
      <c r="E142" s="6" t="n">
        <f aca="false">IF(COUNTIFS('Source Data'!$B$2:$B$1602,$A142,'Source Data'!$C$2:$C$1602,"&lt;&gt;")=0,"",_xlfn.MAXIFS('Source Data'!$C$2:$C$1602,'Source Data'!$B$2:$B$1602,$A142))</f>
        <v>6</v>
      </c>
      <c r="F142" s="6" t="n">
        <f aca="false">IF(COUNTIFS('Source Data'!$B$2:$B$1602,$A142,'Source Data'!$D$2:$D$1602,"&lt;&gt;")=0,"",AVERAGEIF('Source Data'!$B$2:$B$1602,$A142,'Source Data'!$D$2:$D$1602))</f>
        <v>3</v>
      </c>
      <c r="G142" s="6" t="n">
        <f aca="false">IF(COUNTIFS('Source Data'!$B$2:$B$1602,$A142,'Source Data'!$D$2:$D$1602,"&lt;&gt;")=0,"",_xlfn.MINIFS('Source Data'!$D$2:$D$1602,'Source Data'!$B$2:$B$1602,$A142))</f>
        <v>0</v>
      </c>
      <c r="H142" s="6" t="n">
        <f aca="false">IF(COUNTIFS('Source Data'!$B$2:$B$1602,$A142,'Source Data'!$D$2:$D$1602,"&lt;&gt;")=0,"",_xlfn.MAXIFS('Source Data'!$D$2:$D$1602,'Source Data'!$B$2:$B$1602,$A142))</f>
        <v>6</v>
      </c>
      <c r="I142" s="6" t="n">
        <f aca="false">IF(COUNTIFS('Source Data'!$B$2:$B$1602,$A142,'Source Data'!$E$2:$E$1602,"&lt;&gt;")=0,"",AVERAGEIF('Source Data'!$B$2:$B$1602,$A142,'Source Data'!$E$2:$E$1602))</f>
        <v>6</v>
      </c>
      <c r="J142" s="6" t="n">
        <f aca="false">IF(COUNTIFS('Source Data'!$B$2:$B$1602,$A142,'Source Data'!$E$2:$E$1602,"&lt;&gt;")=0,"",_xlfn.MINIFS('Source Data'!$E$2:$E$1602,'Source Data'!$B$2:$B$1602,$A142))</f>
        <v>6</v>
      </c>
      <c r="K142" s="6" t="n">
        <f aca="false">IF(COUNTIFS('Source Data'!$B$2:$B$1602,$A142,'Source Data'!$E$2:$E$1602,"&lt;&gt;")=0,"",_xlfn.MAXIFS('Source Data'!$E$2:$E$1602,'Source Data'!$B$2:$B$1602,$A142))</f>
        <v>6</v>
      </c>
      <c r="L142" s="6" t="n">
        <f aca="false">IF(COUNTIFS('Source Data'!$B$2:$B$1602,$A142,'Source Data'!$F$2:$F$1602,"&lt;&gt;")=0,"",AVERAGEIF('Source Data'!$B$2:$B$1602,$A142,'Source Data'!$F$2:$F$1602))</f>
        <v>3</v>
      </c>
      <c r="M142" s="6" t="n">
        <f aca="false">IF(COUNTIFS('Source Data'!$B$2:$B$1602,$A142,'Source Data'!$F$2:$F$1602,"&lt;&gt;")=0,"",_xlfn.MINIFS('Source Data'!$F$2:$F$1602,'Source Data'!$B$2:$B$1602,$A142))</f>
        <v>3</v>
      </c>
      <c r="N142" s="6" t="n">
        <f aca="false">IF(COUNTIFS('Source Data'!$B$2:$B$1602,$A142,'Source Data'!$F$2:$F$1602,"&lt;&gt;")=0,"",_xlfn.MAXIFS('Source Data'!$F$2:$F$1602,'Source Data'!$B$2:$B$1602,$A142))</f>
        <v>3</v>
      </c>
    </row>
    <row r="143" customFormat="false" ht="15" hidden="false" customHeight="false" outlineLevel="0" collapsed="false">
      <c r="A143" s="5" t="s">
        <v>1329</v>
      </c>
      <c r="B143" s="7" t="n">
        <f aca="false">COUNTIF('Source Data'!$B$2:$B$1602,$A143)</f>
        <v>4</v>
      </c>
      <c r="C143" s="6" t="n">
        <f aca="false">IF(COUNTIFS('Source Data'!$B$2:$B$1602,$A143,'Source Data'!$C$2:$C$1602,"&lt;&gt;")=0,"",AVERAGEIF('Source Data'!$B$2:$B$1602,$A143,'Source Data'!$C$2:$C$1602))</f>
        <v>11.25</v>
      </c>
      <c r="D143" s="6" t="n">
        <f aca="false">IF(COUNTIFS('Source Data'!$B$2:$B$1602,$A143,'Source Data'!$C$2:$C$1602,"&lt;&gt;")=0,"",_xlfn.MINIFS('Source Data'!$C$2:$C$1602,'Source Data'!$B$2:$B$1602,$A143))</f>
        <v>4</v>
      </c>
      <c r="E143" s="6" t="n">
        <f aca="false">IF(COUNTIFS('Source Data'!$B$2:$B$1602,$A143,'Source Data'!$C$2:$C$1602,"&lt;&gt;")=0,"",_xlfn.MAXIFS('Source Data'!$C$2:$C$1602,'Source Data'!$B$2:$B$1602,$A143))</f>
        <v>16</v>
      </c>
      <c r="F143" s="6" t="n">
        <f aca="false">IF(COUNTIFS('Source Data'!$B$2:$B$1602,$A143,'Source Data'!$D$2:$D$1602,"&lt;&gt;")=0,"",AVERAGEIF('Source Data'!$B$2:$B$1602,$A143,'Source Data'!$D$2:$D$1602))</f>
        <v>17.25</v>
      </c>
      <c r="G143" s="6" t="n">
        <f aca="false">IF(COUNTIFS('Source Data'!$B$2:$B$1602,$A143,'Source Data'!$D$2:$D$1602,"&lt;&gt;")=0,"",_xlfn.MINIFS('Source Data'!$D$2:$D$1602,'Source Data'!$B$2:$B$1602,$A143))</f>
        <v>0</v>
      </c>
      <c r="H143" s="6" t="n">
        <f aca="false">IF(COUNTIFS('Source Data'!$B$2:$B$1602,$A143,'Source Data'!$D$2:$D$1602,"&lt;&gt;")=0,"",_xlfn.MAXIFS('Source Data'!$D$2:$D$1602,'Source Data'!$B$2:$B$1602,$A143))</f>
        <v>52</v>
      </c>
      <c r="I143" s="6" t="str">
        <f aca="false">IF(COUNTIFS('Source Data'!$B$2:$B$1602,$A143,'Source Data'!$E$2:$E$1602,"&lt;&gt;")=0,"",AVERAGEIF('Source Data'!$B$2:$B$1602,$A143,'Source Data'!$E$2:$E$1602))</f>
        <v/>
      </c>
      <c r="J143" s="6" t="str">
        <f aca="false">IF(COUNTIFS('Source Data'!$B$2:$B$1602,$A143,'Source Data'!$E$2:$E$1602,"&lt;&gt;")=0,"",_xlfn.MINIFS('Source Data'!$E$2:$E$1602,'Source Data'!$B$2:$B$1602,$A143))</f>
        <v/>
      </c>
      <c r="K143" s="6" t="str">
        <f aca="false">IF(COUNTIFS('Source Data'!$B$2:$B$1602,$A143,'Source Data'!$E$2:$E$1602,"&lt;&gt;")=0,"",_xlfn.MAXIFS('Source Data'!$E$2:$E$1602,'Source Data'!$B$2:$B$1602,$A143))</f>
        <v/>
      </c>
      <c r="L143" s="6" t="str">
        <f aca="false">IF(COUNTIFS('Source Data'!$B$2:$B$1602,$A143,'Source Data'!$F$2:$F$1602,"&lt;&gt;")=0,"",AVERAGEIF('Source Data'!$B$2:$B$1602,$A143,'Source Data'!$F$2:$F$1602))</f>
        <v/>
      </c>
      <c r="M143" s="6" t="str">
        <f aca="false">IF(COUNTIFS('Source Data'!$B$2:$B$1602,$A143,'Source Data'!$F$2:$F$1602,"&lt;&gt;")=0,"",_xlfn.MINIFS('Source Data'!$F$2:$F$1602,'Source Data'!$B$2:$B$1602,$A143))</f>
        <v/>
      </c>
      <c r="N143" s="6" t="str">
        <f aca="false">IF(COUNTIFS('Source Data'!$B$2:$B$1602,$A143,'Source Data'!$F$2:$F$1602,"&lt;&gt;")=0,"",_xlfn.MAXIFS('Source Data'!$F$2:$F$1602,'Source Data'!$B$2:$B$1602,$A143))</f>
        <v/>
      </c>
    </row>
    <row r="144" customFormat="false" ht="15" hidden="false" customHeight="false" outlineLevel="0" collapsed="false">
      <c r="A144" s="5" t="s">
        <v>72</v>
      </c>
      <c r="B144" s="7" t="n">
        <f aca="false">COUNTIF('Source Data'!$B$2:$B$1602,$A144)</f>
        <v>7</v>
      </c>
      <c r="C144" s="6" t="n">
        <f aca="false">IF(COUNTIFS('Source Data'!$B$2:$B$1602,$A144,'Source Data'!$C$2:$C$1602,"&lt;&gt;")=0,"",AVERAGEIF('Source Data'!$B$2:$B$1602,$A144,'Source Data'!$C$2:$C$1602))</f>
        <v>8.28571428571429</v>
      </c>
      <c r="D144" s="6" t="n">
        <f aca="false">IF(COUNTIFS('Source Data'!$B$2:$B$1602,$A144,'Source Data'!$C$2:$C$1602,"&lt;&gt;")=0,"",_xlfn.MINIFS('Source Data'!$C$2:$C$1602,'Source Data'!$B$2:$B$1602,$A144))</f>
        <v>4</v>
      </c>
      <c r="E144" s="6" t="n">
        <f aca="false">IF(COUNTIFS('Source Data'!$B$2:$B$1602,$A144,'Source Data'!$C$2:$C$1602,"&lt;&gt;")=0,"",_xlfn.MAXIFS('Source Data'!$C$2:$C$1602,'Source Data'!$B$2:$B$1602,$A144))</f>
        <v>12</v>
      </c>
      <c r="F144" s="6" t="n">
        <f aca="false">IF(COUNTIFS('Source Data'!$B$2:$B$1602,$A144,'Source Data'!$D$2:$D$1602,"&lt;&gt;")=0,"",AVERAGEIF('Source Data'!$B$2:$B$1602,$A144,'Source Data'!$D$2:$D$1602))</f>
        <v>3.83333333333333</v>
      </c>
      <c r="G144" s="6" t="n">
        <f aca="false">IF(COUNTIFS('Source Data'!$B$2:$B$1602,$A144,'Source Data'!$D$2:$D$1602,"&lt;&gt;")=0,"",_xlfn.MINIFS('Source Data'!$D$2:$D$1602,'Source Data'!$B$2:$B$1602,$A144))</f>
        <v>0</v>
      </c>
      <c r="H144" s="6" t="n">
        <f aca="false">IF(COUNTIFS('Source Data'!$B$2:$B$1602,$A144,'Source Data'!$D$2:$D$1602,"&lt;&gt;")=0,"",_xlfn.MAXIFS('Source Data'!$D$2:$D$1602,'Source Data'!$B$2:$B$1602,$A144))</f>
        <v>12</v>
      </c>
      <c r="I144" s="6" t="n">
        <f aca="false">IF(COUNTIFS('Source Data'!$B$2:$B$1602,$A144,'Source Data'!$E$2:$E$1602,"&lt;&gt;")=0,"",AVERAGEIF('Source Data'!$B$2:$B$1602,$A144,'Source Data'!$E$2:$E$1602))</f>
        <v>6</v>
      </c>
      <c r="J144" s="6" t="n">
        <f aca="false">IF(COUNTIFS('Source Data'!$B$2:$B$1602,$A144,'Source Data'!$E$2:$E$1602,"&lt;&gt;")=0,"",_xlfn.MINIFS('Source Data'!$E$2:$E$1602,'Source Data'!$B$2:$B$1602,$A144))</f>
        <v>6</v>
      </c>
      <c r="K144" s="6" t="n">
        <f aca="false">IF(COUNTIFS('Source Data'!$B$2:$B$1602,$A144,'Source Data'!$E$2:$E$1602,"&lt;&gt;")=0,"",_xlfn.MAXIFS('Source Data'!$E$2:$E$1602,'Source Data'!$B$2:$B$1602,$A144))</f>
        <v>6</v>
      </c>
      <c r="L144" s="6" t="n">
        <f aca="false">IF(COUNTIFS('Source Data'!$B$2:$B$1602,$A144,'Source Data'!$F$2:$F$1602,"&lt;&gt;")=0,"",AVERAGEIF('Source Data'!$B$2:$B$1602,$A144,'Source Data'!$F$2:$F$1602))</f>
        <v>6</v>
      </c>
      <c r="M144" s="6" t="n">
        <f aca="false">IF(COUNTIFS('Source Data'!$B$2:$B$1602,$A144,'Source Data'!$F$2:$F$1602,"&lt;&gt;")=0,"",_xlfn.MINIFS('Source Data'!$F$2:$F$1602,'Source Data'!$B$2:$B$1602,$A144))</f>
        <v>6</v>
      </c>
      <c r="N144" s="6" t="n">
        <f aca="false">IF(COUNTIFS('Source Data'!$B$2:$B$1602,$A144,'Source Data'!$F$2:$F$1602,"&lt;&gt;")=0,"",_xlfn.MAXIFS('Source Data'!$F$2:$F$1602,'Source Data'!$B$2:$B$1602,$A144))</f>
        <v>6</v>
      </c>
    </row>
    <row r="145" customFormat="false" ht="15" hidden="false" customHeight="false" outlineLevel="0" collapsed="false">
      <c r="A145" s="5" t="s">
        <v>1339</v>
      </c>
      <c r="B145" s="7" t="n">
        <f aca="false">COUNTIF('Source Data'!$B$2:$B$1602,$A145)</f>
        <v>1</v>
      </c>
      <c r="C145" s="6" t="n">
        <f aca="false">IF(COUNTIFS('Source Data'!$B$2:$B$1602,$A145,'Source Data'!$C$2:$C$1602,"&lt;&gt;")=0,"",AVERAGEIF('Source Data'!$B$2:$B$1602,$A145,'Source Data'!$C$2:$C$1602))</f>
        <v>12</v>
      </c>
      <c r="D145" s="6" t="n">
        <f aca="false">IF(COUNTIFS('Source Data'!$B$2:$B$1602,$A145,'Source Data'!$C$2:$C$1602,"&lt;&gt;")=0,"",_xlfn.MINIFS('Source Data'!$C$2:$C$1602,'Source Data'!$B$2:$B$1602,$A145))</f>
        <v>12</v>
      </c>
      <c r="E145" s="6" t="n">
        <f aca="false">IF(COUNTIFS('Source Data'!$B$2:$B$1602,$A145,'Source Data'!$C$2:$C$1602,"&lt;&gt;")=0,"",_xlfn.MAXIFS('Source Data'!$C$2:$C$1602,'Source Data'!$B$2:$B$1602,$A145))</f>
        <v>12</v>
      </c>
      <c r="F145" s="6" t="n">
        <f aca="false">IF(COUNTIFS('Source Data'!$B$2:$B$1602,$A145,'Source Data'!$D$2:$D$1602,"&lt;&gt;")=0,"",AVERAGEIF('Source Data'!$B$2:$B$1602,$A145,'Source Data'!$D$2:$D$1602))</f>
        <v>24</v>
      </c>
      <c r="G145" s="6" t="n">
        <f aca="false">IF(COUNTIFS('Source Data'!$B$2:$B$1602,$A145,'Source Data'!$D$2:$D$1602,"&lt;&gt;")=0,"",_xlfn.MINIFS('Source Data'!$D$2:$D$1602,'Source Data'!$B$2:$B$1602,$A145))</f>
        <v>24</v>
      </c>
      <c r="H145" s="6" t="n">
        <f aca="false">IF(COUNTIFS('Source Data'!$B$2:$B$1602,$A145,'Source Data'!$D$2:$D$1602,"&lt;&gt;")=0,"",_xlfn.MAXIFS('Source Data'!$D$2:$D$1602,'Source Data'!$B$2:$B$1602,$A145))</f>
        <v>24</v>
      </c>
      <c r="I145" s="6" t="str">
        <f aca="false">IF(COUNTIFS('Source Data'!$B$2:$B$1602,$A145,'Source Data'!$E$2:$E$1602,"&lt;&gt;")=0,"",AVERAGEIF('Source Data'!$B$2:$B$1602,$A145,'Source Data'!$E$2:$E$1602))</f>
        <v/>
      </c>
      <c r="J145" s="6" t="str">
        <f aca="false">IF(COUNTIFS('Source Data'!$B$2:$B$1602,$A145,'Source Data'!$E$2:$E$1602,"&lt;&gt;")=0,"",_xlfn.MINIFS('Source Data'!$E$2:$E$1602,'Source Data'!$B$2:$B$1602,$A145))</f>
        <v/>
      </c>
      <c r="K145" s="6" t="str">
        <f aca="false">IF(COUNTIFS('Source Data'!$B$2:$B$1602,$A145,'Source Data'!$E$2:$E$1602,"&lt;&gt;")=0,"",_xlfn.MAXIFS('Source Data'!$E$2:$E$1602,'Source Data'!$B$2:$B$1602,$A145))</f>
        <v/>
      </c>
      <c r="L145" s="6" t="str">
        <f aca="false">IF(COUNTIFS('Source Data'!$B$2:$B$1602,$A145,'Source Data'!$F$2:$F$1602,"&lt;&gt;")=0,"",AVERAGEIF('Source Data'!$B$2:$B$1602,$A145,'Source Data'!$F$2:$F$1602))</f>
        <v/>
      </c>
      <c r="M145" s="6" t="str">
        <f aca="false">IF(COUNTIFS('Source Data'!$B$2:$B$1602,$A145,'Source Data'!$F$2:$F$1602,"&lt;&gt;")=0,"",_xlfn.MINIFS('Source Data'!$F$2:$F$1602,'Source Data'!$B$2:$B$1602,$A145))</f>
        <v/>
      </c>
      <c r="N145" s="6" t="str">
        <f aca="false">IF(COUNTIFS('Source Data'!$B$2:$B$1602,$A145,'Source Data'!$F$2:$F$1602,"&lt;&gt;")=0,"",_xlfn.MAXIFS('Source Data'!$F$2:$F$1602,'Source Data'!$B$2:$B$1602,$A145))</f>
        <v/>
      </c>
    </row>
    <row r="146" customFormat="false" ht="15" hidden="false" customHeight="false" outlineLevel="0" collapsed="false">
      <c r="A146" s="5" t="s">
        <v>1341</v>
      </c>
      <c r="B146" s="7" t="n">
        <f aca="false">COUNTIF('Source Data'!$B$2:$B$1602,$A146)</f>
        <v>2</v>
      </c>
      <c r="C146" s="6" t="n">
        <f aca="false">IF(COUNTIFS('Source Data'!$B$2:$B$1602,$A146,'Source Data'!$C$2:$C$1602,"&lt;&gt;")=0,"",AVERAGEIF('Source Data'!$B$2:$B$1602,$A146,'Source Data'!$C$2:$C$1602))</f>
        <v>6</v>
      </c>
      <c r="D146" s="6" t="n">
        <f aca="false">IF(COUNTIFS('Source Data'!$B$2:$B$1602,$A146,'Source Data'!$C$2:$C$1602,"&lt;&gt;")=0,"",_xlfn.MINIFS('Source Data'!$C$2:$C$1602,'Source Data'!$B$2:$B$1602,$A146))</f>
        <v>4</v>
      </c>
      <c r="E146" s="6" t="n">
        <f aca="false">IF(COUNTIFS('Source Data'!$B$2:$B$1602,$A146,'Source Data'!$C$2:$C$1602,"&lt;&gt;")=0,"",_xlfn.MAXIFS('Source Data'!$C$2:$C$1602,'Source Data'!$B$2:$B$1602,$A146))</f>
        <v>8</v>
      </c>
      <c r="F146" s="6" t="n">
        <f aca="false">IF(COUNTIFS('Source Data'!$B$2:$B$1602,$A146,'Source Data'!$D$2:$D$1602,"&lt;&gt;")=0,"",AVERAGEIF('Source Data'!$B$2:$B$1602,$A146,'Source Data'!$D$2:$D$1602))</f>
        <v>3</v>
      </c>
      <c r="G146" s="6" t="n">
        <f aca="false">IF(COUNTIFS('Source Data'!$B$2:$B$1602,$A146,'Source Data'!$D$2:$D$1602,"&lt;&gt;")=0,"",_xlfn.MINIFS('Source Data'!$D$2:$D$1602,'Source Data'!$B$2:$B$1602,$A146))</f>
        <v>2</v>
      </c>
      <c r="H146" s="6" t="n">
        <f aca="false">IF(COUNTIFS('Source Data'!$B$2:$B$1602,$A146,'Source Data'!$D$2:$D$1602,"&lt;&gt;")=0,"",_xlfn.MAXIFS('Source Data'!$D$2:$D$1602,'Source Data'!$B$2:$B$1602,$A146))</f>
        <v>4</v>
      </c>
      <c r="I146" s="6" t="str">
        <f aca="false">IF(COUNTIFS('Source Data'!$B$2:$B$1602,$A146,'Source Data'!$E$2:$E$1602,"&lt;&gt;")=0,"",AVERAGEIF('Source Data'!$B$2:$B$1602,$A146,'Source Data'!$E$2:$E$1602))</f>
        <v/>
      </c>
      <c r="J146" s="6" t="str">
        <f aca="false">IF(COUNTIFS('Source Data'!$B$2:$B$1602,$A146,'Source Data'!$E$2:$E$1602,"&lt;&gt;")=0,"",_xlfn.MINIFS('Source Data'!$E$2:$E$1602,'Source Data'!$B$2:$B$1602,$A146))</f>
        <v/>
      </c>
      <c r="K146" s="6" t="str">
        <f aca="false">IF(COUNTIFS('Source Data'!$B$2:$B$1602,$A146,'Source Data'!$E$2:$E$1602,"&lt;&gt;")=0,"",_xlfn.MAXIFS('Source Data'!$E$2:$E$1602,'Source Data'!$B$2:$B$1602,$A146))</f>
        <v/>
      </c>
      <c r="L146" s="6" t="str">
        <f aca="false">IF(COUNTIFS('Source Data'!$B$2:$B$1602,$A146,'Source Data'!$F$2:$F$1602,"&lt;&gt;")=0,"",AVERAGEIF('Source Data'!$B$2:$B$1602,$A146,'Source Data'!$F$2:$F$1602))</f>
        <v/>
      </c>
      <c r="M146" s="6" t="str">
        <f aca="false">IF(COUNTIFS('Source Data'!$B$2:$B$1602,$A146,'Source Data'!$F$2:$F$1602,"&lt;&gt;")=0,"",_xlfn.MINIFS('Source Data'!$F$2:$F$1602,'Source Data'!$B$2:$B$1602,$A146))</f>
        <v/>
      </c>
      <c r="N146" s="6" t="str">
        <f aca="false">IF(COUNTIFS('Source Data'!$B$2:$B$1602,$A146,'Source Data'!$F$2:$F$1602,"&lt;&gt;")=0,"",_xlfn.MAXIFS('Source Data'!$F$2:$F$1602,'Source Data'!$B$2:$B$1602,$A146))</f>
        <v/>
      </c>
    </row>
    <row r="147" customFormat="false" ht="15" hidden="false" customHeight="false" outlineLevel="0" collapsed="false">
      <c r="A147" s="5" t="s">
        <v>1344</v>
      </c>
      <c r="B147" s="7" t="n">
        <f aca="false">COUNTIF('Source Data'!$B$2:$B$1602,$A147)</f>
        <v>1</v>
      </c>
      <c r="C147" s="6" t="n">
        <f aca="false">IF(COUNTIFS('Source Data'!$B$2:$B$1602,$A147,'Source Data'!$C$2:$C$1602,"&lt;&gt;")=0,"",AVERAGEIF('Source Data'!$B$2:$B$1602,$A147,'Source Data'!$C$2:$C$1602))</f>
        <v>4</v>
      </c>
      <c r="D147" s="6" t="n">
        <f aca="false">IF(COUNTIFS('Source Data'!$B$2:$B$1602,$A147,'Source Data'!$C$2:$C$1602,"&lt;&gt;")=0,"",_xlfn.MINIFS('Source Data'!$C$2:$C$1602,'Source Data'!$B$2:$B$1602,$A147))</f>
        <v>4</v>
      </c>
      <c r="E147" s="6" t="n">
        <f aca="false">IF(COUNTIFS('Source Data'!$B$2:$B$1602,$A147,'Source Data'!$C$2:$C$1602,"&lt;&gt;")=0,"",_xlfn.MAXIFS('Source Data'!$C$2:$C$1602,'Source Data'!$B$2:$B$1602,$A147))</f>
        <v>4</v>
      </c>
      <c r="F147" s="6" t="n">
        <f aca="false">IF(COUNTIFS('Source Data'!$B$2:$B$1602,$A147,'Source Data'!$D$2:$D$1602,"&lt;&gt;")=0,"",AVERAGEIF('Source Data'!$B$2:$B$1602,$A147,'Source Data'!$D$2:$D$1602))</f>
        <v>12</v>
      </c>
      <c r="G147" s="6" t="n">
        <f aca="false">IF(COUNTIFS('Source Data'!$B$2:$B$1602,$A147,'Source Data'!$D$2:$D$1602,"&lt;&gt;")=0,"",_xlfn.MINIFS('Source Data'!$D$2:$D$1602,'Source Data'!$B$2:$B$1602,$A147))</f>
        <v>12</v>
      </c>
      <c r="H147" s="6" t="n">
        <f aca="false">IF(COUNTIFS('Source Data'!$B$2:$B$1602,$A147,'Source Data'!$D$2:$D$1602,"&lt;&gt;")=0,"",_xlfn.MAXIFS('Source Data'!$D$2:$D$1602,'Source Data'!$B$2:$B$1602,$A147))</f>
        <v>12</v>
      </c>
      <c r="I147" s="6" t="str">
        <f aca="false">IF(COUNTIFS('Source Data'!$B$2:$B$1602,$A147,'Source Data'!$E$2:$E$1602,"&lt;&gt;")=0,"",AVERAGEIF('Source Data'!$B$2:$B$1602,$A147,'Source Data'!$E$2:$E$1602))</f>
        <v/>
      </c>
      <c r="J147" s="6" t="str">
        <f aca="false">IF(COUNTIFS('Source Data'!$B$2:$B$1602,$A147,'Source Data'!$E$2:$E$1602,"&lt;&gt;")=0,"",_xlfn.MINIFS('Source Data'!$E$2:$E$1602,'Source Data'!$B$2:$B$1602,$A147))</f>
        <v/>
      </c>
      <c r="K147" s="6" t="str">
        <f aca="false">IF(COUNTIFS('Source Data'!$B$2:$B$1602,$A147,'Source Data'!$E$2:$E$1602,"&lt;&gt;")=0,"",_xlfn.MAXIFS('Source Data'!$E$2:$E$1602,'Source Data'!$B$2:$B$1602,$A147))</f>
        <v/>
      </c>
      <c r="L147" s="6" t="str">
        <f aca="false">IF(COUNTIFS('Source Data'!$B$2:$B$1602,$A147,'Source Data'!$F$2:$F$1602,"&lt;&gt;")=0,"",AVERAGEIF('Source Data'!$B$2:$B$1602,$A147,'Source Data'!$F$2:$F$1602))</f>
        <v/>
      </c>
      <c r="M147" s="6" t="str">
        <f aca="false">IF(COUNTIFS('Source Data'!$B$2:$B$1602,$A147,'Source Data'!$F$2:$F$1602,"&lt;&gt;")=0,"",_xlfn.MINIFS('Source Data'!$F$2:$F$1602,'Source Data'!$B$2:$B$1602,$A147))</f>
        <v/>
      </c>
      <c r="N147" s="6" t="str">
        <f aca="false">IF(COUNTIFS('Source Data'!$B$2:$B$1602,$A147,'Source Data'!$F$2:$F$1602,"&lt;&gt;")=0,"",_xlfn.MAXIFS('Source Data'!$F$2:$F$1602,'Source Data'!$B$2:$B$1602,$A147))</f>
        <v/>
      </c>
    </row>
    <row r="148" customFormat="false" ht="15" hidden="false" customHeight="false" outlineLevel="0" collapsed="false">
      <c r="A148" s="5" t="s">
        <v>295</v>
      </c>
      <c r="B148" s="7" t="n">
        <f aca="false">COUNTIF('Source Data'!$B$2:$B$1602,$A148)</f>
        <v>2</v>
      </c>
      <c r="C148" s="6" t="n">
        <f aca="false">IF(COUNTIFS('Source Data'!$B$2:$B$1602,$A148,'Source Data'!$C$2:$C$1602,"&lt;&gt;")=0,"",AVERAGEIF('Source Data'!$B$2:$B$1602,$A148,'Source Data'!$C$2:$C$1602))</f>
        <v>17</v>
      </c>
      <c r="D148" s="6" t="n">
        <f aca="false">IF(COUNTIFS('Source Data'!$B$2:$B$1602,$A148,'Source Data'!$C$2:$C$1602,"&lt;&gt;")=0,"",_xlfn.MINIFS('Source Data'!$C$2:$C$1602,'Source Data'!$B$2:$B$1602,$A148))</f>
        <v>14</v>
      </c>
      <c r="E148" s="6" t="n">
        <f aca="false">IF(COUNTIFS('Source Data'!$B$2:$B$1602,$A148,'Source Data'!$C$2:$C$1602,"&lt;&gt;")=0,"",_xlfn.MAXIFS('Source Data'!$C$2:$C$1602,'Source Data'!$B$2:$B$1602,$A148))</f>
        <v>20</v>
      </c>
      <c r="F148" s="6" t="n">
        <f aca="false">IF(COUNTIFS('Source Data'!$B$2:$B$1602,$A148,'Source Data'!$D$2:$D$1602,"&lt;&gt;")=0,"",AVERAGEIF('Source Data'!$B$2:$B$1602,$A148,'Source Data'!$D$2:$D$1602))</f>
        <v>19</v>
      </c>
      <c r="G148" s="6" t="n">
        <f aca="false">IF(COUNTIFS('Source Data'!$B$2:$B$1602,$A148,'Source Data'!$D$2:$D$1602,"&lt;&gt;")=0,"",_xlfn.MINIFS('Source Data'!$D$2:$D$1602,'Source Data'!$B$2:$B$1602,$A148))</f>
        <v>0</v>
      </c>
      <c r="H148" s="6" t="n">
        <f aca="false">IF(COUNTIFS('Source Data'!$B$2:$B$1602,$A148,'Source Data'!$D$2:$D$1602,"&lt;&gt;")=0,"",_xlfn.MAXIFS('Source Data'!$D$2:$D$1602,'Source Data'!$B$2:$B$1602,$A148))</f>
        <v>38</v>
      </c>
      <c r="I148" s="6" t="n">
        <f aca="false">IF(COUNTIFS('Source Data'!$B$2:$B$1602,$A148,'Source Data'!$E$2:$E$1602,"&lt;&gt;")=0,"",AVERAGEIF('Source Data'!$B$2:$B$1602,$A148,'Source Data'!$E$2:$E$1602))</f>
        <v>3</v>
      </c>
      <c r="J148" s="6" t="n">
        <f aca="false">IF(COUNTIFS('Source Data'!$B$2:$B$1602,$A148,'Source Data'!$E$2:$E$1602,"&lt;&gt;")=0,"",_xlfn.MINIFS('Source Data'!$E$2:$E$1602,'Source Data'!$B$2:$B$1602,$A148))</f>
        <v>2</v>
      </c>
      <c r="K148" s="6" t="n">
        <f aca="false">IF(COUNTIFS('Source Data'!$B$2:$B$1602,$A148,'Source Data'!$E$2:$E$1602,"&lt;&gt;")=0,"",_xlfn.MAXIFS('Source Data'!$E$2:$E$1602,'Source Data'!$B$2:$B$1602,$A148))</f>
        <v>4</v>
      </c>
      <c r="L148" s="6" t="str">
        <f aca="false">IF(COUNTIFS('Source Data'!$B$2:$B$1602,$A148,'Source Data'!$F$2:$F$1602,"&lt;&gt;")=0,"",AVERAGEIF('Source Data'!$B$2:$B$1602,$A148,'Source Data'!$F$2:$F$1602))</f>
        <v/>
      </c>
      <c r="M148" s="6" t="str">
        <f aca="false">IF(COUNTIFS('Source Data'!$B$2:$B$1602,$A148,'Source Data'!$F$2:$F$1602,"&lt;&gt;")=0,"",_xlfn.MINIFS('Source Data'!$F$2:$F$1602,'Source Data'!$B$2:$B$1602,$A148))</f>
        <v/>
      </c>
      <c r="N148" s="6" t="str">
        <f aca="false">IF(COUNTIFS('Source Data'!$B$2:$B$1602,$A148,'Source Data'!$F$2:$F$1602,"&lt;&gt;")=0,"",_xlfn.MAXIFS('Source Data'!$F$2:$F$1602,'Source Data'!$B$2:$B$1602,$A148))</f>
        <v/>
      </c>
    </row>
    <row r="149" customFormat="false" ht="15" hidden="false" customHeight="false" outlineLevel="0" collapsed="false">
      <c r="A149" s="5" t="s">
        <v>1346</v>
      </c>
      <c r="B149" s="7" t="n">
        <f aca="false">COUNTIF('Source Data'!$B$2:$B$1602,$A149)</f>
        <v>2</v>
      </c>
      <c r="C149" s="6" t="n">
        <f aca="false">IF(COUNTIFS('Source Data'!$B$2:$B$1602,$A149,'Source Data'!$C$2:$C$1602,"&lt;&gt;")=0,"",AVERAGEIF('Source Data'!$B$2:$B$1602,$A149,'Source Data'!$C$2:$C$1602))</f>
        <v>4</v>
      </c>
      <c r="D149" s="6" t="n">
        <f aca="false">IF(COUNTIFS('Source Data'!$B$2:$B$1602,$A149,'Source Data'!$C$2:$C$1602,"&lt;&gt;")=0,"",_xlfn.MINIFS('Source Data'!$C$2:$C$1602,'Source Data'!$B$2:$B$1602,$A149))</f>
        <v>0</v>
      </c>
      <c r="E149" s="6" t="n">
        <f aca="false">IF(COUNTIFS('Source Data'!$B$2:$B$1602,$A149,'Source Data'!$C$2:$C$1602,"&lt;&gt;")=0,"",_xlfn.MAXIFS('Source Data'!$C$2:$C$1602,'Source Data'!$B$2:$B$1602,$A149))</f>
        <v>8</v>
      </c>
      <c r="F149" s="6" t="n">
        <f aca="false">IF(COUNTIFS('Source Data'!$B$2:$B$1602,$A149,'Source Data'!$D$2:$D$1602,"&lt;&gt;")=0,"",AVERAGEIF('Source Data'!$B$2:$B$1602,$A149,'Source Data'!$D$2:$D$1602))</f>
        <v>6</v>
      </c>
      <c r="G149" s="6" t="n">
        <f aca="false">IF(COUNTIFS('Source Data'!$B$2:$B$1602,$A149,'Source Data'!$D$2:$D$1602,"&lt;&gt;")=0,"",_xlfn.MINIFS('Source Data'!$D$2:$D$1602,'Source Data'!$B$2:$B$1602,$A149))</f>
        <v>6</v>
      </c>
      <c r="H149" s="6" t="n">
        <f aca="false">IF(COUNTIFS('Source Data'!$B$2:$B$1602,$A149,'Source Data'!$D$2:$D$1602,"&lt;&gt;")=0,"",_xlfn.MAXIFS('Source Data'!$D$2:$D$1602,'Source Data'!$B$2:$B$1602,$A149))</f>
        <v>6</v>
      </c>
      <c r="I149" s="6" t="str">
        <f aca="false">IF(COUNTIFS('Source Data'!$B$2:$B$1602,$A149,'Source Data'!$E$2:$E$1602,"&lt;&gt;")=0,"",AVERAGEIF('Source Data'!$B$2:$B$1602,$A149,'Source Data'!$E$2:$E$1602))</f>
        <v/>
      </c>
      <c r="J149" s="6" t="str">
        <f aca="false">IF(COUNTIFS('Source Data'!$B$2:$B$1602,$A149,'Source Data'!$E$2:$E$1602,"&lt;&gt;")=0,"",_xlfn.MINIFS('Source Data'!$E$2:$E$1602,'Source Data'!$B$2:$B$1602,$A149))</f>
        <v/>
      </c>
      <c r="K149" s="6" t="str">
        <f aca="false">IF(COUNTIFS('Source Data'!$B$2:$B$1602,$A149,'Source Data'!$E$2:$E$1602,"&lt;&gt;")=0,"",_xlfn.MAXIFS('Source Data'!$E$2:$E$1602,'Source Data'!$B$2:$B$1602,$A149))</f>
        <v/>
      </c>
      <c r="L149" s="6" t="str">
        <f aca="false">IF(COUNTIFS('Source Data'!$B$2:$B$1602,$A149,'Source Data'!$F$2:$F$1602,"&lt;&gt;")=0,"",AVERAGEIF('Source Data'!$B$2:$B$1602,$A149,'Source Data'!$F$2:$F$1602))</f>
        <v/>
      </c>
      <c r="M149" s="6" t="str">
        <f aca="false">IF(COUNTIFS('Source Data'!$B$2:$B$1602,$A149,'Source Data'!$F$2:$F$1602,"&lt;&gt;")=0,"",_xlfn.MINIFS('Source Data'!$F$2:$F$1602,'Source Data'!$B$2:$B$1602,$A149))</f>
        <v/>
      </c>
      <c r="N149" s="6" t="str">
        <f aca="false">IF(COUNTIFS('Source Data'!$B$2:$B$1602,$A149,'Source Data'!$F$2:$F$1602,"&lt;&gt;")=0,"",_xlfn.MAXIFS('Source Data'!$F$2:$F$1602,'Source Data'!$B$2:$B$1602,$A149))</f>
        <v/>
      </c>
    </row>
    <row r="150" customFormat="false" ht="15" hidden="false" customHeight="false" outlineLevel="0" collapsed="false">
      <c r="A150" s="5" t="s">
        <v>1348</v>
      </c>
      <c r="B150" s="7" t="n">
        <f aca="false">COUNTIF('Source Data'!$B$2:$B$1602,$A150)</f>
        <v>2</v>
      </c>
      <c r="C150" s="6" t="n">
        <f aca="false">IF(COUNTIFS('Source Data'!$B$2:$B$1602,$A150,'Source Data'!$C$2:$C$1602,"&lt;&gt;")=0,"",AVERAGEIF('Source Data'!$B$2:$B$1602,$A150,'Source Data'!$C$2:$C$1602))</f>
        <v>8</v>
      </c>
      <c r="D150" s="6" t="n">
        <f aca="false">IF(COUNTIFS('Source Data'!$B$2:$B$1602,$A150,'Source Data'!$C$2:$C$1602,"&lt;&gt;")=0,"",_xlfn.MINIFS('Source Data'!$C$2:$C$1602,'Source Data'!$B$2:$B$1602,$A150))</f>
        <v>8</v>
      </c>
      <c r="E150" s="6" t="n">
        <f aca="false">IF(COUNTIFS('Source Data'!$B$2:$B$1602,$A150,'Source Data'!$C$2:$C$1602,"&lt;&gt;")=0,"",_xlfn.MAXIFS('Source Data'!$C$2:$C$1602,'Source Data'!$B$2:$B$1602,$A150))</f>
        <v>8</v>
      </c>
      <c r="F150" s="6" t="n">
        <f aca="false">IF(COUNTIFS('Source Data'!$B$2:$B$1602,$A150,'Source Data'!$D$2:$D$1602,"&lt;&gt;")=0,"",AVERAGEIF('Source Data'!$B$2:$B$1602,$A150,'Source Data'!$D$2:$D$1602))</f>
        <v>10</v>
      </c>
      <c r="G150" s="6" t="n">
        <f aca="false">IF(COUNTIFS('Source Data'!$B$2:$B$1602,$A150,'Source Data'!$D$2:$D$1602,"&lt;&gt;")=0,"",_xlfn.MINIFS('Source Data'!$D$2:$D$1602,'Source Data'!$B$2:$B$1602,$A150))</f>
        <v>0</v>
      </c>
      <c r="H150" s="6" t="n">
        <f aca="false">IF(COUNTIFS('Source Data'!$B$2:$B$1602,$A150,'Source Data'!$D$2:$D$1602,"&lt;&gt;")=0,"",_xlfn.MAXIFS('Source Data'!$D$2:$D$1602,'Source Data'!$B$2:$B$1602,$A150))</f>
        <v>20</v>
      </c>
      <c r="I150" s="6" t="str">
        <f aca="false">IF(COUNTIFS('Source Data'!$B$2:$B$1602,$A150,'Source Data'!$E$2:$E$1602,"&lt;&gt;")=0,"",AVERAGEIF('Source Data'!$B$2:$B$1602,$A150,'Source Data'!$E$2:$E$1602))</f>
        <v/>
      </c>
      <c r="J150" s="6" t="str">
        <f aca="false">IF(COUNTIFS('Source Data'!$B$2:$B$1602,$A150,'Source Data'!$E$2:$E$1602,"&lt;&gt;")=0,"",_xlfn.MINIFS('Source Data'!$E$2:$E$1602,'Source Data'!$B$2:$B$1602,$A150))</f>
        <v/>
      </c>
      <c r="K150" s="6" t="str">
        <f aca="false">IF(COUNTIFS('Source Data'!$B$2:$B$1602,$A150,'Source Data'!$E$2:$E$1602,"&lt;&gt;")=0,"",_xlfn.MAXIFS('Source Data'!$E$2:$E$1602,'Source Data'!$B$2:$B$1602,$A150))</f>
        <v/>
      </c>
      <c r="L150" s="6" t="str">
        <f aca="false">IF(COUNTIFS('Source Data'!$B$2:$B$1602,$A150,'Source Data'!$F$2:$F$1602,"&lt;&gt;")=0,"",AVERAGEIF('Source Data'!$B$2:$B$1602,$A150,'Source Data'!$F$2:$F$1602))</f>
        <v/>
      </c>
      <c r="M150" s="6" t="str">
        <f aca="false">IF(COUNTIFS('Source Data'!$B$2:$B$1602,$A150,'Source Data'!$F$2:$F$1602,"&lt;&gt;")=0,"",_xlfn.MINIFS('Source Data'!$F$2:$F$1602,'Source Data'!$B$2:$B$1602,$A150))</f>
        <v/>
      </c>
      <c r="N150" s="6" t="str">
        <f aca="false">IF(COUNTIFS('Source Data'!$B$2:$B$1602,$A150,'Source Data'!$F$2:$F$1602,"&lt;&gt;")=0,"",_xlfn.MAXIFS('Source Data'!$F$2:$F$1602,'Source Data'!$B$2:$B$1602,$A150))</f>
        <v/>
      </c>
    </row>
    <row r="151" customFormat="false" ht="15" hidden="false" customHeight="false" outlineLevel="0" collapsed="false">
      <c r="A151" s="5" t="s">
        <v>298</v>
      </c>
      <c r="B151" s="7" t="n">
        <f aca="false">COUNTIF('Source Data'!$B$2:$B$1602,$A151)</f>
        <v>7</v>
      </c>
      <c r="C151" s="6" t="n">
        <f aca="false">IF(COUNTIFS('Source Data'!$B$2:$B$1602,$A151,'Source Data'!$C$2:$C$1602,"&lt;&gt;")=0,"",AVERAGEIF('Source Data'!$B$2:$B$1602,$A151,'Source Data'!$C$2:$C$1602))</f>
        <v>10.2142857142857</v>
      </c>
      <c r="D151" s="6" t="n">
        <f aca="false">IF(COUNTIFS('Source Data'!$B$2:$B$1602,$A151,'Source Data'!$C$2:$C$1602,"&lt;&gt;")=0,"",_xlfn.MINIFS('Source Data'!$C$2:$C$1602,'Source Data'!$B$2:$B$1602,$A151))</f>
        <v>6</v>
      </c>
      <c r="E151" s="6" t="n">
        <f aca="false">IF(COUNTIFS('Source Data'!$B$2:$B$1602,$A151,'Source Data'!$C$2:$C$1602,"&lt;&gt;")=0,"",_xlfn.MAXIFS('Source Data'!$C$2:$C$1602,'Source Data'!$B$2:$B$1602,$A151))</f>
        <v>12</v>
      </c>
      <c r="F151" s="6" t="n">
        <f aca="false">IF(COUNTIFS('Source Data'!$B$2:$B$1602,$A151,'Source Data'!$D$2:$D$1602,"&lt;&gt;")=0,"",AVERAGEIF('Source Data'!$B$2:$B$1602,$A151,'Source Data'!$D$2:$D$1602))</f>
        <v>12.3333333333333</v>
      </c>
      <c r="G151" s="6" t="n">
        <f aca="false">IF(COUNTIFS('Source Data'!$B$2:$B$1602,$A151,'Source Data'!$D$2:$D$1602,"&lt;&gt;")=0,"",_xlfn.MINIFS('Source Data'!$D$2:$D$1602,'Source Data'!$B$2:$B$1602,$A151))</f>
        <v>0</v>
      </c>
      <c r="H151" s="6" t="n">
        <f aca="false">IF(COUNTIFS('Source Data'!$B$2:$B$1602,$A151,'Source Data'!$D$2:$D$1602,"&lt;&gt;")=0,"",_xlfn.MAXIFS('Source Data'!$D$2:$D$1602,'Source Data'!$B$2:$B$1602,$A151))</f>
        <v>52</v>
      </c>
      <c r="I151" s="6" t="n">
        <f aca="false">IF(COUNTIFS('Source Data'!$B$2:$B$1602,$A151,'Source Data'!$E$2:$E$1602,"&lt;&gt;")=0,"",AVERAGEIF('Source Data'!$B$2:$B$1602,$A151,'Source Data'!$E$2:$E$1602))</f>
        <v>4</v>
      </c>
      <c r="J151" s="6" t="n">
        <f aca="false">IF(COUNTIFS('Source Data'!$B$2:$B$1602,$A151,'Source Data'!$E$2:$E$1602,"&lt;&gt;")=0,"",_xlfn.MINIFS('Source Data'!$E$2:$E$1602,'Source Data'!$B$2:$B$1602,$A151))</f>
        <v>4</v>
      </c>
      <c r="K151" s="6" t="n">
        <f aca="false">IF(COUNTIFS('Source Data'!$B$2:$B$1602,$A151,'Source Data'!$E$2:$E$1602,"&lt;&gt;")=0,"",_xlfn.MAXIFS('Source Data'!$E$2:$E$1602,'Source Data'!$B$2:$B$1602,$A151))</f>
        <v>4</v>
      </c>
      <c r="L151" s="6" t="str">
        <f aca="false">IF(COUNTIFS('Source Data'!$B$2:$B$1602,$A151,'Source Data'!$F$2:$F$1602,"&lt;&gt;")=0,"",AVERAGEIF('Source Data'!$B$2:$B$1602,$A151,'Source Data'!$F$2:$F$1602))</f>
        <v/>
      </c>
      <c r="M151" s="6" t="str">
        <f aca="false">IF(COUNTIFS('Source Data'!$B$2:$B$1602,$A151,'Source Data'!$F$2:$F$1602,"&lt;&gt;")=0,"",_xlfn.MINIFS('Source Data'!$F$2:$F$1602,'Source Data'!$B$2:$B$1602,$A151))</f>
        <v/>
      </c>
      <c r="N151" s="6" t="str">
        <f aca="false">IF(COUNTIFS('Source Data'!$B$2:$B$1602,$A151,'Source Data'!$F$2:$F$1602,"&lt;&gt;")=0,"",_xlfn.MAXIFS('Source Data'!$F$2:$F$1602,'Source Data'!$B$2:$B$1602,$A151))</f>
        <v/>
      </c>
    </row>
    <row r="152" customFormat="false" ht="15" hidden="false" customHeight="false" outlineLevel="0" collapsed="false">
      <c r="A152" s="5" t="s">
        <v>1356</v>
      </c>
      <c r="B152" s="7" t="n">
        <f aca="false">COUNTIF('Source Data'!$B$2:$B$1602,$A152)</f>
        <v>6</v>
      </c>
      <c r="C152" s="6" t="n">
        <f aca="false">IF(COUNTIFS('Source Data'!$B$2:$B$1602,$A152,'Source Data'!$C$2:$C$1602,"&lt;&gt;")=0,"",AVERAGEIF('Source Data'!$B$2:$B$1602,$A152,'Source Data'!$C$2:$C$1602))</f>
        <v>6.91666666666667</v>
      </c>
      <c r="D152" s="6" t="n">
        <f aca="false">IF(COUNTIFS('Source Data'!$B$2:$B$1602,$A152,'Source Data'!$C$2:$C$1602,"&lt;&gt;")=0,"",_xlfn.MINIFS('Source Data'!$C$2:$C$1602,'Source Data'!$B$2:$B$1602,$A152))</f>
        <v>3.5</v>
      </c>
      <c r="E152" s="6" t="n">
        <f aca="false">IF(COUNTIFS('Source Data'!$B$2:$B$1602,$A152,'Source Data'!$C$2:$C$1602,"&lt;&gt;")=0,"",_xlfn.MAXIFS('Source Data'!$C$2:$C$1602,'Source Data'!$B$2:$B$1602,$A152))</f>
        <v>10</v>
      </c>
      <c r="F152" s="6" t="n">
        <f aca="false">IF(COUNTIFS('Source Data'!$B$2:$B$1602,$A152,'Source Data'!$D$2:$D$1602,"&lt;&gt;")=0,"",AVERAGEIF('Source Data'!$B$2:$B$1602,$A152,'Source Data'!$D$2:$D$1602))</f>
        <v>3.25</v>
      </c>
      <c r="G152" s="6" t="n">
        <f aca="false">IF(COUNTIFS('Source Data'!$B$2:$B$1602,$A152,'Source Data'!$D$2:$D$1602,"&lt;&gt;")=0,"",_xlfn.MINIFS('Source Data'!$D$2:$D$1602,'Source Data'!$B$2:$B$1602,$A152))</f>
        <v>0</v>
      </c>
      <c r="H152" s="6" t="n">
        <f aca="false">IF(COUNTIFS('Source Data'!$B$2:$B$1602,$A152,'Source Data'!$D$2:$D$1602,"&lt;&gt;")=0,"",_xlfn.MAXIFS('Source Data'!$D$2:$D$1602,'Source Data'!$B$2:$B$1602,$A152))</f>
        <v>6</v>
      </c>
      <c r="I152" s="6" t="str">
        <f aca="false">IF(COUNTIFS('Source Data'!$B$2:$B$1602,$A152,'Source Data'!$E$2:$E$1602,"&lt;&gt;")=0,"",AVERAGEIF('Source Data'!$B$2:$B$1602,$A152,'Source Data'!$E$2:$E$1602))</f>
        <v/>
      </c>
      <c r="J152" s="6" t="str">
        <f aca="false">IF(COUNTIFS('Source Data'!$B$2:$B$1602,$A152,'Source Data'!$E$2:$E$1602,"&lt;&gt;")=0,"",_xlfn.MINIFS('Source Data'!$E$2:$E$1602,'Source Data'!$B$2:$B$1602,$A152))</f>
        <v/>
      </c>
      <c r="K152" s="6" t="str">
        <f aca="false">IF(COUNTIFS('Source Data'!$B$2:$B$1602,$A152,'Source Data'!$E$2:$E$1602,"&lt;&gt;")=0,"",_xlfn.MAXIFS('Source Data'!$E$2:$E$1602,'Source Data'!$B$2:$B$1602,$A152))</f>
        <v/>
      </c>
      <c r="L152" s="6" t="str">
        <f aca="false">IF(COUNTIFS('Source Data'!$B$2:$B$1602,$A152,'Source Data'!$F$2:$F$1602,"&lt;&gt;")=0,"",AVERAGEIF('Source Data'!$B$2:$B$1602,$A152,'Source Data'!$F$2:$F$1602))</f>
        <v/>
      </c>
      <c r="M152" s="6" t="str">
        <f aca="false">IF(COUNTIFS('Source Data'!$B$2:$B$1602,$A152,'Source Data'!$F$2:$F$1602,"&lt;&gt;")=0,"",_xlfn.MINIFS('Source Data'!$F$2:$F$1602,'Source Data'!$B$2:$B$1602,$A152))</f>
        <v/>
      </c>
      <c r="N152" s="6" t="str">
        <f aca="false">IF(COUNTIFS('Source Data'!$B$2:$B$1602,$A152,'Source Data'!$F$2:$F$1602,"&lt;&gt;")=0,"",_xlfn.MAXIFS('Source Data'!$F$2:$F$1602,'Source Data'!$B$2:$B$1602,$A152))</f>
        <v/>
      </c>
    </row>
    <row r="153" customFormat="false" ht="15" hidden="false" customHeight="false" outlineLevel="0" collapsed="false">
      <c r="A153" s="5" t="s">
        <v>1363</v>
      </c>
      <c r="B153" s="7" t="n">
        <f aca="false">COUNTIF('Source Data'!$B$2:$B$1602,$A153)</f>
        <v>3</v>
      </c>
      <c r="C153" s="6" t="n">
        <f aca="false">IF(COUNTIFS('Source Data'!$B$2:$B$1602,$A153,'Source Data'!$C$2:$C$1602,"&lt;&gt;")=0,"",AVERAGEIF('Source Data'!$B$2:$B$1602,$A153,'Source Data'!$C$2:$C$1602))</f>
        <v>10.6666666666667</v>
      </c>
      <c r="D153" s="6" t="n">
        <f aca="false">IF(COUNTIFS('Source Data'!$B$2:$B$1602,$A153,'Source Data'!$C$2:$C$1602,"&lt;&gt;")=0,"",_xlfn.MINIFS('Source Data'!$C$2:$C$1602,'Source Data'!$B$2:$B$1602,$A153))</f>
        <v>2</v>
      </c>
      <c r="E153" s="6" t="n">
        <f aca="false">IF(COUNTIFS('Source Data'!$B$2:$B$1602,$A153,'Source Data'!$C$2:$C$1602,"&lt;&gt;")=0,"",_xlfn.MAXIFS('Source Data'!$C$2:$C$1602,'Source Data'!$B$2:$B$1602,$A153))</f>
        <v>18</v>
      </c>
      <c r="F153" s="6" t="n">
        <f aca="false">IF(COUNTIFS('Source Data'!$B$2:$B$1602,$A153,'Source Data'!$D$2:$D$1602,"&lt;&gt;")=0,"",AVERAGEIF('Source Data'!$B$2:$B$1602,$A153,'Source Data'!$D$2:$D$1602))</f>
        <v>24</v>
      </c>
      <c r="G153" s="6" t="n">
        <f aca="false">IF(COUNTIFS('Source Data'!$B$2:$B$1602,$A153,'Source Data'!$D$2:$D$1602,"&lt;&gt;")=0,"",_xlfn.MINIFS('Source Data'!$D$2:$D$1602,'Source Data'!$B$2:$B$1602,$A153))</f>
        <v>0</v>
      </c>
      <c r="H153" s="6" t="n">
        <f aca="false">IF(COUNTIFS('Source Data'!$B$2:$B$1602,$A153,'Source Data'!$D$2:$D$1602,"&lt;&gt;")=0,"",_xlfn.MAXIFS('Source Data'!$D$2:$D$1602,'Source Data'!$B$2:$B$1602,$A153))</f>
        <v>52</v>
      </c>
      <c r="I153" s="6" t="str">
        <f aca="false">IF(COUNTIFS('Source Data'!$B$2:$B$1602,$A153,'Source Data'!$E$2:$E$1602,"&lt;&gt;")=0,"",AVERAGEIF('Source Data'!$B$2:$B$1602,$A153,'Source Data'!$E$2:$E$1602))</f>
        <v/>
      </c>
      <c r="J153" s="6" t="str">
        <f aca="false">IF(COUNTIFS('Source Data'!$B$2:$B$1602,$A153,'Source Data'!$E$2:$E$1602,"&lt;&gt;")=0,"",_xlfn.MINIFS('Source Data'!$E$2:$E$1602,'Source Data'!$B$2:$B$1602,$A153))</f>
        <v/>
      </c>
      <c r="K153" s="6" t="str">
        <f aca="false">IF(COUNTIFS('Source Data'!$B$2:$B$1602,$A153,'Source Data'!$E$2:$E$1602,"&lt;&gt;")=0,"",_xlfn.MAXIFS('Source Data'!$E$2:$E$1602,'Source Data'!$B$2:$B$1602,$A153))</f>
        <v/>
      </c>
      <c r="L153" s="6" t="str">
        <f aca="false">IF(COUNTIFS('Source Data'!$B$2:$B$1602,$A153,'Source Data'!$F$2:$F$1602,"&lt;&gt;")=0,"",AVERAGEIF('Source Data'!$B$2:$B$1602,$A153,'Source Data'!$F$2:$F$1602))</f>
        <v/>
      </c>
      <c r="M153" s="6" t="str">
        <f aca="false">IF(COUNTIFS('Source Data'!$B$2:$B$1602,$A153,'Source Data'!$F$2:$F$1602,"&lt;&gt;")=0,"",_xlfn.MINIFS('Source Data'!$F$2:$F$1602,'Source Data'!$B$2:$B$1602,$A153))</f>
        <v/>
      </c>
      <c r="N153" s="6" t="str">
        <f aca="false">IF(COUNTIFS('Source Data'!$B$2:$B$1602,$A153,'Source Data'!$F$2:$F$1602,"&lt;&gt;")=0,"",_xlfn.MAXIFS('Source Data'!$F$2:$F$1602,'Source Data'!$B$2:$B$1602,$A153))</f>
        <v/>
      </c>
    </row>
    <row r="154" customFormat="false" ht="15" hidden="false" customHeight="false" outlineLevel="0" collapsed="false">
      <c r="A154" s="5" t="s">
        <v>300</v>
      </c>
      <c r="B154" s="7" t="n">
        <f aca="false">COUNTIF('Source Data'!$B$2:$B$1602,$A154)</f>
        <v>6</v>
      </c>
      <c r="C154" s="6" t="n">
        <f aca="false">IF(COUNTIFS('Source Data'!$B$2:$B$1602,$A154,'Source Data'!$C$2:$C$1602,"&lt;&gt;")=0,"",AVERAGEIF('Source Data'!$B$2:$B$1602,$A154,'Source Data'!$C$2:$C$1602))</f>
        <v>9.41666666666667</v>
      </c>
      <c r="D154" s="6" t="n">
        <f aca="false">IF(COUNTIFS('Source Data'!$B$2:$B$1602,$A154,'Source Data'!$C$2:$C$1602,"&lt;&gt;")=0,"",_xlfn.MINIFS('Source Data'!$C$2:$C$1602,'Source Data'!$B$2:$B$1602,$A154))</f>
        <v>2</v>
      </c>
      <c r="E154" s="6" t="n">
        <f aca="false">IF(COUNTIFS('Source Data'!$B$2:$B$1602,$A154,'Source Data'!$C$2:$C$1602,"&lt;&gt;")=0,"",_xlfn.MAXIFS('Source Data'!$C$2:$C$1602,'Source Data'!$B$2:$B$1602,$A154))</f>
        <v>26</v>
      </c>
      <c r="F154" s="6" t="n">
        <f aca="false">IF(COUNTIFS('Source Data'!$B$2:$B$1602,$A154,'Source Data'!$D$2:$D$1602,"&lt;&gt;")=0,"",AVERAGEIF('Source Data'!$B$2:$B$1602,$A154,'Source Data'!$D$2:$D$1602))</f>
        <v>5.16666666666667</v>
      </c>
      <c r="G154" s="6" t="n">
        <f aca="false">IF(COUNTIFS('Source Data'!$B$2:$B$1602,$A154,'Source Data'!$D$2:$D$1602,"&lt;&gt;")=0,"",_xlfn.MINIFS('Source Data'!$D$2:$D$1602,'Source Data'!$B$2:$B$1602,$A154))</f>
        <v>2</v>
      </c>
      <c r="H154" s="6" t="n">
        <f aca="false">IF(COUNTIFS('Source Data'!$B$2:$B$1602,$A154,'Source Data'!$D$2:$D$1602,"&lt;&gt;")=0,"",_xlfn.MAXIFS('Source Data'!$D$2:$D$1602,'Source Data'!$B$2:$B$1602,$A154))</f>
        <v>8</v>
      </c>
      <c r="I154" s="6" t="n">
        <f aca="false">IF(COUNTIFS('Source Data'!$B$2:$B$1602,$A154,'Source Data'!$E$2:$E$1602,"&lt;&gt;")=0,"",AVERAGEIF('Source Data'!$B$2:$B$1602,$A154,'Source Data'!$E$2:$E$1602))</f>
        <v>5</v>
      </c>
      <c r="J154" s="6" t="n">
        <f aca="false">IF(COUNTIFS('Source Data'!$B$2:$B$1602,$A154,'Source Data'!$E$2:$E$1602,"&lt;&gt;")=0,"",_xlfn.MINIFS('Source Data'!$E$2:$E$1602,'Source Data'!$B$2:$B$1602,$A154))</f>
        <v>4</v>
      </c>
      <c r="K154" s="6" t="n">
        <f aca="false">IF(COUNTIFS('Source Data'!$B$2:$B$1602,$A154,'Source Data'!$E$2:$E$1602,"&lt;&gt;")=0,"",_xlfn.MAXIFS('Source Data'!$E$2:$E$1602,'Source Data'!$B$2:$B$1602,$A154))</f>
        <v>6</v>
      </c>
      <c r="L154" s="6" t="str">
        <f aca="false">IF(COUNTIFS('Source Data'!$B$2:$B$1602,$A154,'Source Data'!$F$2:$F$1602,"&lt;&gt;")=0,"",AVERAGEIF('Source Data'!$B$2:$B$1602,$A154,'Source Data'!$F$2:$F$1602))</f>
        <v/>
      </c>
      <c r="M154" s="6" t="str">
        <f aca="false">IF(COUNTIFS('Source Data'!$B$2:$B$1602,$A154,'Source Data'!$F$2:$F$1602,"&lt;&gt;")=0,"",_xlfn.MINIFS('Source Data'!$F$2:$F$1602,'Source Data'!$B$2:$B$1602,$A154))</f>
        <v/>
      </c>
      <c r="N154" s="6" t="str">
        <f aca="false">IF(COUNTIFS('Source Data'!$B$2:$B$1602,$A154,'Source Data'!$F$2:$F$1602,"&lt;&gt;")=0,"",_xlfn.MAXIFS('Source Data'!$F$2:$F$1602,'Source Data'!$B$2:$B$1602,$A154))</f>
        <v/>
      </c>
    </row>
    <row r="155" customFormat="false" ht="15" hidden="false" customHeight="false" outlineLevel="0" collapsed="false">
      <c r="A155" s="5" t="s">
        <v>1371</v>
      </c>
      <c r="B155" s="7" t="n">
        <f aca="false">COUNTIF('Source Data'!$B$2:$B$1602,$A155)</f>
        <v>6</v>
      </c>
      <c r="C155" s="6" t="n">
        <f aca="false">IF(COUNTIFS('Source Data'!$B$2:$B$1602,$A155,'Source Data'!$C$2:$C$1602,"&lt;&gt;")=0,"",AVERAGEIF('Source Data'!$B$2:$B$1602,$A155,'Source Data'!$C$2:$C$1602))</f>
        <v>10.3333333333333</v>
      </c>
      <c r="D155" s="6" t="n">
        <f aca="false">IF(COUNTIFS('Source Data'!$B$2:$B$1602,$A155,'Source Data'!$C$2:$C$1602,"&lt;&gt;")=0,"",_xlfn.MINIFS('Source Data'!$C$2:$C$1602,'Source Data'!$B$2:$B$1602,$A155))</f>
        <v>2</v>
      </c>
      <c r="E155" s="6" t="n">
        <f aca="false">IF(COUNTIFS('Source Data'!$B$2:$B$1602,$A155,'Source Data'!$C$2:$C$1602,"&lt;&gt;")=0,"",_xlfn.MAXIFS('Source Data'!$C$2:$C$1602,'Source Data'!$B$2:$B$1602,$A155))</f>
        <v>27</v>
      </c>
      <c r="F155" s="6" t="n">
        <f aca="false">IF(COUNTIFS('Source Data'!$B$2:$B$1602,$A155,'Source Data'!$D$2:$D$1602,"&lt;&gt;")=0,"",AVERAGEIF('Source Data'!$B$2:$B$1602,$A155,'Source Data'!$D$2:$D$1602))</f>
        <v>15.6</v>
      </c>
      <c r="G155" s="6" t="n">
        <f aca="false">IF(COUNTIFS('Source Data'!$B$2:$B$1602,$A155,'Source Data'!$D$2:$D$1602,"&lt;&gt;")=0,"",_xlfn.MINIFS('Source Data'!$D$2:$D$1602,'Source Data'!$B$2:$B$1602,$A155))</f>
        <v>0</v>
      </c>
      <c r="H155" s="6" t="n">
        <f aca="false">IF(COUNTIFS('Source Data'!$B$2:$B$1602,$A155,'Source Data'!$D$2:$D$1602,"&lt;&gt;")=0,"",_xlfn.MAXIFS('Source Data'!$D$2:$D$1602,'Source Data'!$B$2:$B$1602,$A155))</f>
        <v>52</v>
      </c>
      <c r="I155" s="6" t="str">
        <f aca="false">IF(COUNTIFS('Source Data'!$B$2:$B$1602,$A155,'Source Data'!$E$2:$E$1602,"&lt;&gt;")=0,"",AVERAGEIF('Source Data'!$B$2:$B$1602,$A155,'Source Data'!$E$2:$E$1602))</f>
        <v/>
      </c>
      <c r="J155" s="6" t="str">
        <f aca="false">IF(COUNTIFS('Source Data'!$B$2:$B$1602,$A155,'Source Data'!$E$2:$E$1602,"&lt;&gt;")=0,"",_xlfn.MINIFS('Source Data'!$E$2:$E$1602,'Source Data'!$B$2:$B$1602,$A155))</f>
        <v/>
      </c>
      <c r="K155" s="6" t="str">
        <f aca="false">IF(COUNTIFS('Source Data'!$B$2:$B$1602,$A155,'Source Data'!$E$2:$E$1602,"&lt;&gt;")=0,"",_xlfn.MAXIFS('Source Data'!$E$2:$E$1602,'Source Data'!$B$2:$B$1602,$A155))</f>
        <v/>
      </c>
      <c r="L155" s="6" t="str">
        <f aca="false">IF(COUNTIFS('Source Data'!$B$2:$B$1602,$A155,'Source Data'!$F$2:$F$1602,"&lt;&gt;")=0,"",AVERAGEIF('Source Data'!$B$2:$B$1602,$A155,'Source Data'!$F$2:$F$1602))</f>
        <v/>
      </c>
      <c r="M155" s="6" t="str">
        <f aca="false">IF(COUNTIFS('Source Data'!$B$2:$B$1602,$A155,'Source Data'!$F$2:$F$1602,"&lt;&gt;")=0,"",_xlfn.MINIFS('Source Data'!$F$2:$F$1602,'Source Data'!$B$2:$B$1602,$A155))</f>
        <v/>
      </c>
      <c r="N155" s="6" t="str">
        <f aca="false">IF(COUNTIFS('Source Data'!$B$2:$B$1602,$A155,'Source Data'!$F$2:$F$1602,"&lt;&gt;")=0,"",_xlfn.MAXIFS('Source Data'!$F$2:$F$1602,'Source Data'!$B$2:$B$1602,$A155))</f>
        <v/>
      </c>
    </row>
    <row r="156" customFormat="false" ht="15" hidden="false" customHeight="false" outlineLevel="0" collapsed="false">
      <c r="A156" s="5" t="s">
        <v>1377</v>
      </c>
      <c r="B156" s="7" t="n">
        <f aca="false">COUNTIF('Source Data'!$B$2:$B$1602,$A156)</f>
        <v>1</v>
      </c>
      <c r="C156" s="6" t="n">
        <f aca="false">IF(COUNTIFS('Source Data'!$B$2:$B$1602,$A156,'Source Data'!$C$2:$C$1602,"&lt;&gt;")=0,"",AVERAGEIF('Source Data'!$B$2:$B$1602,$A156,'Source Data'!$C$2:$C$1602))</f>
        <v>9</v>
      </c>
      <c r="D156" s="6" t="n">
        <f aca="false">IF(COUNTIFS('Source Data'!$B$2:$B$1602,$A156,'Source Data'!$C$2:$C$1602,"&lt;&gt;")=0,"",_xlfn.MINIFS('Source Data'!$C$2:$C$1602,'Source Data'!$B$2:$B$1602,$A156))</f>
        <v>9</v>
      </c>
      <c r="E156" s="6" t="n">
        <f aca="false">IF(COUNTIFS('Source Data'!$B$2:$B$1602,$A156,'Source Data'!$C$2:$C$1602,"&lt;&gt;")=0,"",_xlfn.MAXIFS('Source Data'!$C$2:$C$1602,'Source Data'!$B$2:$B$1602,$A156))</f>
        <v>9</v>
      </c>
      <c r="F156" s="6" t="n">
        <f aca="false">IF(COUNTIFS('Source Data'!$B$2:$B$1602,$A156,'Source Data'!$D$2:$D$1602,"&lt;&gt;")=0,"",AVERAGEIF('Source Data'!$B$2:$B$1602,$A156,'Source Data'!$D$2:$D$1602))</f>
        <v>3</v>
      </c>
      <c r="G156" s="6" t="n">
        <f aca="false">IF(COUNTIFS('Source Data'!$B$2:$B$1602,$A156,'Source Data'!$D$2:$D$1602,"&lt;&gt;")=0,"",_xlfn.MINIFS('Source Data'!$D$2:$D$1602,'Source Data'!$B$2:$B$1602,$A156))</f>
        <v>3</v>
      </c>
      <c r="H156" s="6" t="n">
        <f aca="false">IF(COUNTIFS('Source Data'!$B$2:$B$1602,$A156,'Source Data'!$D$2:$D$1602,"&lt;&gt;")=0,"",_xlfn.MAXIFS('Source Data'!$D$2:$D$1602,'Source Data'!$B$2:$B$1602,$A156))</f>
        <v>3</v>
      </c>
      <c r="I156" s="6" t="str">
        <f aca="false">IF(COUNTIFS('Source Data'!$B$2:$B$1602,$A156,'Source Data'!$E$2:$E$1602,"&lt;&gt;")=0,"",AVERAGEIF('Source Data'!$B$2:$B$1602,$A156,'Source Data'!$E$2:$E$1602))</f>
        <v/>
      </c>
      <c r="J156" s="6" t="str">
        <f aca="false">IF(COUNTIFS('Source Data'!$B$2:$B$1602,$A156,'Source Data'!$E$2:$E$1602,"&lt;&gt;")=0,"",_xlfn.MINIFS('Source Data'!$E$2:$E$1602,'Source Data'!$B$2:$B$1602,$A156))</f>
        <v/>
      </c>
      <c r="K156" s="6" t="str">
        <f aca="false">IF(COUNTIFS('Source Data'!$B$2:$B$1602,$A156,'Source Data'!$E$2:$E$1602,"&lt;&gt;")=0,"",_xlfn.MAXIFS('Source Data'!$E$2:$E$1602,'Source Data'!$B$2:$B$1602,$A156))</f>
        <v/>
      </c>
      <c r="L156" s="6" t="str">
        <f aca="false">IF(COUNTIFS('Source Data'!$B$2:$B$1602,$A156,'Source Data'!$F$2:$F$1602,"&lt;&gt;")=0,"",AVERAGEIF('Source Data'!$B$2:$B$1602,$A156,'Source Data'!$F$2:$F$1602))</f>
        <v/>
      </c>
      <c r="M156" s="6" t="str">
        <f aca="false">IF(COUNTIFS('Source Data'!$B$2:$B$1602,$A156,'Source Data'!$F$2:$F$1602,"&lt;&gt;")=0,"",_xlfn.MINIFS('Source Data'!$F$2:$F$1602,'Source Data'!$B$2:$B$1602,$A156))</f>
        <v/>
      </c>
      <c r="N156" s="6" t="str">
        <f aca="false">IF(COUNTIFS('Source Data'!$B$2:$B$1602,$A156,'Source Data'!$F$2:$F$1602,"&lt;&gt;")=0,"",_xlfn.MAXIFS('Source Data'!$F$2:$F$1602,'Source Data'!$B$2:$B$1602,$A156))</f>
        <v/>
      </c>
    </row>
    <row r="157" customFormat="false" ht="15" hidden="false" customHeight="false" outlineLevel="0" collapsed="false">
      <c r="A157" s="5" t="s">
        <v>1379</v>
      </c>
      <c r="B157" s="7" t="n">
        <f aca="false">COUNTIF('Source Data'!$B$2:$B$1602,$A157)</f>
        <v>1</v>
      </c>
      <c r="C157" s="6" t="n">
        <f aca="false">IF(COUNTIFS('Source Data'!$B$2:$B$1602,$A157,'Source Data'!$C$2:$C$1602,"&lt;&gt;")=0,"",AVERAGEIF('Source Data'!$B$2:$B$1602,$A157,'Source Data'!$C$2:$C$1602))</f>
        <v>6</v>
      </c>
      <c r="D157" s="6" t="n">
        <f aca="false">IF(COUNTIFS('Source Data'!$B$2:$B$1602,$A157,'Source Data'!$C$2:$C$1602,"&lt;&gt;")=0,"",_xlfn.MINIFS('Source Data'!$C$2:$C$1602,'Source Data'!$B$2:$B$1602,$A157))</f>
        <v>6</v>
      </c>
      <c r="E157" s="6" t="n">
        <f aca="false">IF(COUNTIFS('Source Data'!$B$2:$B$1602,$A157,'Source Data'!$C$2:$C$1602,"&lt;&gt;")=0,"",_xlfn.MAXIFS('Source Data'!$C$2:$C$1602,'Source Data'!$B$2:$B$1602,$A157))</f>
        <v>6</v>
      </c>
      <c r="F157" s="6" t="n">
        <f aca="false">IF(COUNTIFS('Source Data'!$B$2:$B$1602,$A157,'Source Data'!$D$2:$D$1602,"&lt;&gt;")=0,"",AVERAGEIF('Source Data'!$B$2:$B$1602,$A157,'Source Data'!$D$2:$D$1602))</f>
        <v>6</v>
      </c>
      <c r="G157" s="6" t="n">
        <f aca="false">IF(COUNTIFS('Source Data'!$B$2:$B$1602,$A157,'Source Data'!$D$2:$D$1602,"&lt;&gt;")=0,"",_xlfn.MINIFS('Source Data'!$D$2:$D$1602,'Source Data'!$B$2:$B$1602,$A157))</f>
        <v>6</v>
      </c>
      <c r="H157" s="6" t="n">
        <f aca="false">IF(COUNTIFS('Source Data'!$B$2:$B$1602,$A157,'Source Data'!$D$2:$D$1602,"&lt;&gt;")=0,"",_xlfn.MAXIFS('Source Data'!$D$2:$D$1602,'Source Data'!$B$2:$B$1602,$A157))</f>
        <v>6</v>
      </c>
      <c r="I157" s="6" t="str">
        <f aca="false">IF(COUNTIFS('Source Data'!$B$2:$B$1602,$A157,'Source Data'!$E$2:$E$1602,"&lt;&gt;")=0,"",AVERAGEIF('Source Data'!$B$2:$B$1602,$A157,'Source Data'!$E$2:$E$1602))</f>
        <v/>
      </c>
      <c r="J157" s="6" t="str">
        <f aca="false">IF(COUNTIFS('Source Data'!$B$2:$B$1602,$A157,'Source Data'!$E$2:$E$1602,"&lt;&gt;")=0,"",_xlfn.MINIFS('Source Data'!$E$2:$E$1602,'Source Data'!$B$2:$B$1602,$A157))</f>
        <v/>
      </c>
      <c r="K157" s="6" t="str">
        <f aca="false">IF(COUNTIFS('Source Data'!$B$2:$B$1602,$A157,'Source Data'!$E$2:$E$1602,"&lt;&gt;")=0,"",_xlfn.MAXIFS('Source Data'!$E$2:$E$1602,'Source Data'!$B$2:$B$1602,$A157))</f>
        <v/>
      </c>
      <c r="L157" s="6" t="str">
        <f aca="false">IF(COUNTIFS('Source Data'!$B$2:$B$1602,$A157,'Source Data'!$F$2:$F$1602,"&lt;&gt;")=0,"",AVERAGEIF('Source Data'!$B$2:$B$1602,$A157,'Source Data'!$F$2:$F$1602))</f>
        <v/>
      </c>
      <c r="M157" s="6" t="str">
        <f aca="false">IF(COUNTIFS('Source Data'!$B$2:$B$1602,$A157,'Source Data'!$F$2:$F$1602,"&lt;&gt;")=0,"",_xlfn.MINIFS('Source Data'!$F$2:$F$1602,'Source Data'!$B$2:$B$1602,$A157))</f>
        <v/>
      </c>
      <c r="N157" s="6" t="str">
        <f aca="false">IF(COUNTIFS('Source Data'!$B$2:$B$1602,$A157,'Source Data'!$F$2:$F$1602,"&lt;&gt;")=0,"",_xlfn.MAXIFS('Source Data'!$F$2:$F$1602,'Source Data'!$B$2:$B$1602,$A157))</f>
        <v/>
      </c>
    </row>
    <row r="158" customFormat="false" ht="15" hidden="false" customHeight="false" outlineLevel="0" collapsed="false">
      <c r="A158" s="5" t="s">
        <v>1381</v>
      </c>
      <c r="B158" s="7" t="n">
        <f aca="false">COUNTIF('Source Data'!$B$2:$B$1602,$A158)</f>
        <v>3</v>
      </c>
      <c r="C158" s="6" t="n">
        <f aca="false">IF(COUNTIFS('Source Data'!$B$2:$B$1602,$A158,'Source Data'!$C$2:$C$1602,"&lt;&gt;")=0,"",AVERAGEIF('Source Data'!$B$2:$B$1602,$A158,'Source Data'!$C$2:$C$1602))</f>
        <v>6.33333333333333</v>
      </c>
      <c r="D158" s="6" t="n">
        <f aca="false">IF(COUNTIFS('Source Data'!$B$2:$B$1602,$A158,'Source Data'!$C$2:$C$1602,"&lt;&gt;")=0,"",_xlfn.MINIFS('Source Data'!$C$2:$C$1602,'Source Data'!$B$2:$B$1602,$A158))</f>
        <v>3</v>
      </c>
      <c r="E158" s="6" t="n">
        <f aca="false">IF(COUNTIFS('Source Data'!$B$2:$B$1602,$A158,'Source Data'!$C$2:$C$1602,"&lt;&gt;")=0,"",_xlfn.MAXIFS('Source Data'!$C$2:$C$1602,'Source Data'!$B$2:$B$1602,$A158))</f>
        <v>12</v>
      </c>
      <c r="F158" s="6" t="n">
        <f aca="false">IF(COUNTIFS('Source Data'!$B$2:$B$1602,$A158,'Source Data'!$D$2:$D$1602,"&lt;&gt;")=0,"",AVERAGEIF('Source Data'!$B$2:$B$1602,$A158,'Source Data'!$D$2:$D$1602))</f>
        <v>6</v>
      </c>
      <c r="G158" s="6" t="n">
        <f aca="false">IF(COUNTIFS('Source Data'!$B$2:$B$1602,$A158,'Source Data'!$D$2:$D$1602,"&lt;&gt;")=0,"",_xlfn.MINIFS('Source Data'!$D$2:$D$1602,'Source Data'!$B$2:$B$1602,$A158))</f>
        <v>4</v>
      </c>
      <c r="H158" s="6" t="n">
        <f aca="false">IF(COUNTIFS('Source Data'!$B$2:$B$1602,$A158,'Source Data'!$D$2:$D$1602,"&lt;&gt;")=0,"",_xlfn.MAXIFS('Source Data'!$D$2:$D$1602,'Source Data'!$B$2:$B$1602,$A158))</f>
        <v>8</v>
      </c>
      <c r="I158" s="6" t="n">
        <f aca="false">IF(COUNTIFS('Source Data'!$B$2:$B$1602,$A158,'Source Data'!$E$2:$E$1602,"&lt;&gt;")=0,"",AVERAGEIF('Source Data'!$B$2:$B$1602,$A158,'Source Data'!$E$2:$E$1602))</f>
        <v>4</v>
      </c>
      <c r="J158" s="6" t="n">
        <f aca="false">IF(COUNTIFS('Source Data'!$B$2:$B$1602,$A158,'Source Data'!$E$2:$E$1602,"&lt;&gt;")=0,"",_xlfn.MINIFS('Source Data'!$E$2:$E$1602,'Source Data'!$B$2:$B$1602,$A158))</f>
        <v>4</v>
      </c>
      <c r="K158" s="6" t="n">
        <f aca="false">IF(COUNTIFS('Source Data'!$B$2:$B$1602,$A158,'Source Data'!$E$2:$E$1602,"&lt;&gt;")=0,"",_xlfn.MAXIFS('Source Data'!$E$2:$E$1602,'Source Data'!$B$2:$B$1602,$A158))</f>
        <v>4</v>
      </c>
      <c r="L158" s="6" t="str">
        <f aca="false">IF(COUNTIFS('Source Data'!$B$2:$B$1602,$A158,'Source Data'!$F$2:$F$1602,"&lt;&gt;")=0,"",AVERAGEIF('Source Data'!$B$2:$B$1602,$A158,'Source Data'!$F$2:$F$1602))</f>
        <v/>
      </c>
      <c r="M158" s="6" t="str">
        <f aca="false">IF(COUNTIFS('Source Data'!$B$2:$B$1602,$A158,'Source Data'!$F$2:$F$1602,"&lt;&gt;")=0,"",_xlfn.MINIFS('Source Data'!$F$2:$F$1602,'Source Data'!$B$2:$B$1602,$A158))</f>
        <v/>
      </c>
      <c r="N158" s="6" t="str">
        <f aca="false">IF(COUNTIFS('Source Data'!$B$2:$B$1602,$A158,'Source Data'!$F$2:$F$1602,"&lt;&gt;")=0,"",_xlfn.MAXIFS('Source Data'!$F$2:$F$1602,'Source Data'!$B$2:$B$1602,$A158))</f>
        <v/>
      </c>
    </row>
    <row r="159" customFormat="false" ht="15" hidden="false" customHeight="false" outlineLevel="0" collapsed="false">
      <c r="A159" s="5" t="s">
        <v>1385</v>
      </c>
      <c r="B159" s="7" t="n">
        <f aca="false">COUNTIF('Source Data'!$B$2:$B$1602,$A159)</f>
        <v>5</v>
      </c>
      <c r="C159" s="6" t="n">
        <f aca="false">IF(COUNTIFS('Source Data'!$B$2:$B$1602,$A159,'Source Data'!$C$2:$C$1602,"&lt;&gt;")=0,"",AVERAGEIF('Source Data'!$B$2:$B$1602,$A159,'Source Data'!$C$2:$C$1602))</f>
        <v>7</v>
      </c>
      <c r="D159" s="6" t="n">
        <f aca="false">IF(COUNTIFS('Source Data'!$B$2:$B$1602,$A159,'Source Data'!$C$2:$C$1602,"&lt;&gt;")=0,"",_xlfn.MINIFS('Source Data'!$C$2:$C$1602,'Source Data'!$B$2:$B$1602,$A159))</f>
        <v>3</v>
      </c>
      <c r="E159" s="6" t="n">
        <f aca="false">IF(COUNTIFS('Source Data'!$B$2:$B$1602,$A159,'Source Data'!$C$2:$C$1602,"&lt;&gt;")=0,"",_xlfn.MAXIFS('Source Data'!$C$2:$C$1602,'Source Data'!$B$2:$B$1602,$A159))</f>
        <v>10</v>
      </c>
      <c r="F159" s="6" t="n">
        <f aca="false">IF(COUNTIFS('Source Data'!$B$2:$B$1602,$A159,'Source Data'!$D$2:$D$1602,"&lt;&gt;")=0,"",AVERAGEIF('Source Data'!$B$2:$B$1602,$A159,'Source Data'!$D$2:$D$1602))</f>
        <v>3.4</v>
      </c>
      <c r="G159" s="6" t="n">
        <f aca="false">IF(COUNTIFS('Source Data'!$B$2:$B$1602,$A159,'Source Data'!$D$2:$D$1602,"&lt;&gt;")=0,"",_xlfn.MINIFS('Source Data'!$D$2:$D$1602,'Source Data'!$B$2:$B$1602,$A159))</f>
        <v>0</v>
      </c>
      <c r="H159" s="6" t="n">
        <f aca="false">IF(COUNTIFS('Source Data'!$B$2:$B$1602,$A159,'Source Data'!$D$2:$D$1602,"&lt;&gt;")=0,"",_xlfn.MAXIFS('Source Data'!$D$2:$D$1602,'Source Data'!$B$2:$B$1602,$A159))</f>
        <v>12</v>
      </c>
      <c r="I159" s="6" t="str">
        <f aca="false">IF(COUNTIFS('Source Data'!$B$2:$B$1602,$A159,'Source Data'!$E$2:$E$1602,"&lt;&gt;")=0,"",AVERAGEIF('Source Data'!$B$2:$B$1602,$A159,'Source Data'!$E$2:$E$1602))</f>
        <v/>
      </c>
      <c r="J159" s="6" t="str">
        <f aca="false">IF(COUNTIFS('Source Data'!$B$2:$B$1602,$A159,'Source Data'!$E$2:$E$1602,"&lt;&gt;")=0,"",_xlfn.MINIFS('Source Data'!$E$2:$E$1602,'Source Data'!$B$2:$B$1602,$A159))</f>
        <v/>
      </c>
      <c r="K159" s="6" t="str">
        <f aca="false">IF(COUNTIFS('Source Data'!$B$2:$B$1602,$A159,'Source Data'!$E$2:$E$1602,"&lt;&gt;")=0,"",_xlfn.MAXIFS('Source Data'!$E$2:$E$1602,'Source Data'!$B$2:$B$1602,$A159))</f>
        <v/>
      </c>
      <c r="L159" s="6" t="str">
        <f aca="false">IF(COUNTIFS('Source Data'!$B$2:$B$1602,$A159,'Source Data'!$F$2:$F$1602,"&lt;&gt;")=0,"",AVERAGEIF('Source Data'!$B$2:$B$1602,$A159,'Source Data'!$F$2:$F$1602))</f>
        <v/>
      </c>
      <c r="M159" s="6" t="str">
        <f aca="false">IF(COUNTIFS('Source Data'!$B$2:$B$1602,$A159,'Source Data'!$F$2:$F$1602,"&lt;&gt;")=0,"",_xlfn.MINIFS('Source Data'!$F$2:$F$1602,'Source Data'!$B$2:$B$1602,$A159))</f>
        <v/>
      </c>
      <c r="N159" s="6" t="str">
        <f aca="false">IF(COUNTIFS('Source Data'!$B$2:$B$1602,$A159,'Source Data'!$F$2:$F$1602,"&lt;&gt;")=0,"",_xlfn.MAXIFS('Source Data'!$F$2:$F$1602,'Source Data'!$B$2:$B$1602,$A159))</f>
        <v/>
      </c>
    </row>
    <row r="160" customFormat="false" ht="15" hidden="false" customHeight="false" outlineLevel="0" collapsed="false">
      <c r="A160" s="5" t="s">
        <v>74</v>
      </c>
      <c r="B160" s="7" t="n">
        <f aca="false">COUNTIF('Source Data'!$B$2:$B$1602,$A160)</f>
        <v>28</v>
      </c>
      <c r="C160" s="6" t="n">
        <f aca="false">IF(COUNTIFS('Source Data'!$B$2:$B$1602,$A160,'Source Data'!$C$2:$C$1602,"&lt;&gt;")=0,"",AVERAGEIF('Source Data'!$B$2:$B$1602,$A160,'Source Data'!$C$2:$C$1602))</f>
        <v>8.85714285714286</v>
      </c>
      <c r="D160" s="6" t="n">
        <f aca="false">IF(COUNTIFS('Source Data'!$B$2:$B$1602,$A160,'Source Data'!$C$2:$C$1602,"&lt;&gt;")=0,"",_xlfn.MINIFS('Source Data'!$C$2:$C$1602,'Source Data'!$B$2:$B$1602,$A160))</f>
        <v>0</v>
      </c>
      <c r="E160" s="6" t="n">
        <f aca="false">IF(COUNTIFS('Source Data'!$B$2:$B$1602,$A160,'Source Data'!$C$2:$C$1602,"&lt;&gt;")=0,"",_xlfn.MAXIFS('Source Data'!$C$2:$C$1602,'Source Data'!$B$2:$B$1602,$A160))</f>
        <v>24</v>
      </c>
      <c r="F160" s="6" t="n">
        <f aca="false">IF(COUNTIFS('Source Data'!$B$2:$B$1602,$A160,'Source Data'!$D$2:$D$1602,"&lt;&gt;")=0,"",AVERAGEIF('Source Data'!$B$2:$B$1602,$A160,'Source Data'!$D$2:$D$1602))</f>
        <v>6.08</v>
      </c>
      <c r="G160" s="6" t="n">
        <f aca="false">IF(COUNTIFS('Source Data'!$B$2:$B$1602,$A160,'Source Data'!$D$2:$D$1602,"&lt;&gt;")=0,"",_xlfn.MINIFS('Source Data'!$D$2:$D$1602,'Source Data'!$B$2:$B$1602,$A160))</f>
        <v>0</v>
      </c>
      <c r="H160" s="6" t="n">
        <f aca="false">IF(COUNTIFS('Source Data'!$B$2:$B$1602,$A160,'Source Data'!$D$2:$D$1602,"&lt;&gt;")=0,"",_xlfn.MAXIFS('Source Data'!$D$2:$D$1602,'Source Data'!$B$2:$B$1602,$A160))</f>
        <v>24</v>
      </c>
      <c r="I160" s="6" t="n">
        <f aca="false">IF(COUNTIFS('Source Data'!$B$2:$B$1602,$A160,'Source Data'!$E$2:$E$1602,"&lt;&gt;")=0,"",AVERAGEIF('Source Data'!$B$2:$B$1602,$A160,'Source Data'!$E$2:$E$1602))</f>
        <v>4.5</v>
      </c>
      <c r="J160" s="6" t="n">
        <f aca="false">IF(COUNTIFS('Source Data'!$B$2:$B$1602,$A160,'Source Data'!$E$2:$E$1602,"&lt;&gt;")=0,"",_xlfn.MINIFS('Source Data'!$E$2:$E$1602,'Source Data'!$B$2:$B$1602,$A160))</f>
        <v>2</v>
      </c>
      <c r="K160" s="6" t="n">
        <f aca="false">IF(COUNTIFS('Source Data'!$B$2:$B$1602,$A160,'Source Data'!$E$2:$E$1602,"&lt;&gt;")=0,"",_xlfn.MAXIFS('Source Data'!$E$2:$E$1602,'Source Data'!$B$2:$B$1602,$A160))</f>
        <v>6</v>
      </c>
      <c r="L160" s="6" t="n">
        <f aca="false">IF(COUNTIFS('Source Data'!$B$2:$B$1602,$A160,'Source Data'!$F$2:$F$1602,"&lt;&gt;")=0,"",AVERAGEIF('Source Data'!$B$2:$B$1602,$A160,'Source Data'!$F$2:$F$1602))</f>
        <v>6</v>
      </c>
      <c r="M160" s="6" t="n">
        <f aca="false">IF(COUNTIFS('Source Data'!$B$2:$B$1602,$A160,'Source Data'!$F$2:$F$1602,"&lt;&gt;")=0,"",_xlfn.MINIFS('Source Data'!$F$2:$F$1602,'Source Data'!$B$2:$B$1602,$A160))</f>
        <v>6</v>
      </c>
      <c r="N160" s="6" t="n">
        <f aca="false">IF(COUNTIFS('Source Data'!$B$2:$B$1602,$A160,'Source Data'!$F$2:$F$1602,"&lt;&gt;")=0,"",_xlfn.MAXIFS('Source Data'!$F$2:$F$1602,'Source Data'!$B$2:$B$1602,$A160))</f>
        <v>6</v>
      </c>
    </row>
    <row r="161" customFormat="false" ht="15" hidden="false" customHeight="false" outlineLevel="0" collapsed="false">
      <c r="A161" s="5" t="s">
        <v>1412</v>
      </c>
      <c r="B161" s="7" t="n">
        <f aca="false">COUNTIF('Source Data'!$B$2:$B$1602,$A161)</f>
        <v>2</v>
      </c>
      <c r="C161" s="6" t="n">
        <f aca="false">IF(COUNTIFS('Source Data'!$B$2:$B$1602,$A161,'Source Data'!$C$2:$C$1602,"&lt;&gt;")=0,"",AVERAGEIF('Source Data'!$B$2:$B$1602,$A161,'Source Data'!$C$2:$C$1602))</f>
        <v>9</v>
      </c>
      <c r="D161" s="6" t="n">
        <f aca="false">IF(COUNTIFS('Source Data'!$B$2:$B$1602,$A161,'Source Data'!$C$2:$C$1602,"&lt;&gt;")=0,"",_xlfn.MINIFS('Source Data'!$C$2:$C$1602,'Source Data'!$B$2:$B$1602,$A161))</f>
        <v>6</v>
      </c>
      <c r="E161" s="6" t="n">
        <f aca="false">IF(COUNTIFS('Source Data'!$B$2:$B$1602,$A161,'Source Data'!$C$2:$C$1602,"&lt;&gt;")=0,"",_xlfn.MAXIFS('Source Data'!$C$2:$C$1602,'Source Data'!$B$2:$B$1602,$A161))</f>
        <v>12</v>
      </c>
      <c r="F161" s="6" t="n">
        <f aca="false">IF(COUNTIFS('Source Data'!$B$2:$B$1602,$A161,'Source Data'!$D$2:$D$1602,"&lt;&gt;")=0,"",AVERAGEIF('Source Data'!$B$2:$B$1602,$A161,'Source Data'!$D$2:$D$1602))</f>
        <v>4</v>
      </c>
      <c r="G161" s="6" t="n">
        <f aca="false">IF(COUNTIFS('Source Data'!$B$2:$B$1602,$A161,'Source Data'!$D$2:$D$1602,"&lt;&gt;")=0,"",_xlfn.MINIFS('Source Data'!$D$2:$D$1602,'Source Data'!$B$2:$B$1602,$A161))</f>
        <v>0</v>
      </c>
      <c r="H161" s="6" t="n">
        <f aca="false">IF(COUNTIFS('Source Data'!$B$2:$B$1602,$A161,'Source Data'!$D$2:$D$1602,"&lt;&gt;")=0,"",_xlfn.MAXIFS('Source Data'!$D$2:$D$1602,'Source Data'!$B$2:$B$1602,$A161))</f>
        <v>8</v>
      </c>
      <c r="I161" s="6" t="str">
        <f aca="false">IF(COUNTIFS('Source Data'!$B$2:$B$1602,$A161,'Source Data'!$E$2:$E$1602,"&lt;&gt;")=0,"",AVERAGEIF('Source Data'!$B$2:$B$1602,$A161,'Source Data'!$E$2:$E$1602))</f>
        <v/>
      </c>
      <c r="J161" s="6" t="str">
        <f aca="false">IF(COUNTIFS('Source Data'!$B$2:$B$1602,$A161,'Source Data'!$E$2:$E$1602,"&lt;&gt;")=0,"",_xlfn.MINIFS('Source Data'!$E$2:$E$1602,'Source Data'!$B$2:$B$1602,$A161))</f>
        <v/>
      </c>
      <c r="K161" s="6" t="str">
        <f aca="false">IF(COUNTIFS('Source Data'!$B$2:$B$1602,$A161,'Source Data'!$E$2:$E$1602,"&lt;&gt;")=0,"",_xlfn.MAXIFS('Source Data'!$E$2:$E$1602,'Source Data'!$B$2:$B$1602,$A161))</f>
        <v/>
      </c>
      <c r="L161" s="6" t="str">
        <f aca="false">IF(COUNTIFS('Source Data'!$B$2:$B$1602,$A161,'Source Data'!$F$2:$F$1602,"&lt;&gt;")=0,"",AVERAGEIF('Source Data'!$B$2:$B$1602,$A161,'Source Data'!$F$2:$F$1602))</f>
        <v/>
      </c>
      <c r="M161" s="6" t="str">
        <f aca="false">IF(COUNTIFS('Source Data'!$B$2:$B$1602,$A161,'Source Data'!$F$2:$F$1602,"&lt;&gt;")=0,"",_xlfn.MINIFS('Source Data'!$F$2:$F$1602,'Source Data'!$B$2:$B$1602,$A161))</f>
        <v/>
      </c>
      <c r="N161" s="6" t="str">
        <f aca="false">IF(COUNTIFS('Source Data'!$B$2:$B$1602,$A161,'Source Data'!$F$2:$F$1602,"&lt;&gt;")=0,"",_xlfn.MAXIFS('Source Data'!$F$2:$F$1602,'Source Data'!$B$2:$B$1602,$A161))</f>
        <v/>
      </c>
    </row>
    <row r="162" customFormat="false" ht="15" hidden="false" customHeight="false" outlineLevel="0" collapsed="false">
      <c r="A162" s="5" t="s">
        <v>306</v>
      </c>
      <c r="B162" s="7" t="n">
        <f aca="false">COUNTIF('Source Data'!$B$2:$B$1602,$A162)</f>
        <v>7</v>
      </c>
      <c r="C162" s="6" t="n">
        <f aca="false">IF(COUNTIFS('Source Data'!$B$2:$B$1602,$A162,'Source Data'!$C$2:$C$1602,"&lt;&gt;")=0,"",AVERAGEIF('Source Data'!$B$2:$B$1602,$A162,'Source Data'!$C$2:$C$1602))</f>
        <v>6.42857142857143</v>
      </c>
      <c r="D162" s="6" t="n">
        <f aca="false">IF(COUNTIFS('Source Data'!$B$2:$B$1602,$A162,'Source Data'!$C$2:$C$1602,"&lt;&gt;")=0,"",_xlfn.MINIFS('Source Data'!$C$2:$C$1602,'Source Data'!$B$2:$B$1602,$A162))</f>
        <v>0</v>
      </c>
      <c r="E162" s="6" t="n">
        <f aca="false">IF(COUNTIFS('Source Data'!$B$2:$B$1602,$A162,'Source Data'!$C$2:$C$1602,"&lt;&gt;")=0,"",_xlfn.MAXIFS('Source Data'!$C$2:$C$1602,'Source Data'!$B$2:$B$1602,$A162))</f>
        <v>15</v>
      </c>
      <c r="F162" s="6" t="n">
        <f aca="false">IF(COUNTIFS('Source Data'!$B$2:$B$1602,$A162,'Source Data'!$D$2:$D$1602,"&lt;&gt;")=0,"",AVERAGEIF('Source Data'!$B$2:$B$1602,$A162,'Source Data'!$D$2:$D$1602))</f>
        <v>5.75</v>
      </c>
      <c r="G162" s="6" t="n">
        <f aca="false">IF(COUNTIFS('Source Data'!$B$2:$B$1602,$A162,'Source Data'!$D$2:$D$1602,"&lt;&gt;")=0,"",_xlfn.MINIFS('Source Data'!$D$2:$D$1602,'Source Data'!$B$2:$B$1602,$A162))</f>
        <v>0</v>
      </c>
      <c r="H162" s="6" t="n">
        <f aca="false">IF(COUNTIFS('Source Data'!$B$2:$B$1602,$A162,'Source Data'!$D$2:$D$1602,"&lt;&gt;")=0,"",_xlfn.MAXIFS('Source Data'!$D$2:$D$1602,'Source Data'!$B$2:$B$1602,$A162))</f>
        <v>15</v>
      </c>
      <c r="I162" s="6" t="n">
        <f aca="false">IF(COUNTIFS('Source Data'!$B$2:$B$1602,$A162,'Source Data'!$E$2:$E$1602,"&lt;&gt;")=0,"",AVERAGEIF('Source Data'!$B$2:$B$1602,$A162,'Source Data'!$E$2:$E$1602))</f>
        <v>4</v>
      </c>
      <c r="J162" s="6" t="n">
        <f aca="false">IF(COUNTIFS('Source Data'!$B$2:$B$1602,$A162,'Source Data'!$E$2:$E$1602,"&lt;&gt;")=0,"",_xlfn.MINIFS('Source Data'!$E$2:$E$1602,'Source Data'!$B$2:$B$1602,$A162))</f>
        <v>4</v>
      </c>
      <c r="K162" s="6" t="n">
        <f aca="false">IF(COUNTIFS('Source Data'!$B$2:$B$1602,$A162,'Source Data'!$E$2:$E$1602,"&lt;&gt;")=0,"",_xlfn.MAXIFS('Source Data'!$E$2:$E$1602,'Source Data'!$B$2:$B$1602,$A162))</f>
        <v>4</v>
      </c>
      <c r="L162" s="6" t="n">
        <f aca="false">IF(COUNTIFS('Source Data'!$B$2:$B$1602,$A162,'Source Data'!$F$2:$F$1602,"&lt;&gt;")=0,"",AVERAGEIF('Source Data'!$B$2:$B$1602,$A162,'Source Data'!$F$2:$F$1602))</f>
        <v>0</v>
      </c>
      <c r="M162" s="6" t="n">
        <f aca="false">IF(COUNTIFS('Source Data'!$B$2:$B$1602,$A162,'Source Data'!$F$2:$F$1602,"&lt;&gt;")=0,"",_xlfn.MINIFS('Source Data'!$F$2:$F$1602,'Source Data'!$B$2:$B$1602,$A162))</f>
        <v>0</v>
      </c>
      <c r="N162" s="6" t="n">
        <f aca="false">IF(COUNTIFS('Source Data'!$B$2:$B$1602,$A162,'Source Data'!$F$2:$F$1602,"&lt;&gt;")=0,"",_xlfn.MAXIFS('Source Data'!$F$2:$F$1602,'Source Data'!$B$2:$B$1602,$A162))</f>
        <v>0</v>
      </c>
    </row>
    <row r="163" customFormat="false" ht="15" hidden="false" customHeight="false" outlineLevel="0" collapsed="false">
      <c r="A163" s="5" t="s">
        <v>1419</v>
      </c>
      <c r="B163" s="7" t="n">
        <f aca="false">COUNTIF('Source Data'!$B$2:$B$1602,$A163)</f>
        <v>2</v>
      </c>
      <c r="C163" s="6" t="n">
        <f aca="false">IF(COUNTIFS('Source Data'!$B$2:$B$1602,$A163,'Source Data'!$C$2:$C$1602,"&lt;&gt;")=0,"",AVERAGEIF('Source Data'!$B$2:$B$1602,$A163,'Source Data'!$C$2:$C$1602))</f>
        <v>3</v>
      </c>
      <c r="D163" s="6" t="n">
        <f aca="false">IF(COUNTIFS('Source Data'!$B$2:$B$1602,$A163,'Source Data'!$C$2:$C$1602,"&lt;&gt;")=0,"",_xlfn.MINIFS('Source Data'!$C$2:$C$1602,'Source Data'!$B$2:$B$1602,$A163))</f>
        <v>0</v>
      </c>
      <c r="E163" s="6" t="n">
        <f aca="false">IF(COUNTIFS('Source Data'!$B$2:$B$1602,$A163,'Source Data'!$C$2:$C$1602,"&lt;&gt;")=0,"",_xlfn.MAXIFS('Source Data'!$C$2:$C$1602,'Source Data'!$B$2:$B$1602,$A163))</f>
        <v>6</v>
      </c>
      <c r="F163" s="6" t="n">
        <f aca="false">IF(COUNTIFS('Source Data'!$B$2:$B$1602,$A163,'Source Data'!$D$2:$D$1602,"&lt;&gt;")=0,"",AVERAGEIF('Source Data'!$B$2:$B$1602,$A163,'Source Data'!$D$2:$D$1602))</f>
        <v>6</v>
      </c>
      <c r="G163" s="6" t="n">
        <f aca="false">IF(COUNTIFS('Source Data'!$B$2:$B$1602,$A163,'Source Data'!$D$2:$D$1602,"&lt;&gt;")=0,"",_xlfn.MINIFS('Source Data'!$D$2:$D$1602,'Source Data'!$B$2:$B$1602,$A163))</f>
        <v>6</v>
      </c>
      <c r="H163" s="6" t="n">
        <f aca="false">IF(COUNTIFS('Source Data'!$B$2:$B$1602,$A163,'Source Data'!$D$2:$D$1602,"&lt;&gt;")=0,"",_xlfn.MAXIFS('Source Data'!$D$2:$D$1602,'Source Data'!$B$2:$B$1602,$A163))</f>
        <v>6</v>
      </c>
      <c r="I163" s="6" t="str">
        <f aca="false">IF(COUNTIFS('Source Data'!$B$2:$B$1602,$A163,'Source Data'!$E$2:$E$1602,"&lt;&gt;")=0,"",AVERAGEIF('Source Data'!$B$2:$B$1602,$A163,'Source Data'!$E$2:$E$1602))</f>
        <v/>
      </c>
      <c r="J163" s="6" t="str">
        <f aca="false">IF(COUNTIFS('Source Data'!$B$2:$B$1602,$A163,'Source Data'!$E$2:$E$1602,"&lt;&gt;")=0,"",_xlfn.MINIFS('Source Data'!$E$2:$E$1602,'Source Data'!$B$2:$B$1602,$A163))</f>
        <v/>
      </c>
      <c r="K163" s="6" t="str">
        <f aca="false">IF(COUNTIFS('Source Data'!$B$2:$B$1602,$A163,'Source Data'!$E$2:$E$1602,"&lt;&gt;")=0,"",_xlfn.MAXIFS('Source Data'!$E$2:$E$1602,'Source Data'!$B$2:$B$1602,$A163))</f>
        <v/>
      </c>
      <c r="L163" s="6" t="str">
        <f aca="false">IF(COUNTIFS('Source Data'!$B$2:$B$1602,$A163,'Source Data'!$F$2:$F$1602,"&lt;&gt;")=0,"",AVERAGEIF('Source Data'!$B$2:$B$1602,$A163,'Source Data'!$F$2:$F$1602))</f>
        <v/>
      </c>
      <c r="M163" s="6" t="str">
        <f aca="false">IF(COUNTIFS('Source Data'!$B$2:$B$1602,$A163,'Source Data'!$F$2:$F$1602,"&lt;&gt;")=0,"",_xlfn.MINIFS('Source Data'!$F$2:$F$1602,'Source Data'!$B$2:$B$1602,$A163))</f>
        <v/>
      </c>
      <c r="N163" s="6" t="str">
        <f aca="false">IF(COUNTIFS('Source Data'!$B$2:$B$1602,$A163,'Source Data'!$F$2:$F$1602,"&lt;&gt;")=0,"",_xlfn.MAXIFS('Source Data'!$F$2:$F$1602,'Source Data'!$B$2:$B$1602,$A163))</f>
        <v/>
      </c>
    </row>
    <row r="164" customFormat="false" ht="15" hidden="false" customHeight="false" outlineLevel="0" collapsed="false">
      <c r="A164" s="5" t="s">
        <v>1421</v>
      </c>
      <c r="B164" s="7" t="n">
        <f aca="false">COUNTIF('Source Data'!$B$2:$B$1602,$A164)</f>
        <v>8</v>
      </c>
      <c r="C164" s="6" t="n">
        <f aca="false">IF(COUNTIFS('Source Data'!$B$2:$B$1602,$A164,'Source Data'!$C$2:$C$1602,"&lt;&gt;")=0,"",AVERAGEIF('Source Data'!$B$2:$B$1602,$A164,'Source Data'!$C$2:$C$1602))</f>
        <v>13.5</v>
      </c>
      <c r="D164" s="6" t="n">
        <f aca="false">IF(COUNTIFS('Source Data'!$B$2:$B$1602,$A164,'Source Data'!$C$2:$C$1602,"&lt;&gt;")=0,"",_xlfn.MINIFS('Source Data'!$C$2:$C$1602,'Source Data'!$B$2:$B$1602,$A164))</f>
        <v>0</v>
      </c>
      <c r="E164" s="6" t="n">
        <f aca="false">IF(COUNTIFS('Source Data'!$B$2:$B$1602,$A164,'Source Data'!$C$2:$C$1602,"&lt;&gt;")=0,"",_xlfn.MAXIFS('Source Data'!$C$2:$C$1602,'Source Data'!$B$2:$B$1602,$A164))</f>
        <v>30</v>
      </c>
      <c r="F164" s="6" t="n">
        <f aca="false">IF(COUNTIFS('Source Data'!$B$2:$B$1602,$A164,'Source Data'!$D$2:$D$1602,"&lt;&gt;")=0,"",AVERAGEIF('Source Data'!$B$2:$B$1602,$A164,'Source Data'!$D$2:$D$1602))</f>
        <v>3.78571428571429</v>
      </c>
      <c r="G164" s="6" t="n">
        <f aca="false">IF(COUNTIFS('Source Data'!$B$2:$B$1602,$A164,'Source Data'!$D$2:$D$1602,"&lt;&gt;")=0,"",_xlfn.MINIFS('Source Data'!$D$2:$D$1602,'Source Data'!$B$2:$B$1602,$A164))</f>
        <v>0</v>
      </c>
      <c r="H164" s="6" t="n">
        <f aca="false">IF(COUNTIFS('Source Data'!$B$2:$B$1602,$A164,'Source Data'!$D$2:$D$1602,"&lt;&gt;")=0,"",_xlfn.MAXIFS('Source Data'!$D$2:$D$1602,'Source Data'!$B$2:$B$1602,$A164))</f>
        <v>6.5</v>
      </c>
      <c r="I164" s="6" t="str">
        <f aca="false">IF(COUNTIFS('Source Data'!$B$2:$B$1602,$A164,'Source Data'!$E$2:$E$1602,"&lt;&gt;")=0,"",AVERAGEIF('Source Data'!$B$2:$B$1602,$A164,'Source Data'!$E$2:$E$1602))</f>
        <v/>
      </c>
      <c r="J164" s="6" t="str">
        <f aca="false">IF(COUNTIFS('Source Data'!$B$2:$B$1602,$A164,'Source Data'!$E$2:$E$1602,"&lt;&gt;")=0,"",_xlfn.MINIFS('Source Data'!$E$2:$E$1602,'Source Data'!$B$2:$B$1602,$A164))</f>
        <v/>
      </c>
      <c r="K164" s="6" t="str">
        <f aca="false">IF(COUNTIFS('Source Data'!$B$2:$B$1602,$A164,'Source Data'!$E$2:$E$1602,"&lt;&gt;")=0,"",_xlfn.MAXIFS('Source Data'!$E$2:$E$1602,'Source Data'!$B$2:$B$1602,$A164))</f>
        <v/>
      </c>
      <c r="L164" s="6" t="str">
        <f aca="false">IF(COUNTIFS('Source Data'!$B$2:$B$1602,$A164,'Source Data'!$F$2:$F$1602,"&lt;&gt;")=0,"",AVERAGEIF('Source Data'!$B$2:$B$1602,$A164,'Source Data'!$F$2:$F$1602))</f>
        <v/>
      </c>
      <c r="M164" s="6" t="str">
        <f aca="false">IF(COUNTIFS('Source Data'!$B$2:$B$1602,$A164,'Source Data'!$F$2:$F$1602,"&lt;&gt;")=0,"",_xlfn.MINIFS('Source Data'!$F$2:$F$1602,'Source Data'!$B$2:$B$1602,$A164))</f>
        <v/>
      </c>
      <c r="N164" s="6" t="str">
        <f aca="false">IF(COUNTIFS('Source Data'!$B$2:$B$1602,$A164,'Source Data'!$F$2:$F$1602,"&lt;&gt;")=0,"",_xlfn.MAXIFS('Source Data'!$F$2:$F$1602,'Source Data'!$B$2:$B$1602,$A164))</f>
        <v/>
      </c>
    </row>
    <row r="165" customFormat="false" ht="15" hidden="false" customHeight="false" outlineLevel="0" collapsed="false">
      <c r="A165" s="5" t="s">
        <v>1429</v>
      </c>
      <c r="B165" s="7" t="n">
        <f aca="false">COUNTIF('Source Data'!$B$2:$B$1602,$A165)</f>
        <v>1</v>
      </c>
      <c r="C165" s="6" t="n">
        <f aca="false">IF(COUNTIFS('Source Data'!$B$2:$B$1602,$A165,'Source Data'!$C$2:$C$1602,"&lt;&gt;")=0,"",AVERAGEIF('Source Data'!$B$2:$B$1602,$A165,'Source Data'!$C$2:$C$1602))</f>
        <v>8</v>
      </c>
      <c r="D165" s="6" t="n">
        <f aca="false">IF(COUNTIFS('Source Data'!$B$2:$B$1602,$A165,'Source Data'!$C$2:$C$1602,"&lt;&gt;")=0,"",_xlfn.MINIFS('Source Data'!$C$2:$C$1602,'Source Data'!$B$2:$B$1602,$A165))</f>
        <v>8</v>
      </c>
      <c r="E165" s="6" t="n">
        <f aca="false">IF(COUNTIFS('Source Data'!$B$2:$B$1602,$A165,'Source Data'!$C$2:$C$1602,"&lt;&gt;")=0,"",_xlfn.MAXIFS('Source Data'!$C$2:$C$1602,'Source Data'!$B$2:$B$1602,$A165))</f>
        <v>8</v>
      </c>
      <c r="F165" s="6" t="n">
        <f aca="false">IF(COUNTIFS('Source Data'!$B$2:$B$1602,$A165,'Source Data'!$D$2:$D$1602,"&lt;&gt;")=0,"",AVERAGEIF('Source Data'!$B$2:$B$1602,$A165,'Source Data'!$D$2:$D$1602))</f>
        <v>4</v>
      </c>
      <c r="G165" s="6" t="n">
        <f aca="false">IF(COUNTIFS('Source Data'!$B$2:$B$1602,$A165,'Source Data'!$D$2:$D$1602,"&lt;&gt;")=0,"",_xlfn.MINIFS('Source Data'!$D$2:$D$1602,'Source Data'!$B$2:$B$1602,$A165))</f>
        <v>4</v>
      </c>
      <c r="H165" s="6" t="n">
        <f aca="false">IF(COUNTIFS('Source Data'!$B$2:$B$1602,$A165,'Source Data'!$D$2:$D$1602,"&lt;&gt;")=0,"",_xlfn.MAXIFS('Source Data'!$D$2:$D$1602,'Source Data'!$B$2:$B$1602,$A165))</f>
        <v>4</v>
      </c>
      <c r="I165" s="6" t="str">
        <f aca="false">IF(COUNTIFS('Source Data'!$B$2:$B$1602,$A165,'Source Data'!$E$2:$E$1602,"&lt;&gt;")=0,"",AVERAGEIF('Source Data'!$B$2:$B$1602,$A165,'Source Data'!$E$2:$E$1602))</f>
        <v/>
      </c>
      <c r="J165" s="6" t="str">
        <f aca="false">IF(COUNTIFS('Source Data'!$B$2:$B$1602,$A165,'Source Data'!$E$2:$E$1602,"&lt;&gt;")=0,"",_xlfn.MINIFS('Source Data'!$E$2:$E$1602,'Source Data'!$B$2:$B$1602,$A165))</f>
        <v/>
      </c>
      <c r="K165" s="6" t="str">
        <f aca="false">IF(COUNTIFS('Source Data'!$B$2:$B$1602,$A165,'Source Data'!$E$2:$E$1602,"&lt;&gt;")=0,"",_xlfn.MAXIFS('Source Data'!$E$2:$E$1602,'Source Data'!$B$2:$B$1602,$A165))</f>
        <v/>
      </c>
      <c r="L165" s="6" t="str">
        <f aca="false">IF(COUNTIFS('Source Data'!$B$2:$B$1602,$A165,'Source Data'!$F$2:$F$1602,"&lt;&gt;")=0,"",AVERAGEIF('Source Data'!$B$2:$B$1602,$A165,'Source Data'!$F$2:$F$1602))</f>
        <v/>
      </c>
      <c r="M165" s="6" t="str">
        <f aca="false">IF(COUNTIFS('Source Data'!$B$2:$B$1602,$A165,'Source Data'!$F$2:$F$1602,"&lt;&gt;")=0,"",_xlfn.MINIFS('Source Data'!$F$2:$F$1602,'Source Data'!$B$2:$B$1602,$A165))</f>
        <v/>
      </c>
      <c r="N165" s="6" t="str">
        <f aca="false">IF(COUNTIFS('Source Data'!$B$2:$B$1602,$A165,'Source Data'!$F$2:$F$1602,"&lt;&gt;")=0,"",_xlfn.MAXIFS('Source Data'!$F$2:$F$1602,'Source Data'!$B$2:$B$1602,$A165))</f>
        <v/>
      </c>
    </row>
    <row r="166" customFormat="false" ht="15" hidden="false" customHeight="false" outlineLevel="0" collapsed="false">
      <c r="A166" s="5" t="s">
        <v>1431</v>
      </c>
      <c r="B166" s="7" t="n">
        <f aca="false">COUNTIF('Source Data'!$B$2:$B$1602,$A166)</f>
        <v>4</v>
      </c>
      <c r="C166" s="6" t="n">
        <f aca="false">IF(COUNTIFS('Source Data'!$B$2:$B$1602,$A166,'Source Data'!$C$2:$C$1602,"&lt;&gt;")=0,"",AVERAGEIF('Source Data'!$B$2:$B$1602,$A166,'Source Data'!$C$2:$C$1602))</f>
        <v>6.5</v>
      </c>
      <c r="D166" s="6" t="n">
        <f aca="false">IF(COUNTIFS('Source Data'!$B$2:$B$1602,$A166,'Source Data'!$C$2:$C$1602,"&lt;&gt;")=0,"",_xlfn.MINIFS('Source Data'!$C$2:$C$1602,'Source Data'!$B$2:$B$1602,$A166))</f>
        <v>0</v>
      </c>
      <c r="E166" s="6" t="n">
        <f aca="false">IF(COUNTIFS('Source Data'!$B$2:$B$1602,$A166,'Source Data'!$C$2:$C$1602,"&lt;&gt;")=0,"",_xlfn.MAXIFS('Source Data'!$C$2:$C$1602,'Source Data'!$B$2:$B$1602,$A166))</f>
        <v>12</v>
      </c>
      <c r="F166" s="6" t="n">
        <f aca="false">IF(COUNTIFS('Source Data'!$B$2:$B$1602,$A166,'Source Data'!$D$2:$D$1602,"&lt;&gt;")=0,"",AVERAGEIF('Source Data'!$B$2:$B$1602,$A166,'Source Data'!$D$2:$D$1602))</f>
        <v>9</v>
      </c>
      <c r="G166" s="6" t="n">
        <f aca="false">IF(COUNTIFS('Source Data'!$B$2:$B$1602,$A166,'Source Data'!$D$2:$D$1602,"&lt;&gt;")=0,"",_xlfn.MINIFS('Source Data'!$D$2:$D$1602,'Source Data'!$B$2:$B$1602,$A166))</f>
        <v>0</v>
      </c>
      <c r="H166" s="6" t="n">
        <f aca="false">IF(COUNTIFS('Source Data'!$B$2:$B$1602,$A166,'Source Data'!$D$2:$D$1602,"&lt;&gt;")=0,"",_xlfn.MAXIFS('Source Data'!$D$2:$D$1602,'Source Data'!$B$2:$B$1602,$A166))</f>
        <v>12</v>
      </c>
      <c r="I166" s="6" t="str">
        <f aca="false">IF(COUNTIFS('Source Data'!$B$2:$B$1602,$A166,'Source Data'!$E$2:$E$1602,"&lt;&gt;")=0,"",AVERAGEIF('Source Data'!$B$2:$B$1602,$A166,'Source Data'!$E$2:$E$1602))</f>
        <v/>
      </c>
      <c r="J166" s="6" t="str">
        <f aca="false">IF(COUNTIFS('Source Data'!$B$2:$B$1602,$A166,'Source Data'!$E$2:$E$1602,"&lt;&gt;")=0,"",_xlfn.MINIFS('Source Data'!$E$2:$E$1602,'Source Data'!$B$2:$B$1602,$A166))</f>
        <v/>
      </c>
      <c r="K166" s="6" t="str">
        <f aca="false">IF(COUNTIFS('Source Data'!$B$2:$B$1602,$A166,'Source Data'!$E$2:$E$1602,"&lt;&gt;")=0,"",_xlfn.MAXIFS('Source Data'!$E$2:$E$1602,'Source Data'!$B$2:$B$1602,$A166))</f>
        <v/>
      </c>
      <c r="L166" s="6" t="str">
        <f aca="false">IF(COUNTIFS('Source Data'!$B$2:$B$1602,$A166,'Source Data'!$F$2:$F$1602,"&lt;&gt;")=0,"",AVERAGEIF('Source Data'!$B$2:$B$1602,$A166,'Source Data'!$F$2:$F$1602))</f>
        <v/>
      </c>
      <c r="M166" s="6" t="str">
        <f aca="false">IF(COUNTIFS('Source Data'!$B$2:$B$1602,$A166,'Source Data'!$F$2:$F$1602,"&lt;&gt;")=0,"",_xlfn.MINIFS('Source Data'!$F$2:$F$1602,'Source Data'!$B$2:$B$1602,$A166))</f>
        <v/>
      </c>
      <c r="N166" s="6" t="str">
        <f aca="false">IF(COUNTIFS('Source Data'!$B$2:$B$1602,$A166,'Source Data'!$F$2:$F$1602,"&lt;&gt;")=0,"",_xlfn.MAXIFS('Source Data'!$F$2:$F$1602,'Source Data'!$B$2:$B$1602,$A166))</f>
        <v/>
      </c>
    </row>
    <row r="167" customFormat="false" ht="15" hidden="false" customHeight="false" outlineLevel="0" collapsed="false">
      <c r="A167" s="5" t="s">
        <v>1436</v>
      </c>
      <c r="B167" s="7" t="n">
        <f aca="false">COUNTIF('Source Data'!$B$2:$B$1602,$A167)</f>
        <v>2</v>
      </c>
      <c r="C167" s="6" t="n">
        <f aca="false">IF(COUNTIFS('Source Data'!$B$2:$B$1602,$A167,'Source Data'!$C$2:$C$1602,"&lt;&gt;")=0,"",AVERAGEIF('Source Data'!$B$2:$B$1602,$A167,'Source Data'!$C$2:$C$1602))</f>
        <v>12</v>
      </c>
      <c r="D167" s="6" t="n">
        <f aca="false">IF(COUNTIFS('Source Data'!$B$2:$B$1602,$A167,'Source Data'!$C$2:$C$1602,"&lt;&gt;")=0,"",_xlfn.MINIFS('Source Data'!$C$2:$C$1602,'Source Data'!$B$2:$B$1602,$A167))</f>
        <v>12</v>
      </c>
      <c r="E167" s="6" t="n">
        <f aca="false">IF(COUNTIFS('Source Data'!$B$2:$B$1602,$A167,'Source Data'!$C$2:$C$1602,"&lt;&gt;")=0,"",_xlfn.MAXIFS('Source Data'!$C$2:$C$1602,'Source Data'!$B$2:$B$1602,$A167))</f>
        <v>12</v>
      </c>
      <c r="F167" s="6" t="n">
        <f aca="false">IF(COUNTIFS('Source Data'!$B$2:$B$1602,$A167,'Source Data'!$D$2:$D$1602,"&lt;&gt;")=0,"",AVERAGEIF('Source Data'!$B$2:$B$1602,$A167,'Source Data'!$D$2:$D$1602))</f>
        <v>6</v>
      </c>
      <c r="G167" s="6" t="n">
        <f aca="false">IF(COUNTIFS('Source Data'!$B$2:$B$1602,$A167,'Source Data'!$D$2:$D$1602,"&lt;&gt;")=0,"",_xlfn.MINIFS('Source Data'!$D$2:$D$1602,'Source Data'!$B$2:$B$1602,$A167))</f>
        <v>0</v>
      </c>
      <c r="H167" s="6" t="n">
        <f aca="false">IF(COUNTIFS('Source Data'!$B$2:$B$1602,$A167,'Source Data'!$D$2:$D$1602,"&lt;&gt;")=0,"",_xlfn.MAXIFS('Source Data'!$D$2:$D$1602,'Source Data'!$B$2:$B$1602,$A167))</f>
        <v>12</v>
      </c>
      <c r="I167" s="6" t="str">
        <f aca="false">IF(COUNTIFS('Source Data'!$B$2:$B$1602,$A167,'Source Data'!$E$2:$E$1602,"&lt;&gt;")=0,"",AVERAGEIF('Source Data'!$B$2:$B$1602,$A167,'Source Data'!$E$2:$E$1602))</f>
        <v/>
      </c>
      <c r="J167" s="6" t="str">
        <f aca="false">IF(COUNTIFS('Source Data'!$B$2:$B$1602,$A167,'Source Data'!$E$2:$E$1602,"&lt;&gt;")=0,"",_xlfn.MINIFS('Source Data'!$E$2:$E$1602,'Source Data'!$B$2:$B$1602,$A167))</f>
        <v/>
      </c>
      <c r="K167" s="6" t="str">
        <f aca="false">IF(COUNTIFS('Source Data'!$B$2:$B$1602,$A167,'Source Data'!$E$2:$E$1602,"&lt;&gt;")=0,"",_xlfn.MAXIFS('Source Data'!$E$2:$E$1602,'Source Data'!$B$2:$B$1602,$A167))</f>
        <v/>
      </c>
      <c r="L167" s="6" t="str">
        <f aca="false">IF(COUNTIFS('Source Data'!$B$2:$B$1602,$A167,'Source Data'!$F$2:$F$1602,"&lt;&gt;")=0,"",AVERAGEIF('Source Data'!$B$2:$B$1602,$A167,'Source Data'!$F$2:$F$1602))</f>
        <v/>
      </c>
      <c r="M167" s="6" t="str">
        <f aca="false">IF(COUNTIFS('Source Data'!$B$2:$B$1602,$A167,'Source Data'!$F$2:$F$1602,"&lt;&gt;")=0,"",_xlfn.MINIFS('Source Data'!$F$2:$F$1602,'Source Data'!$B$2:$B$1602,$A167))</f>
        <v/>
      </c>
      <c r="N167" s="6" t="str">
        <f aca="false">IF(COUNTIFS('Source Data'!$B$2:$B$1602,$A167,'Source Data'!$F$2:$F$1602,"&lt;&gt;")=0,"",_xlfn.MAXIFS('Source Data'!$F$2:$F$1602,'Source Data'!$B$2:$B$1602,$A167))</f>
        <v/>
      </c>
    </row>
    <row r="168" customFormat="false" ht="15" hidden="false" customHeight="false" outlineLevel="0" collapsed="false">
      <c r="A168" s="5" t="s">
        <v>1439</v>
      </c>
      <c r="B168" s="7" t="n">
        <f aca="false">COUNTIF('Source Data'!$B$2:$B$1602,$A168)</f>
        <v>2</v>
      </c>
      <c r="C168" s="6" t="n">
        <f aca="false">IF(COUNTIFS('Source Data'!$B$2:$B$1602,$A168,'Source Data'!$C$2:$C$1602,"&lt;&gt;")=0,"",AVERAGEIF('Source Data'!$B$2:$B$1602,$A168,'Source Data'!$C$2:$C$1602))</f>
        <v>8.5</v>
      </c>
      <c r="D168" s="6" t="n">
        <f aca="false">IF(COUNTIFS('Source Data'!$B$2:$B$1602,$A168,'Source Data'!$C$2:$C$1602,"&lt;&gt;")=0,"",_xlfn.MINIFS('Source Data'!$C$2:$C$1602,'Source Data'!$B$2:$B$1602,$A168))</f>
        <v>1</v>
      </c>
      <c r="E168" s="6" t="n">
        <f aca="false">IF(COUNTIFS('Source Data'!$B$2:$B$1602,$A168,'Source Data'!$C$2:$C$1602,"&lt;&gt;")=0,"",_xlfn.MAXIFS('Source Data'!$C$2:$C$1602,'Source Data'!$B$2:$B$1602,$A168))</f>
        <v>16</v>
      </c>
      <c r="F168" s="6" t="n">
        <f aca="false">IF(COUNTIFS('Source Data'!$B$2:$B$1602,$A168,'Source Data'!$D$2:$D$1602,"&lt;&gt;")=0,"",AVERAGEIF('Source Data'!$B$2:$B$1602,$A168,'Source Data'!$D$2:$D$1602))</f>
        <v>0</v>
      </c>
      <c r="G168" s="6" t="n">
        <f aca="false">IF(COUNTIFS('Source Data'!$B$2:$B$1602,$A168,'Source Data'!$D$2:$D$1602,"&lt;&gt;")=0,"",_xlfn.MINIFS('Source Data'!$D$2:$D$1602,'Source Data'!$B$2:$B$1602,$A168))</f>
        <v>0</v>
      </c>
      <c r="H168" s="6" t="n">
        <f aca="false">IF(COUNTIFS('Source Data'!$B$2:$B$1602,$A168,'Source Data'!$D$2:$D$1602,"&lt;&gt;")=0,"",_xlfn.MAXIFS('Source Data'!$D$2:$D$1602,'Source Data'!$B$2:$B$1602,$A168))</f>
        <v>0</v>
      </c>
      <c r="I168" s="6" t="str">
        <f aca="false">IF(COUNTIFS('Source Data'!$B$2:$B$1602,$A168,'Source Data'!$E$2:$E$1602,"&lt;&gt;")=0,"",AVERAGEIF('Source Data'!$B$2:$B$1602,$A168,'Source Data'!$E$2:$E$1602))</f>
        <v/>
      </c>
      <c r="J168" s="6" t="str">
        <f aca="false">IF(COUNTIFS('Source Data'!$B$2:$B$1602,$A168,'Source Data'!$E$2:$E$1602,"&lt;&gt;")=0,"",_xlfn.MINIFS('Source Data'!$E$2:$E$1602,'Source Data'!$B$2:$B$1602,$A168))</f>
        <v/>
      </c>
      <c r="K168" s="6" t="str">
        <f aca="false">IF(COUNTIFS('Source Data'!$B$2:$B$1602,$A168,'Source Data'!$E$2:$E$1602,"&lt;&gt;")=0,"",_xlfn.MAXIFS('Source Data'!$E$2:$E$1602,'Source Data'!$B$2:$B$1602,$A168))</f>
        <v/>
      </c>
      <c r="L168" s="6" t="str">
        <f aca="false">IF(COUNTIFS('Source Data'!$B$2:$B$1602,$A168,'Source Data'!$F$2:$F$1602,"&lt;&gt;")=0,"",AVERAGEIF('Source Data'!$B$2:$B$1602,$A168,'Source Data'!$F$2:$F$1602))</f>
        <v/>
      </c>
      <c r="M168" s="6" t="str">
        <f aca="false">IF(COUNTIFS('Source Data'!$B$2:$B$1602,$A168,'Source Data'!$F$2:$F$1602,"&lt;&gt;")=0,"",_xlfn.MINIFS('Source Data'!$F$2:$F$1602,'Source Data'!$B$2:$B$1602,$A168))</f>
        <v/>
      </c>
      <c r="N168" s="6" t="str">
        <f aca="false">IF(COUNTIFS('Source Data'!$B$2:$B$1602,$A168,'Source Data'!$F$2:$F$1602,"&lt;&gt;")=0,"",_xlfn.MAXIFS('Source Data'!$F$2:$F$1602,'Source Data'!$B$2:$B$1602,$A168))</f>
        <v/>
      </c>
    </row>
    <row r="169" customFormat="false" ht="15" hidden="false" customHeight="false" outlineLevel="0" collapsed="false">
      <c r="A169" s="5" t="s">
        <v>1442</v>
      </c>
      <c r="B169" s="7" t="n">
        <f aca="false">COUNTIF('Source Data'!$B$2:$B$1602,$A169)</f>
        <v>1</v>
      </c>
      <c r="C169" s="6" t="n">
        <f aca="false">IF(COUNTIFS('Source Data'!$B$2:$B$1602,$A169,'Source Data'!$C$2:$C$1602,"&lt;&gt;")=0,"",AVERAGEIF('Source Data'!$B$2:$B$1602,$A169,'Source Data'!$C$2:$C$1602))</f>
        <v>18</v>
      </c>
      <c r="D169" s="6" t="n">
        <f aca="false">IF(COUNTIFS('Source Data'!$B$2:$B$1602,$A169,'Source Data'!$C$2:$C$1602,"&lt;&gt;")=0,"",_xlfn.MINIFS('Source Data'!$C$2:$C$1602,'Source Data'!$B$2:$B$1602,$A169))</f>
        <v>18</v>
      </c>
      <c r="E169" s="6" t="n">
        <f aca="false">IF(COUNTIFS('Source Data'!$B$2:$B$1602,$A169,'Source Data'!$C$2:$C$1602,"&lt;&gt;")=0,"",_xlfn.MAXIFS('Source Data'!$C$2:$C$1602,'Source Data'!$B$2:$B$1602,$A169))</f>
        <v>18</v>
      </c>
      <c r="F169" s="6" t="n">
        <f aca="false">IF(COUNTIFS('Source Data'!$B$2:$B$1602,$A169,'Source Data'!$D$2:$D$1602,"&lt;&gt;")=0,"",AVERAGEIF('Source Data'!$B$2:$B$1602,$A169,'Source Data'!$D$2:$D$1602))</f>
        <v>2</v>
      </c>
      <c r="G169" s="6" t="n">
        <f aca="false">IF(COUNTIFS('Source Data'!$B$2:$B$1602,$A169,'Source Data'!$D$2:$D$1602,"&lt;&gt;")=0,"",_xlfn.MINIFS('Source Data'!$D$2:$D$1602,'Source Data'!$B$2:$B$1602,$A169))</f>
        <v>2</v>
      </c>
      <c r="H169" s="6" t="n">
        <f aca="false">IF(COUNTIFS('Source Data'!$B$2:$B$1602,$A169,'Source Data'!$D$2:$D$1602,"&lt;&gt;")=0,"",_xlfn.MAXIFS('Source Data'!$D$2:$D$1602,'Source Data'!$B$2:$B$1602,$A169))</f>
        <v>2</v>
      </c>
      <c r="I169" s="6" t="str">
        <f aca="false">IF(COUNTIFS('Source Data'!$B$2:$B$1602,$A169,'Source Data'!$E$2:$E$1602,"&lt;&gt;")=0,"",AVERAGEIF('Source Data'!$B$2:$B$1602,$A169,'Source Data'!$E$2:$E$1602))</f>
        <v/>
      </c>
      <c r="J169" s="6" t="str">
        <f aca="false">IF(COUNTIFS('Source Data'!$B$2:$B$1602,$A169,'Source Data'!$E$2:$E$1602,"&lt;&gt;")=0,"",_xlfn.MINIFS('Source Data'!$E$2:$E$1602,'Source Data'!$B$2:$B$1602,$A169))</f>
        <v/>
      </c>
      <c r="K169" s="6" t="str">
        <f aca="false">IF(COUNTIFS('Source Data'!$B$2:$B$1602,$A169,'Source Data'!$E$2:$E$1602,"&lt;&gt;")=0,"",_xlfn.MAXIFS('Source Data'!$E$2:$E$1602,'Source Data'!$B$2:$B$1602,$A169))</f>
        <v/>
      </c>
      <c r="L169" s="6" t="str">
        <f aca="false">IF(COUNTIFS('Source Data'!$B$2:$B$1602,$A169,'Source Data'!$F$2:$F$1602,"&lt;&gt;")=0,"",AVERAGEIF('Source Data'!$B$2:$B$1602,$A169,'Source Data'!$F$2:$F$1602))</f>
        <v/>
      </c>
      <c r="M169" s="6" t="str">
        <f aca="false">IF(COUNTIFS('Source Data'!$B$2:$B$1602,$A169,'Source Data'!$F$2:$F$1602,"&lt;&gt;")=0,"",_xlfn.MINIFS('Source Data'!$F$2:$F$1602,'Source Data'!$B$2:$B$1602,$A169))</f>
        <v/>
      </c>
      <c r="N169" s="6" t="str">
        <f aca="false">IF(COUNTIFS('Source Data'!$B$2:$B$1602,$A169,'Source Data'!$F$2:$F$1602,"&lt;&gt;")=0,"",_xlfn.MAXIFS('Source Data'!$F$2:$F$1602,'Source Data'!$B$2:$B$1602,$A169))</f>
        <v/>
      </c>
    </row>
    <row r="170" customFormat="false" ht="15" hidden="false" customHeight="false" outlineLevel="0" collapsed="false">
      <c r="A170" s="5" t="s">
        <v>76</v>
      </c>
      <c r="B170" s="7" t="n">
        <f aca="false">COUNTIF('Source Data'!$B$2:$B$1602,$A170)</f>
        <v>38</v>
      </c>
      <c r="C170" s="6" t="n">
        <f aca="false">IF(COUNTIFS('Source Data'!$B$2:$B$1602,$A170,'Source Data'!$C$2:$C$1602,"&lt;&gt;")=0,"",AVERAGEIF('Source Data'!$B$2:$B$1602,$A170,'Source Data'!$C$2:$C$1602))</f>
        <v>10.8421052631579</v>
      </c>
      <c r="D170" s="6" t="n">
        <f aca="false">IF(COUNTIFS('Source Data'!$B$2:$B$1602,$A170,'Source Data'!$C$2:$C$1602,"&lt;&gt;")=0,"",_xlfn.MINIFS('Source Data'!$C$2:$C$1602,'Source Data'!$B$2:$B$1602,$A170))</f>
        <v>0</v>
      </c>
      <c r="E170" s="6" t="n">
        <f aca="false">IF(COUNTIFS('Source Data'!$B$2:$B$1602,$A170,'Source Data'!$C$2:$C$1602,"&lt;&gt;")=0,"",_xlfn.MAXIFS('Source Data'!$C$2:$C$1602,'Source Data'!$B$2:$B$1602,$A170))</f>
        <v>26</v>
      </c>
      <c r="F170" s="6" t="n">
        <f aca="false">IF(COUNTIFS('Source Data'!$B$2:$B$1602,$A170,'Source Data'!$D$2:$D$1602,"&lt;&gt;")=0,"",AVERAGEIF('Source Data'!$B$2:$B$1602,$A170,'Source Data'!$D$2:$D$1602))</f>
        <v>6.63888888888889</v>
      </c>
      <c r="G170" s="6" t="n">
        <f aca="false">IF(COUNTIFS('Source Data'!$B$2:$B$1602,$A170,'Source Data'!$D$2:$D$1602,"&lt;&gt;")=0,"",_xlfn.MINIFS('Source Data'!$D$2:$D$1602,'Source Data'!$B$2:$B$1602,$A170))</f>
        <v>0</v>
      </c>
      <c r="H170" s="6" t="n">
        <f aca="false">IF(COUNTIFS('Source Data'!$B$2:$B$1602,$A170,'Source Data'!$D$2:$D$1602,"&lt;&gt;")=0,"",_xlfn.MAXIFS('Source Data'!$D$2:$D$1602,'Source Data'!$B$2:$B$1602,$A170))</f>
        <v>26</v>
      </c>
      <c r="I170" s="6" t="n">
        <f aca="false">IF(COUNTIFS('Source Data'!$B$2:$B$1602,$A170,'Source Data'!$E$2:$E$1602,"&lt;&gt;")=0,"",AVERAGEIF('Source Data'!$B$2:$B$1602,$A170,'Source Data'!$E$2:$E$1602))</f>
        <v>9.875</v>
      </c>
      <c r="J170" s="6" t="n">
        <f aca="false">IF(COUNTIFS('Source Data'!$B$2:$B$1602,$A170,'Source Data'!$E$2:$E$1602,"&lt;&gt;")=0,"",_xlfn.MINIFS('Source Data'!$E$2:$E$1602,'Source Data'!$B$2:$B$1602,$A170))</f>
        <v>1</v>
      </c>
      <c r="K170" s="6" t="n">
        <f aca="false">IF(COUNTIFS('Source Data'!$B$2:$B$1602,$A170,'Source Data'!$E$2:$E$1602,"&lt;&gt;")=0,"",_xlfn.MAXIFS('Source Data'!$E$2:$E$1602,'Source Data'!$B$2:$B$1602,$A170))</f>
        <v>26</v>
      </c>
      <c r="L170" s="6" t="n">
        <f aca="false">IF(COUNTIFS('Source Data'!$B$2:$B$1602,$A170,'Source Data'!$F$2:$F$1602,"&lt;&gt;")=0,"",AVERAGEIF('Source Data'!$B$2:$B$1602,$A170,'Source Data'!$F$2:$F$1602))</f>
        <v>6</v>
      </c>
      <c r="M170" s="6" t="n">
        <f aca="false">IF(COUNTIFS('Source Data'!$B$2:$B$1602,$A170,'Source Data'!$F$2:$F$1602,"&lt;&gt;")=0,"",_xlfn.MINIFS('Source Data'!$F$2:$F$1602,'Source Data'!$B$2:$B$1602,$A170))</f>
        <v>4</v>
      </c>
      <c r="N170" s="6" t="n">
        <f aca="false">IF(COUNTIFS('Source Data'!$B$2:$B$1602,$A170,'Source Data'!$F$2:$F$1602,"&lt;&gt;")=0,"",_xlfn.MAXIFS('Source Data'!$F$2:$F$1602,'Source Data'!$B$2:$B$1602,$A170))</f>
        <v>8</v>
      </c>
    </row>
    <row r="171" customFormat="false" ht="15" hidden="false" customHeight="false" outlineLevel="0" collapsed="false">
      <c r="A171" s="5" t="s">
        <v>78</v>
      </c>
      <c r="B171" s="7" t="n">
        <f aca="false">COUNTIF('Source Data'!$B$2:$B$1602,$A171)</f>
        <v>64</v>
      </c>
      <c r="C171" s="6" t="n">
        <f aca="false">IF(COUNTIFS('Source Data'!$B$2:$B$1602,$A171,'Source Data'!$C$2:$C$1602,"&lt;&gt;")=0,"",AVERAGEIF('Source Data'!$B$2:$B$1602,$A171,'Source Data'!$C$2:$C$1602))</f>
        <v>15.3984375</v>
      </c>
      <c r="D171" s="6" t="n">
        <f aca="false">IF(COUNTIFS('Source Data'!$B$2:$B$1602,$A171,'Source Data'!$C$2:$C$1602,"&lt;&gt;")=0,"",_xlfn.MINIFS('Source Data'!$C$2:$C$1602,'Source Data'!$B$2:$B$1602,$A171))</f>
        <v>1</v>
      </c>
      <c r="E171" s="6" t="n">
        <f aca="false">IF(COUNTIFS('Source Data'!$B$2:$B$1602,$A171,'Source Data'!$C$2:$C$1602,"&lt;&gt;")=0,"",_xlfn.MAXIFS('Source Data'!$C$2:$C$1602,'Source Data'!$B$2:$B$1602,$A171))</f>
        <v>52</v>
      </c>
      <c r="F171" s="6" t="n">
        <f aca="false">IF(COUNTIFS('Source Data'!$B$2:$B$1602,$A171,'Source Data'!$D$2:$D$1602,"&lt;&gt;")=0,"",AVERAGEIF('Source Data'!$B$2:$B$1602,$A171,'Source Data'!$D$2:$D$1602))</f>
        <v>3.625</v>
      </c>
      <c r="G171" s="6" t="n">
        <f aca="false">IF(COUNTIFS('Source Data'!$B$2:$B$1602,$A171,'Source Data'!$D$2:$D$1602,"&lt;&gt;")=0,"",_xlfn.MINIFS('Source Data'!$D$2:$D$1602,'Source Data'!$B$2:$B$1602,$A171))</f>
        <v>0</v>
      </c>
      <c r="H171" s="6" t="n">
        <f aca="false">IF(COUNTIFS('Source Data'!$B$2:$B$1602,$A171,'Source Data'!$D$2:$D$1602,"&lt;&gt;")=0,"",_xlfn.MAXIFS('Source Data'!$D$2:$D$1602,'Source Data'!$B$2:$B$1602,$A171))</f>
        <v>26</v>
      </c>
      <c r="I171" s="6" t="n">
        <f aca="false">IF(COUNTIFS('Source Data'!$B$2:$B$1602,$A171,'Source Data'!$E$2:$E$1602,"&lt;&gt;")=0,"",AVERAGEIF('Source Data'!$B$2:$B$1602,$A171,'Source Data'!$E$2:$E$1602))</f>
        <v>13.9444444444444</v>
      </c>
      <c r="J171" s="6" t="n">
        <f aca="false">IF(COUNTIFS('Source Data'!$B$2:$B$1602,$A171,'Source Data'!$E$2:$E$1602,"&lt;&gt;")=0,"",_xlfn.MINIFS('Source Data'!$E$2:$E$1602,'Source Data'!$B$2:$B$1602,$A171))</f>
        <v>2</v>
      </c>
      <c r="K171" s="6" t="n">
        <f aca="false">IF(COUNTIFS('Source Data'!$B$2:$B$1602,$A171,'Source Data'!$E$2:$E$1602,"&lt;&gt;")=0,"",_xlfn.MAXIFS('Source Data'!$E$2:$E$1602,'Source Data'!$B$2:$B$1602,$A171))</f>
        <v>24</v>
      </c>
      <c r="L171" s="6" t="n">
        <f aca="false">IF(COUNTIFS('Source Data'!$B$2:$B$1602,$A171,'Source Data'!$F$2:$F$1602,"&lt;&gt;")=0,"",AVERAGEIF('Source Data'!$B$2:$B$1602,$A171,'Source Data'!$F$2:$F$1602))</f>
        <v>9.25</v>
      </c>
      <c r="M171" s="6" t="n">
        <f aca="false">IF(COUNTIFS('Source Data'!$B$2:$B$1602,$A171,'Source Data'!$F$2:$F$1602,"&lt;&gt;")=0,"",_xlfn.MINIFS('Source Data'!$F$2:$F$1602,'Source Data'!$B$2:$B$1602,$A171))</f>
        <v>2</v>
      </c>
      <c r="N171" s="6" t="n">
        <f aca="false">IF(COUNTIFS('Source Data'!$B$2:$B$1602,$A171,'Source Data'!$F$2:$F$1602,"&lt;&gt;")=0,"",_xlfn.MAXIFS('Source Data'!$F$2:$F$1602,'Source Data'!$B$2:$B$1602,$A171))</f>
        <v>24</v>
      </c>
    </row>
    <row r="172" customFormat="false" ht="15" hidden="false" customHeight="false" outlineLevel="0" collapsed="false">
      <c r="A172" s="5" t="s">
        <v>327</v>
      </c>
      <c r="B172" s="7" t="n">
        <f aca="false">COUNTIF('Source Data'!$B$2:$B$1602,$A172)</f>
        <v>6</v>
      </c>
      <c r="C172" s="6" t="n">
        <f aca="false">IF(COUNTIFS('Source Data'!$B$2:$B$1602,$A172,'Source Data'!$C$2:$C$1602,"&lt;&gt;")=0,"",AVERAGEIF('Source Data'!$B$2:$B$1602,$A172,'Source Data'!$C$2:$C$1602))</f>
        <v>8.5</v>
      </c>
      <c r="D172" s="6" t="n">
        <f aca="false">IF(COUNTIFS('Source Data'!$B$2:$B$1602,$A172,'Source Data'!$C$2:$C$1602,"&lt;&gt;")=0,"",_xlfn.MINIFS('Source Data'!$C$2:$C$1602,'Source Data'!$B$2:$B$1602,$A172))</f>
        <v>2</v>
      </c>
      <c r="E172" s="6" t="n">
        <f aca="false">IF(COUNTIFS('Source Data'!$B$2:$B$1602,$A172,'Source Data'!$C$2:$C$1602,"&lt;&gt;")=0,"",_xlfn.MAXIFS('Source Data'!$C$2:$C$1602,'Source Data'!$B$2:$B$1602,$A172))</f>
        <v>13</v>
      </c>
      <c r="F172" s="6" t="n">
        <f aca="false">IF(COUNTIFS('Source Data'!$B$2:$B$1602,$A172,'Source Data'!$D$2:$D$1602,"&lt;&gt;")=0,"",AVERAGEIF('Source Data'!$B$2:$B$1602,$A172,'Source Data'!$D$2:$D$1602))</f>
        <v>1.4</v>
      </c>
      <c r="G172" s="6" t="n">
        <f aca="false">IF(COUNTIFS('Source Data'!$B$2:$B$1602,$A172,'Source Data'!$D$2:$D$1602,"&lt;&gt;")=0,"",_xlfn.MINIFS('Source Data'!$D$2:$D$1602,'Source Data'!$B$2:$B$1602,$A172))</f>
        <v>0</v>
      </c>
      <c r="H172" s="6" t="n">
        <f aca="false">IF(COUNTIFS('Source Data'!$B$2:$B$1602,$A172,'Source Data'!$D$2:$D$1602,"&lt;&gt;")=0,"",_xlfn.MAXIFS('Source Data'!$D$2:$D$1602,'Source Data'!$B$2:$B$1602,$A172))</f>
        <v>7</v>
      </c>
      <c r="I172" s="6" t="n">
        <f aca="false">IF(COUNTIFS('Source Data'!$B$2:$B$1602,$A172,'Source Data'!$E$2:$E$1602,"&lt;&gt;")=0,"",AVERAGEIF('Source Data'!$B$2:$B$1602,$A172,'Source Data'!$E$2:$E$1602))</f>
        <v>4</v>
      </c>
      <c r="J172" s="6" t="n">
        <f aca="false">IF(COUNTIFS('Source Data'!$B$2:$B$1602,$A172,'Source Data'!$E$2:$E$1602,"&lt;&gt;")=0,"",_xlfn.MINIFS('Source Data'!$E$2:$E$1602,'Source Data'!$B$2:$B$1602,$A172))</f>
        <v>2</v>
      </c>
      <c r="K172" s="6" t="n">
        <f aca="false">IF(COUNTIFS('Source Data'!$B$2:$B$1602,$A172,'Source Data'!$E$2:$E$1602,"&lt;&gt;")=0,"",_xlfn.MAXIFS('Source Data'!$E$2:$E$1602,'Source Data'!$B$2:$B$1602,$A172))</f>
        <v>6</v>
      </c>
      <c r="L172" s="6" t="str">
        <f aca="false">IF(COUNTIFS('Source Data'!$B$2:$B$1602,$A172,'Source Data'!$F$2:$F$1602,"&lt;&gt;")=0,"",AVERAGEIF('Source Data'!$B$2:$B$1602,$A172,'Source Data'!$F$2:$F$1602))</f>
        <v/>
      </c>
      <c r="M172" s="6" t="str">
        <f aca="false">IF(COUNTIFS('Source Data'!$B$2:$B$1602,$A172,'Source Data'!$F$2:$F$1602,"&lt;&gt;")=0,"",_xlfn.MINIFS('Source Data'!$F$2:$F$1602,'Source Data'!$B$2:$B$1602,$A172))</f>
        <v/>
      </c>
      <c r="N172" s="6" t="str">
        <f aca="false">IF(COUNTIFS('Source Data'!$B$2:$B$1602,$A172,'Source Data'!$F$2:$F$1602,"&lt;&gt;")=0,"",_xlfn.MAXIFS('Source Data'!$F$2:$F$1602,'Source Data'!$B$2:$B$1602,$A172))</f>
        <v/>
      </c>
    </row>
    <row r="173" customFormat="false" ht="15" hidden="false" customHeight="false" outlineLevel="0" collapsed="false">
      <c r="A173" s="5" t="s">
        <v>83</v>
      </c>
      <c r="B173" s="7" t="n">
        <f aca="false">COUNTIF('Source Data'!$B$2:$B$1602,$A173)</f>
        <v>5</v>
      </c>
      <c r="C173" s="6" t="n">
        <f aca="false">IF(COUNTIFS('Source Data'!$B$2:$B$1602,$A173,'Source Data'!$C$2:$C$1602,"&lt;&gt;")=0,"",AVERAGEIF('Source Data'!$B$2:$B$1602,$A173,'Source Data'!$C$2:$C$1602))</f>
        <v>15.4</v>
      </c>
      <c r="D173" s="6" t="n">
        <f aca="false">IF(COUNTIFS('Source Data'!$B$2:$B$1602,$A173,'Source Data'!$C$2:$C$1602,"&lt;&gt;")=0,"",_xlfn.MINIFS('Source Data'!$C$2:$C$1602,'Source Data'!$B$2:$B$1602,$A173))</f>
        <v>11</v>
      </c>
      <c r="E173" s="6" t="n">
        <f aca="false">IF(COUNTIFS('Source Data'!$B$2:$B$1602,$A173,'Source Data'!$C$2:$C$1602,"&lt;&gt;")=0,"",_xlfn.MAXIFS('Source Data'!$C$2:$C$1602,'Source Data'!$B$2:$B$1602,$A173))</f>
        <v>26</v>
      </c>
      <c r="F173" s="6" t="n">
        <f aca="false">IF(COUNTIFS('Source Data'!$B$2:$B$1602,$A173,'Source Data'!$D$2:$D$1602,"&lt;&gt;")=0,"",AVERAGEIF('Source Data'!$B$2:$B$1602,$A173,'Source Data'!$D$2:$D$1602))</f>
        <v>6.1</v>
      </c>
      <c r="G173" s="6" t="n">
        <f aca="false">IF(COUNTIFS('Source Data'!$B$2:$B$1602,$A173,'Source Data'!$D$2:$D$1602,"&lt;&gt;")=0,"",_xlfn.MINIFS('Source Data'!$D$2:$D$1602,'Source Data'!$B$2:$B$1602,$A173))</f>
        <v>0</v>
      </c>
      <c r="H173" s="6" t="n">
        <f aca="false">IF(COUNTIFS('Source Data'!$B$2:$B$1602,$A173,'Source Data'!$D$2:$D$1602,"&lt;&gt;")=0,"",_xlfn.MAXIFS('Source Data'!$D$2:$D$1602,'Source Data'!$B$2:$B$1602,$A173))</f>
        <v>12</v>
      </c>
      <c r="I173" s="6" t="n">
        <f aca="false">IF(COUNTIFS('Source Data'!$B$2:$B$1602,$A173,'Source Data'!$E$2:$E$1602,"&lt;&gt;")=0,"",AVERAGEIF('Source Data'!$B$2:$B$1602,$A173,'Source Data'!$E$2:$E$1602))</f>
        <v>13.6666666666667</v>
      </c>
      <c r="J173" s="6" t="n">
        <f aca="false">IF(COUNTIFS('Source Data'!$B$2:$B$1602,$A173,'Source Data'!$E$2:$E$1602,"&lt;&gt;")=0,"",_xlfn.MINIFS('Source Data'!$E$2:$E$1602,'Source Data'!$B$2:$B$1602,$A173))</f>
        <v>11</v>
      </c>
      <c r="K173" s="6" t="n">
        <f aca="false">IF(COUNTIFS('Source Data'!$B$2:$B$1602,$A173,'Source Data'!$E$2:$E$1602,"&lt;&gt;")=0,"",_xlfn.MAXIFS('Source Data'!$E$2:$E$1602,'Source Data'!$B$2:$B$1602,$A173))</f>
        <v>18</v>
      </c>
      <c r="L173" s="6" t="n">
        <f aca="false">IF(COUNTIFS('Source Data'!$B$2:$B$1602,$A173,'Source Data'!$F$2:$F$1602,"&lt;&gt;")=0,"",AVERAGEIF('Source Data'!$B$2:$B$1602,$A173,'Source Data'!$F$2:$F$1602))</f>
        <v>12</v>
      </c>
      <c r="M173" s="6" t="n">
        <f aca="false">IF(COUNTIFS('Source Data'!$B$2:$B$1602,$A173,'Source Data'!$F$2:$F$1602,"&lt;&gt;")=0,"",_xlfn.MINIFS('Source Data'!$F$2:$F$1602,'Source Data'!$B$2:$B$1602,$A173))</f>
        <v>12</v>
      </c>
      <c r="N173" s="6" t="n">
        <f aca="false">IF(COUNTIFS('Source Data'!$B$2:$B$1602,$A173,'Source Data'!$F$2:$F$1602,"&lt;&gt;")=0,"",_xlfn.MAXIFS('Source Data'!$F$2:$F$1602,'Source Data'!$B$2:$B$1602,$A173))</f>
        <v>12</v>
      </c>
    </row>
    <row r="174" customFormat="false" ht="15" hidden="false" customHeight="false" outlineLevel="0" collapsed="false">
      <c r="A174" s="5" t="s">
        <v>333</v>
      </c>
      <c r="B174" s="7" t="n">
        <f aca="false">COUNTIF('Source Data'!$B$2:$B$1602,$A174)</f>
        <v>30</v>
      </c>
      <c r="C174" s="6" t="n">
        <f aca="false">IF(COUNTIFS('Source Data'!$B$2:$B$1602,$A174,'Source Data'!$C$2:$C$1602,"&lt;&gt;")=0,"",AVERAGEIF('Source Data'!$B$2:$B$1602,$A174,'Source Data'!$C$2:$C$1602))</f>
        <v>12.2</v>
      </c>
      <c r="D174" s="6" t="n">
        <f aca="false">IF(COUNTIFS('Source Data'!$B$2:$B$1602,$A174,'Source Data'!$C$2:$C$1602,"&lt;&gt;")=0,"",_xlfn.MINIFS('Source Data'!$C$2:$C$1602,'Source Data'!$B$2:$B$1602,$A174))</f>
        <v>1</v>
      </c>
      <c r="E174" s="6" t="n">
        <f aca="false">IF(COUNTIFS('Source Data'!$B$2:$B$1602,$A174,'Source Data'!$C$2:$C$1602,"&lt;&gt;")=0,"",_xlfn.MAXIFS('Source Data'!$C$2:$C$1602,'Source Data'!$B$2:$B$1602,$A174))</f>
        <v>24</v>
      </c>
      <c r="F174" s="6" t="n">
        <f aca="false">IF(COUNTIFS('Source Data'!$B$2:$B$1602,$A174,'Source Data'!$D$2:$D$1602,"&lt;&gt;")=0,"",AVERAGEIF('Source Data'!$B$2:$B$1602,$A174,'Source Data'!$D$2:$D$1602))</f>
        <v>5.80769230769231</v>
      </c>
      <c r="G174" s="6" t="n">
        <f aca="false">IF(COUNTIFS('Source Data'!$B$2:$B$1602,$A174,'Source Data'!$D$2:$D$1602,"&lt;&gt;")=0,"",_xlfn.MINIFS('Source Data'!$D$2:$D$1602,'Source Data'!$B$2:$B$1602,$A174))</f>
        <v>0</v>
      </c>
      <c r="H174" s="6" t="n">
        <f aca="false">IF(COUNTIFS('Source Data'!$B$2:$B$1602,$A174,'Source Data'!$D$2:$D$1602,"&lt;&gt;")=0,"",_xlfn.MAXIFS('Source Data'!$D$2:$D$1602,'Source Data'!$B$2:$B$1602,$A174))</f>
        <v>46</v>
      </c>
      <c r="I174" s="6" t="n">
        <f aca="false">IF(COUNTIFS('Source Data'!$B$2:$B$1602,$A174,'Source Data'!$E$2:$E$1602,"&lt;&gt;")=0,"",AVERAGEIF('Source Data'!$B$2:$B$1602,$A174,'Source Data'!$E$2:$E$1602))</f>
        <v>6.5625</v>
      </c>
      <c r="J174" s="6" t="n">
        <f aca="false">IF(COUNTIFS('Source Data'!$B$2:$B$1602,$A174,'Source Data'!$E$2:$E$1602,"&lt;&gt;")=0,"",_xlfn.MINIFS('Source Data'!$E$2:$E$1602,'Source Data'!$B$2:$B$1602,$A174))</f>
        <v>0</v>
      </c>
      <c r="K174" s="6" t="n">
        <f aca="false">IF(COUNTIFS('Source Data'!$B$2:$B$1602,$A174,'Source Data'!$E$2:$E$1602,"&lt;&gt;")=0,"",_xlfn.MAXIFS('Source Data'!$E$2:$E$1602,'Source Data'!$B$2:$B$1602,$A174))</f>
        <v>12</v>
      </c>
      <c r="L174" s="6" t="n">
        <f aca="false">IF(COUNTIFS('Source Data'!$B$2:$B$1602,$A174,'Source Data'!$F$2:$F$1602,"&lt;&gt;")=0,"",AVERAGEIF('Source Data'!$B$2:$B$1602,$A174,'Source Data'!$F$2:$F$1602))</f>
        <v>0</v>
      </c>
      <c r="M174" s="6" t="n">
        <f aca="false">IF(COUNTIFS('Source Data'!$B$2:$B$1602,$A174,'Source Data'!$F$2:$F$1602,"&lt;&gt;")=0,"",_xlfn.MINIFS('Source Data'!$F$2:$F$1602,'Source Data'!$B$2:$B$1602,$A174))</f>
        <v>0</v>
      </c>
      <c r="N174" s="6" t="n">
        <f aca="false">IF(COUNTIFS('Source Data'!$B$2:$B$1602,$A174,'Source Data'!$F$2:$F$1602,"&lt;&gt;")=0,"",_xlfn.MAXIFS('Source Data'!$F$2:$F$1602,'Source Data'!$B$2:$B$1602,$A174))</f>
        <v>0</v>
      </c>
    </row>
    <row r="175" customFormat="false" ht="15" hidden="false" customHeight="false" outlineLevel="0" collapsed="false">
      <c r="A175" s="5" t="s">
        <v>341</v>
      </c>
      <c r="B175" s="7" t="n">
        <f aca="false">COUNTIF('Source Data'!$B$2:$B$1602,$A175)</f>
        <v>10</v>
      </c>
      <c r="C175" s="6" t="n">
        <f aca="false">IF(COUNTIFS('Source Data'!$B$2:$B$1602,$A175,'Source Data'!$C$2:$C$1602,"&lt;&gt;")=0,"",AVERAGEIF('Source Data'!$B$2:$B$1602,$A175,'Source Data'!$C$2:$C$1602))</f>
        <v>13.1</v>
      </c>
      <c r="D175" s="6" t="n">
        <f aca="false">IF(COUNTIFS('Source Data'!$B$2:$B$1602,$A175,'Source Data'!$C$2:$C$1602,"&lt;&gt;")=0,"",_xlfn.MINIFS('Source Data'!$C$2:$C$1602,'Source Data'!$B$2:$B$1602,$A175))</f>
        <v>12</v>
      </c>
      <c r="E175" s="6" t="n">
        <f aca="false">IF(COUNTIFS('Source Data'!$B$2:$B$1602,$A175,'Source Data'!$C$2:$C$1602,"&lt;&gt;")=0,"",_xlfn.MAXIFS('Source Data'!$C$2:$C$1602,'Source Data'!$B$2:$B$1602,$A175))</f>
        <v>16</v>
      </c>
      <c r="F175" s="6" t="n">
        <f aca="false">IF(COUNTIFS('Source Data'!$B$2:$B$1602,$A175,'Source Data'!$D$2:$D$1602,"&lt;&gt;")=0,"",AVERAGEIF('Source Data'!$B$2:$B$1602,$A175,'Source Data'!$D$2:$D$1602))</f>
        <v>6.7</v>
      </c>
      <c r="G175" s="6" t="n">
        <f aca="false">IF(COUNTIFS('Source Data'!$B$2:$B$1602,$A175,'Source Data'!$D$2:$D$1602,"&lt;&gt;")=0,"",_xlfn.MINIFS('Source Data'!$D$2:$D$1602,'Source Data'!$B$2:$B$1602,$A175))</f>
        <v>0</v>
      </c>
      <c r="H175" s="6" t="n">
        <f aca="false">IF(COUNTIFS('Source Data'!$B$2:$B$1602,$A175,'Source Data'!$D$2:$D$1602,"&lt;&gt;")=0,"",_xlfn.MAXIFS('Source Data'!$D$2:$D$1602,'Source Data'!$B$2:$B$1602,$A175))</f>
        <v>40</v>
      </c>
      <c r="I175" s="6" t="n">
        <f aca="false">IF(COUNTIFS('Source Data'!$B$2:$B$1602,$A175,'Source Data'!$E$2:$E$1602,"&lt;&gt;")=0,"",AVERAGEIF('Source Data'!$B$2:$B$1602,$A175,'Source Data'!$E$2:$E$1602))</f>
        <v>10</v>
      </c>
      <c r="J175" s="6" t="n">
        <f aca="false">IF(COUNTIFS('Source Data'!$B$2:$B$1602,$A175,'Source Data'!$E$2:$E$1602,"&lt;&gt;")=0,"",_xlfn.MINIFS('Source Data'!$E$2:$E$1602,'Source Data'!$B$2:$B$1602,$A175))</f>
        <v>10</v>
      </c>
      <c r="K175" s="6" t="n">
        <f aca="false">IF(COUNTIFS('Source Data'!$B$2:$B$1602,$A175,'Source Data'!$E$2:$E$1602,"&lt;&gt;")=0,"",_xlfn.MAXIFS('Source Data'!$E$2:$E$1602,'Source Data'!$B$2:$B$1602,$A175))</f>
        <v>10</v>
      </c>
      <c r="L175" s="6" t="str">
        <f aca="false">IF(COUNTIFS('Source Data'!$B$2:$B$1602,$A175,'Source Data'!$F$2:$F$1602,"&lt;&gt;")=0,"",AVERAGEIF('Source Data'!$B$2:$B$1602,$A175,'Source Data'!$F$2:$F$1602))</f>
        <v/>
      </c>
      <c r="M175" s="6" t="str">
        <f aca="false">IF(COUNTIFS('Source Data'!$B$2:$B$1602,$A175,'Source Data'!$F$2:$F$1602,"&lt;&gt;")=0,"",_xlfn.MINIFS('Source Data'!$F$2:$F$1602,'Source Data'!$B$2:$B$1602,$A175))</f>
        <v/>
      </c>
      <c r="N175" s="6" t="str">
        <f aca="false">IF(COUNTIFS('Source Data'!$B$2:$B$1602,$A175,'Source Data'!$F$2:$F$1602,"&lt;&gt;")=0,"",_xlfn.MAXIFS('Source Data'!$F$2:$F$1602,'Source Data'!$B$2:$B$1602,$A175))</f>
        <v/>
      </c>
    </row>
    <row r="176" customFormat="false" ht="15" hidden="false" customHeight="false" outlineLevel="0" collapsed="false">
      <c r="A176" s="5" t="s">
        <v>85</v>
      </c>
      <c r="B176" s="7" t="n">
        <f aca="false">COUNTIF('Source Data'!$B$2:$B$1602,$A176)</f>
        <v>3</v>
      </c>
      <c r="C176" s="6" t="n">
        <f aca="false">IF(COUNTIFS('Source Data'!$B$2:$B$1602,$A176,'Source Data'!$C$2:$C$1602,"&lt;&gt;")=0,"",AVERAGEIF('Source Data'!$B$2:$B$1602,$A176,'Source Data'!$C$2:$C$1602))</f>
        <v>12.6666666666667</v>
      </c>
      <c r="D176" s="6" t="n">
        <f aca="false">IF(COUNTIFS('Source Data'!$B$2:$B$1602,$A176,'Source Data'!$C$2:$C$1602,"&lt;&gt;")=0,"",_xlfn.MINIFS('Source Data'!$C$2:$C$1602,'Source Data'!$B$2:$B$1602,$A176))</f>
        <v>8</v>
      </c>
      <c r="E176" s="6" t="n">
        <f aca="false">IF(COUNTIFS('Source Data'!$B$2:$B$1602,$A176,'Source Data'!$C$2:$C$1602,"&lt;&gt;")=0,"",_xlfn.MAXIFS('Source Data'!$C$2:$C$1602,'Source Data'!$B$2:$B$1602,$A176))</f>
        <v>18</v>
      </c>
      <c r="F176" s="6" t="n">
        <f aca="false">IF(COUNTIFS('Source Data'!$B$2:$B$1602,$A176,'Source Data'!$D$2:$D$1602,"&lt;&gt;")=0,"",AVERAGEIF('Source Data'!$B$2:$B$1602,$A176,'Source Data'!$D$2:$D$1602))</f>
        <v>1.33333333333333</v>
      </c>
      <c r="G176" s="6" t="n">
        <f aca="false">IF(COUNTIFS('Source Data'!$B$2:$B$1602,$A176,'Source Data'!$D$2:$D$1602,"&lt;&gt;")=0,"",_xlfn.MINIFS('Source Data'!$D$2:$D$1602,'Source Data'!$B$2:$B$1602,$A176))</f>
        <v>0</v>
      </c>
      <c r="H176" s="6" t="n">
        <f aca="false">IF(COUNTIFS('Source Data'!$B$2:$B$1602,$A176,'Source Data'!$D$2:$D$1602,"&lt;&gt;")=0,"",_xlfn.MAXIFS('Source Data'!$D$2:$D$1602,'Source Data'!$B$2:$B$1602,$A176))</f>
        <v>4</v>
      </c>
      <c r="I176" s="6" t="n">
        <f aca="false">IF(COUNTIFS('Source Data'!$B$2:$B$1602,$A176,'Source Data'!$E$2:$E$1602,"&lt;&gt;")=0,"",AVERAGEIF('Source Data'!$B$2:$B$1602,$A176,'Source Data'!$E$2:$E$1602))</f>
        <v>1.5</v>
      </c>
      <c r="J176" s="6" t="n">
        <f aca="false">IF(COUNTIFS('Source Data'!$B$2:$B$1602,$A176,'Source Data'!$E$2:$E$1602,"&lt;&gt;")=0,"",_xlfn.MINIFS('Source Data'!$E$2:$E$1602,'Source Data'!$B$2:$B$1602,$A176))</f>
        <v>1</v>
      </c>
      <c r="K176" s="6" t="n">
        <f aca="false">IF(COUNTIFS('Source Data'!$B$2:$B$1602,$A176,'Source Data'!$E$2:$E$1602,"&lt;&gt;")=0,"",_xlfn.MAXIFS('Source Data'!$E$2:$E$1602,'Source Data'!$B$2:$B$1602,$A176))</f>
        <v>2</v>
      </c>
      <c r="L176" s="6" t="n">
        <f aca="false">IF(COUNTIFS('Source Data'!$B$2:$B$1602,$A176,'Source Data'!$F$2:$F$1602,"&lt;&gt;")=0,"",AVERAGEIF('Source Data'!$B$2:$B$1602,$A176,'Source Data'!$F$2:$F$1602))</f>
        <v>0</v>
      </c>
      <c r="M176" s="6" t="n">
        <f aca="false">IF(COUNTIFS('Source Data'!$B$2:$B$1602,$A176,'Source Data'!$F$2:$F$1602,"&lt;&gt;")=0,"",_xlfn.MINIFS('Source Data'!$F$2:$F$1602,'Source Data'!$B$2:$B$1602,$A176))</f>
        <v>0</v>
      </c>
      <c r="N176" s="6" t="n">
        <f aca="false">IF(COUNTIFS('Source Data'!$B$2:$B$1602,$A176,'Source Data'!$F$2:$F$1602,"&lt;&gt;")=0,"",_xlfn.MAXIFS('Source Data'!$F$2:$F$1602,'Source Data'!$B$2:$B$1602,$A176))</f>
        <v>0</v>
      </c>
    </row>
    <row r="177" customFormat="false" ht="15" hidden="false" customHeight="false" outlineLevel="0" collapsed="false">
      <c r="A177" s="5" t="s">
        <v>344</v>
      </c>
      <c r="B177" s="7" t="n">
        <f aca="false">COUNTIF('Source Data'!$B$2:$B$1602,$A177)</f>
        <v>10</v>
      </c>
      <c r="C177" s="6" t="n">
        <f aca="false">IF(COUNTIFS('Source Data'!$B$2:$B$1602,$A177,'Source Data'!$C$2:$C$1602,"&lt;&gt;")=0,"",AVERAGEIF('Source Data'!$B$2:$B$1602,$A177,'Source Data'!$C$2:$C$1602))</f>
        <v>11</v>
      </c>
      <c r="D177" s="6" t="n">
        <f aca="false">IF(COUNTIFS('Source Data'!$B$2:$B$1602,$A177,'Source Data'!$C$2:$C$1602,"&lt;&gt;")=0,"",_xlfn.MINIFS('Source Data'!$C$2:$C$1602,'Source Data'!$B$2:$B$1602,$A177))</f>
        <v>5</v>
      </c>
      <c r="E177" s="6" t="n">
        <f aca="false">IF(COUNTIFS('Source Data'!$B$2:$B$1602,$A177,'Source Data'!$C$2:$C$1602,"&lt;&gt;")=0,"",_xlfn.MAXIFS('Source Data'!$C$2:$C$1602,'Source Data'!$B$2:$B$1602,$A177))</f>
        <v>18</v>
      </c>
      <c r="F177" s="6" t="n">
        <f aca="false">IF(COUNTIFS('Source Data'!$B$2:$B$1602,$A177,'Source Data'!$D$2:$D$1602,"&lt;&gt;")=0,"",AVERAGEIF('Source Data'!$B$2:$B$1602,$A177,'Source Data'!$D$2:$D$1602))</f>
        <v>3.9</v>
      </c>
      <c r="G177" s="6" t="n">
        <f aca="false">IF(COUNTIFS('Source Data'!$B$2:$B$1602,$A177,'Source Data'!$D$2:$D$1602,"&lt;&gt;")=0,"",_xlfn.MINIFS('Source Data'!$D$2:$D$1602,'Source Data'!$B$2:$B$1602,$A177))</f>
        <v>0</v>
      </c>
      <c r="H177" s="6" t="n">
        <f aca="false">IF(COUNTIFS('Source Data'!$B$2:$B$1602,$A177,'Source Data'!$D$2:$D$1602,"&lt;&gt;")=0,"",_xlfn.MAXIFS('Source Data'!$D$2:$D$1602,'Source Data'!$B$2:$B$1602,$A177))</f>
        <v>12</v>
      </c>
      <c r="I177" s="6" t="n">
        <f aca="false">IF(COUNTIFS('Source Data'!$B$2:$B$1602,$A177,'Source Data'!$E$2:$E$1602,"&lt;&gt;")=0,"",AVERAGEIF('Source Data'!$B$2:$B$1602,$A177,'Source Data'!$E$2:$E$1602))</f>
        <v>7</v>
      </c>
      <c r="J177" s="6" t="n">
        <f aca="false">IF(COUNTIFS('Source Data'!$B$2:$B$1602,$A177,'Source Data'!$E$2:$E$1602,"&lt;&gt;")=0,"",_xlfn.MINIFS('Source Data'!$E$2:$E$1602,'Source Data'!$B$2:$B$1602,$A177))</f>
        <v>6</v>
      </c>
      <c r="K177" s="6" t="n">
        <f aca="false">IF(COUNTIFS('Source Data'!$B$2:$B$1602,$A177,'Source Data'!$E$2:$E$1602,"&lt;&gt;")=0,"",_xlfn.MAXIFS('Source Data'!$E$2:$E$1602,'Source Data'!$B$2:$B$1602,$A177))</f>
        <v>8</v>
      </c>
      <c r="L177" s="6" t="str">
        <f aca="false">IF(COUNTIFS('Source Data'!$B$2:$B$1602,$A177,'Source Data'!$F$2:$F$1602,"&lt;&gt;")=0,"",AVERAGEIF('Source Data'!$B$2:$B$1602,$A177,'Source Data'!$F$2:$F$1602))</f>
        <v/>
      </c>
      <c r="M177" s="6" t="str">
        <f aca="false">IF(COUNTIFS('Source Data'!$B$2:$B$1602,$A177,'Source Data'!$F$2:$F$1602,"&lt;&gt;")=0,"",_xlfn.MINIFS('Source Data'!$F$2:$F$1602,'Source Data'!$B$2:$B$1602,$A177))</f>
        <v/>
      </c>
      <c r="N177" s="6" t="str">
        <f aca="false">IF(COUNTIFS('Source Data'!$B$2:$B$1602,$A177,'Source Data'!$F$2:$F$1602,"&lt;&gt;")=0,"",_xlfn.MAXIFS('Source Data'!$F$2:$F$1602,'Source Data'!$B$2:$B$1602,$A177))</f>
        <v/>
      </c>
    </row>
    <row r="178" customFormat="false" ht="15" hidden="false" customHeight="false" outlineLevel="0" collapsed="false">
      <c r="A178" s="5" t="s">
        <v>87</v>
      </c>
      <c r="B178" s="7" t="n">
        <f aca="false">COUNTIF('Source Data'!$B$2:$B$1602,$A178)</f>
        <v>160</v>
      </c>
      <c r="C178" s="6" t="n">
        <f aca="false">IF(COUNTIFS('Source Data'!$B$2:$B$1602,$A178,'Source Data'!$C$2:$C$1602,"&lt;&gt;")=0,"",AVERAGEIF('Source Data'!$B$2:$B$1602,$A178,'Source Data'!$C$2:$C$1602))</f>
        <v>12.659375</v>
      </c>
      <c r="D178" s="6" t="n">
        <f aca="false">IF(COUNTIFS('Source Data'!$B$2:$B$1602,$A178,'Source Data'!$C$2:$C$1602,"&lt;&gt;")=0,"",_xlfn.MINIFS('Source Data'!$C$2:$C$1602,'Source Data'!$B$2:$B$1602,$A178))</f>
        <v>0</v>
      </c>
      <c r="E178" s="6" t="n">
        <f aca="false">IF(COUNTIFS('Source Data'!$B$2:$B$1602,$A178,'Source Data'!$C$2:$C$1602,"&lt;&gt;")=0,"",_xlfn.MAXIFS('Source Data'!$C$2:$C$1602,'Source Data'!$B$2:$B$1602,$A178))</f>
        <v>52</v>
      </c>
      <c r="F178" s="6" t="n">
        <f aca="false">IF(COUNTIFS('Source Data'!$B$2:$B$1602,$A178,'Source Data'!$D$2:$D$1602,"&lt;&gt;")=0,"",AVERAGEIF('Source Data'!$B$2:$B$1602,$A178,'Source Data'!$D$2:$D$1602))</f>
        <v>5.94516129032258</v>
      </c>
      <c r="G178" s="6" t="n">
        <f aca="false">IF(COUNTIFS('Source Data'!$B$2:$B$1602,$A178,'Source Data'!$D$2:$D$1602,"&lt;&gt;")=0,"",_xlfn.MINIFS('Source Data'!$D$2:$D$1602,'Source Data'!$B$2:$B$1602,$A178))</f>
        <v>0</v>
      </c>
      <c r="H178" s="6" t="n">
        <f aca="false">IF(COUNTIFS('Source Data'!$B$2:$B$1602,$A178,'Source Data'!$D$2:$D$1602,"&lt;&gt;")=0,"",_xlfn.MAXIFS('Source Data'!$D$2:$D$1602,'Source Data'!$B$2:$B$1602,$A178))</f>
        <v>52</v>
      </c>
      <c r="I178" s="6" t="n">
        <f aca="false">IF(COUNTIFS('Source Data'!$B$2:$B$1602,$A178,'Source Data'!$E$2:$E$1602,"&lt;&gt;")=0,"",AVERAGEIF('Source Data'!$B$2:$B$1602,$A178,'Source Data'!$E$2:$E$1602))</f>
        <v>9.26</v>
      </c>
      <c r="J178" s="6" t="n">
        <f aca="false">IF(COUNTIFS('Source Data'!$B$2:$B$1602,$A178,'Source Data'!$E$2:$E$1602,"&lt;&gt;")=0,"",_xlfn.MINIFS('Source Data'!$E$2:$E$1602,'Source Data'!$B$2:$B$1602,$A178))</f>
        <v>0</v>
      </c>
      <c r="K178" s="6" t="n">
        <f aca="false">IF(COUNTIFS('Source Data'!$B$2:$B$1602,$A178,'Source Data'!$E$2:$E$1602,"&lt;&gt;")=0,"",_xlfn.MAXIFS('Source Data'!$E$2:$E$1602,'Source Data'!$B$2:$B$1602,$A178))</f>
        <v>26</v>
      </c>
      <c r="L178" s="6" t="n">
        <f aca="false">IF(COUNTIFS('Source Data'!$B$2:$B$1602,$A178,'Source Data'!$F$2:$F$1602,"&lt;&gt;")=0,"",AVERAGEIF('Source Data'!$B$2:$B$1602,$A178,'Source Data'!$F$2:$F$1602))</f>
        <v>12.8571428571429</v>
      </c>
      <c r="M178" s="6" t="n">
        <f aca="false">IF(COUNTIFS('Source Data'!$B$2:$B$1602,$A178,'Source Data'!$F$2:$F$1602,"&lt;&gt;")=0,"",_xlfn.MINIFS('Source Data'!$F$2:$F$1602,'Source Data'!$B$2:$B$1602,$A178))</f>
        <v>0</v>
      </c>
      <c r="N178" s="6" t="n">
        <f aca="false">IF(COUNTIFS('Source Data'!$B$2:$B$1602,$A178,'Source Data'!$F$2:$F$1602,"&lt;&gt;")=0,"",_xlfn.MAXIFS('Source Data'!$F$2:$F$1602,'Source Data'!$B$2:$B$1602,$A178))</f>
        <v>24</v>
      </c>
    </row>
    <row r="179" customFormat="false" ht="15" hidden="false" customHeight="false" outlineLevel="0" collapsed="false">
      <c r="A179" s="5" t="s">
        <v>94</v>
      </c>
      <c r="B179" s="7" t="n">
        <f aca="false">COUNTIF('Source Data'!$B$2:$B$1602,$A179)</f>
        <v>19</v>
      </c>
      <c r="C179" s="6" t="n">
        <f aca="false">IF(COUNTIFS('Source Data'!$B$2:$B$1602,$A179,'Source Data'!$C$2:$C$1602,"&lt;&gt;")=0,"",AVERAGEIF('Source Data'!$B$2:$B$1602,$A179,'Source Data'!$C$2:$C$1602))</f>
        <v>11.3947368421053</v>
      </c>
      <c r="D179" s="6" t="n">
        <f aca="false">IF(COUNTIFS('Source Data'!$B$2:$B$1602,$A179,'Source Data'!$C$2:$C$1602,"&lt;&gt;")=0,"",_xlfn.MINIFS('Source Data'!$C$2:$C$1602,'Source Data'!$B$2:$B$1602,$A179))</f>
        <v>0</v>
      </c>
      <c r="E179" s="6" t="n">
        <f aca="false">IF(COUNTIFS('Source Data'!$B$2:$B$1602,$A179,'Source Data'!$C$2:$C$1602,"&lt;&gt;")=0,"",_xlfn.MAXIFS('Source Data'!$C$2:$C$1602,'Source Data'!$B$2:$B$1602,$A179))</f>
        <v>24</v>
      </c>
      <c r="F179" s="6" t="n">
        <f aca="false">IF(COUNTIFS('Source Data'!$B$2:$B$1602,$A179,'Source Data'!$D$2:$D$1602,"&lt;&gt;")=0,"",AVERAGEIF('Source Data'!$B$2:$B$1602,$A179,'Source Data'!$D$2:$D$1602))</f>
        <v>7.78947368421053</v>
      </c>
      <c r="G179" s="6" t="n">
        <f aca="false">IF(COUNTIFS('Source Data'!$B$2:$B$1602,$A179,'Source Data'!$D$2:$D$1602,"&lt;&gt;")=0,"",_xlfn.MINIFS('Source Data'!$D$2:$D$1602,'Source Data'!$B$2:$B$1602,$A179))</f>
        <v>0</v>
      </c>
      <c r="H179" s="6" t="n">
        <f aca="false">IF(COUNTIFS('Source Data'!$B$2:$B$1602,$A179,'Source Data'!$D$2:$D$1602,"&lt;&gt;")=0,"",_xlfn.MAXIFS('Source Data'!$D$2:$D$1602,'Source Data'!$B$2:$B$1602,$A179))</f>
        <v>52</v>
      </c>
      <c r="I179" s="6" t="n">
        <f aca="false">IF(COUNTIFS('Source Data'!$B$2:$B$1602,$A179,'Source Data'!$E$2:$E$1602,"&lt;&gt;")=0,"",AVERAGEIF('Source Data'!$B$2:$B$1602,$A179,'Source Data'!$E$2:$E$1602))</f>
        <v>6.28571428571429</v>
      </c>
      <c r="J179" s="6" t="n">
        <f aca="false">IF(COUNTIFS('Source Data'!$B$2:$B$1602,$A179,'Source Data'!$E$2:$E$1602,"&lt;&gt;")=0,"",_xlfn.MINIFS('Source Data'!$E$2:$E$1602,'Source Data'!$B$2:$B$1602,$A179))</f>
        <v>0</v>
      </c>
      <c r="K179" s="6" t="n">
        <f aca="false">IF(COUNTIFS('Source Data'!$B$2:$B$1602,$A179,'Source Data'!$E$2:$E$1602,"&lt;&gt;")=0,"",_xlfn.MAXIFS('Source Data'!$E$2:$E$1602,'Source Data'!$B$2:$B$1602,$A179))</f>
        <v>16</v>
      </c>
      <c r="L179" s="6" t="n">
        <f aca="false">IF(COUNTIFS('Source Data'!$B$2:$B$1602,$A179,'Source Data'!$F$2:$F$1602,"&lt;&gt;")=0,"",AVERAGEIF('Source Data'!$B$2:$B$1602,$A179,'Source Data'!$F$2:$F$1602))</f>
        <v>4</v>
      </c>
      <c r="M179" s="6" t="n">
        <f aca="false">IF(COUNTIFS('Source Data'!$B$2:$B$1602,$A179,'Source Data'!$F$2:$F$1602,"&lt;&gt;")=0,"",_xlfn.MINIFS('Source Data'!$F$2:$F$1602,'Source Data'!$B$2:$B$1602,$A179))</f>
        <v>4</v>
      </c>
      <c r="N179" s="6" t="n">
        <f aca="false">IF(COUNTIFS('Source Data'!$B$2:$B$1602,$A179,'Source Data'!$F$2:$F$1602,"&lt;&gt;")=0,"",_xlfn.MAXIFS('Source Data'!$F$2:$F$1602,'Source Data'!$B$2:$B$1602,$A179))</f>
        <v>4</v>
      </c>
    </row>
    <row r="180" customFormat="false" ht="15" hidden="false" customHeight="false" outlineLevel="0" collapsed="false">
      <c r="A180" s="5" t="s">
        <v>1710</v>
      </c>
      <c r="B180" s="7" t="n">
        <f aca="false">COUNTIF('Source Data'!$B$2:$B$1602,$A180)</f>
        <v>1</v>
      </c>
      <c r="C180" s="6" t="n">
        <f aca="false">IF(COUNTIFS('Source Data'!$B$2:$B$1602,$A180,'Source Data'!$C$2:$C$1602,"&lt;&gt;")=0,"",AVERAGEIF('Source Data'!$B$2:$B$1602,$A180,'Source Data'!$C$2:$C$1602))</f>
        <v>6</v>
      </c>
      <c r="D180" s="6" t="n">
        <f aca="false">IF(COUNTIFS('Source Data'!$B$2:$B$1602,$A180,'Source Data'!$C$2:$C$1602,"&lt;&gt;")=0,"",_xlfn.MINIFS('Source Data'!$C$2:$C$1602,'Source Data'!$B$2:$B$1602,$A180))</f>
        <v>6</v>
      </c>
      <c r="E180" s="6" t="n">
        <f aca="false">IF(COUNTIFS('Source Data'!$B$2:$B$1602,$A180,'Source Data'!$C$2:$C$1602,"&lt;&gt;")=0,"",_xlfn.MAXIFS('Source Data'!$C$2:$C$1602,'Source Data'!$B$2:$B$1602,$A180))</f>
        <v>6</v>
      </c>
      <c r="F180" s="6" t="n">
        <f aca="false">IF(COUNTIFS('Source Data'!$B$2:$B$1602,$A180,'Source Data'!$D$2:$D$1602,"&lt;&gt;")=0,"",AVERAGEIF('Source Data'!$B$2:$B$1602,$A180,'Source Data'!$D$2:$D$1602))</f>
        <v>4</v>
      </c>
      <c r="G180" s="6" t="n">
        <f aca="false">IF(COUNTIFS('Source Data'!$B$2:$B$1602,$A180,'Source Data'!$D$2:$D$1602,"&lt;&gt;")=0,"",_xlfn.MINIFS('Source Data'!$D$2:$D$1602,'Source Data'!$B$2:$B$1602,$A180))</f>
        <v>4</v>
      </c>
      <c r="H180" s="6" t="n">
        <f aca="false">IF(COUNTIFS('Source Data'!$B$2:$B$1602,$A180,'Source Data'!$D$2:$D$1602,"&lt;&gt;")=0,"",_xlfn.MAXIFS('Source Data'!$D$2:$D$1602,'Source Data'!$B$2:$B$1602,$A180))</f>
        <v>4</v>
      </c>
      <c r="I180" s="6" t="str">
        <f aca="false">IF(COUNTIFS('Source Data'!$B$2:$B$1602,$A180,'Source Data'!$E$2:$E$1602,"&lt;&gt;")=0,"",AVERAGEIF('Source Data'!$B$2:$B$1602,$A180,'Source Data'!$E$2:$E$1602))</f>
        <v/>
      </c>
      <c r="J180" s="6" t="str">
        <f aca="false">IF(COUNTIFS('Source Data'!$B$2:$B$1602,$A180,'Source Data'!$E$2:$E$1602,"&lt;&gt;")=0,"",_xlfn.MINIFS('Source Data'!$E$2:$E$1602,'Source Data'!$B$2:$B$1602,$A180))</f>
        <v/>
      </c>
      <c r="K180" s="6" t="str">
        <f aca="false">IF(COUNTIFS('Source Data'!$B$2:$B$1602,$A180,'Source Data'!$E$2:$E$1602,"&lt;&gt;")=0,"",_xlfn.MAXIFS('Source Data'!$E$2:$E$1602,'Source Data'!$B$2:$B$1602,$A180))</f>
        <v/>
      </c>
      <c r="L180" s="6" t="str">
        <f aca="false">IF(COUNTIFS('Source Data'!$B$2:$B$1602,$A180,'Source Data'!$F$2:$F$1602,"&lt;&gt;")=0,"",AVERAGEIF('Source Data'!$B$2:$B$1602,$A180,'Source Data'!$F$2:$F$1602))</f>
        <v/>
      </c>
      <c r="M180" s="6" t="str">
        <f aca="false">IF(COUNTIFS('Source Data'!$B$2:$B$1602,$A180,'Source Data'!$F$2:$F$1602,"&lt;&gt;")=0,"",_xlfn.MINIFS('Source Data'!$F$2:$F$1602,'Source Data'!$B$2:$B$1602,$A180))</f>
        <v/>
      </c>
      <c r="N180" s="6" t="str">
        <f aca="false">IF(COUNTIFS('Source Data'!$B$2:$B$1602,$A180,'Source Data'!$F$2:$F$1602,"&lt;&gt;")=0,"",_xlfn.MAXIFS('Source Data'!$F$2:$F$1602,'Source Data'!$B$2:$B$1602,$A180))</f>
        <v/>
      </c>
    </row>
    <row r="181" customFormat="false" ht="15" hidden="false" customHeight="false" outlineLevel="0" collapsed="false">
      <c r="A181" s="5" t="s">
        <v>1712</v>
      </c>
      <c r="B181" s="7" t="n">
        <f aca="false">COUNTIF('Source Data'!$B$2:$B$1602,$A181)</f>
        <v>1</v>
      </c>
      <c r="C181" s="6" t="n">
        <f aca="false">IF(COUNTIFS('Source Data'!$B$2:$B$1602,$A181,'Source Data'!$C$2:$C$1602,"&lt;&gt;")=0,"",AVERAGEIF('Source Data'!$B$2:$B$1602,$A181,'Source Data'!$C$2:$C$1602))</f>
        <v>52</v>
      </c>
      <c r="D181" s="6" t="n">
        <f aca="false">IF(COUNTIFS('Source Data'!$B$2:$B$1602,$A181,'Source Data'!$C$2:$C$1602,"&lt;&gt;")=0,"",_xlfn.MINIFS('Source Data'!$C$2:$C$1602,'Source Data'!$B$2:$B$1602,$A181))</f>
        <v>52</v>
      </c>
      <c r="E181" s="6" t="n">
        <f aca="false">IF(COUNTIFS('Source Data'!$B$2:$B$1602,$A181,'Source Data'!$C$2:$C$1602,"&lt;&gt;")=0,"",_xlfn.MAXIFS('Source Data'!$C$2:$C$1602,'Source Data'!$B$2:$B$1602,$A181))</f>
        <v>52</v>
      </c>
      <c r="F181" s="6" t="n">
        <f aca="false">IF(COUNTIFS('Source Data'!$B$2:$B$1602,$A181,'Source Data'!$D$2:$D$1602,"&lt;&gt;")=0,"",AVERAGEIF('Source Data'!$B$2:$B$1602,$A181,'Source Data'!$D$2:$D$1602))</f>
        <v>0</v>
      </c>
      <c r="G181" s="6" t="n">
        <f aca="false">IF(COUNTIFS('Source Data'!$B$2:$B$1602,$A181,'Source Data'!$D$2:$D$1602,"&lt;&gt;")=0,"",_xlfn.MINIFS('Source Data'!$D$2:$D$1602,'Source Data'!$B$2:$B$1602,$A181))</f>
        <v>0</v>
      </c>
      <c r="H181" s="6" t="n">
        <f aca="false">IF(COUNTIFS('Source Data'!$B$2:$B$1602,$A181,'Source Data'!$D$2:$D$1602,"&lt;&gt;")=0,"",_xlfn.MAXIFS('Source Data'!$D$2:$D$1602,'Source Data'!$B$2:$B$1602,$A181))</f>
        <v>0</v>
      </c>
      <c r="I181" s="6" t="str">
        <f aca="false">IF(COUNTIFS('Source Data'!$B$2:$B$1602,$A181,'Source Data'!$E$2:$E$1602,"&lt;&gt;")=0,"",AVERAGEIF('Source Data'!$B$2:$B$1602,$A181,'Source Data'!$E$2:$E$1602))</f>
        <v/>
      </c>
      <c r="J181" s="6" t="str">
        <f aca="false">IF(COUNTIFS('Source Data'!$B$2:$B$1602,$A181,'Source Data'!$E$2:$E$1602,"&lt;&gt;")=0,"",_xlfn.MINIFS('Source Data'!$E$2:$E$1602,'Source Data'!$B$2:$B$1602,$A181))</f>
        <v/>
      </c>
      <c r="K181" s="6" t="str">
        <f aca="false">IF(COUNTIFS('Source Data'!$B$2:$B$1602,$A181,'Source Data'!$E$2:$E$1602,"&lt;&gt;")=0,"",_xlfn.MAXIFS('Source Data'!$E$2:$E$1602,'Source Data'!$B$2:$B$1602,$A181))</f>
        <v/>
      </c>
      <c r="L181" s="6" t="str">
        <f aca="false">IF(COUNTIFS('Source Data'!$B$2:$B$1602,$A181,'Source Data'!$F$2:$F$1602,"&lt;&gt;")=0,"",AVERAGEIF('Source Data'!$B$2:$B$1602,$A181,'Source Data'!$F$2:$F$1602))</f>
        <v/>
      </c>
      <c r="M181" s="6" t="str">
        <f aca="false">IF(COUNTIFS('Source Data'!$B$2:$B$1602,$A181,'Source Data'!$F$2:$F$1602,"&lt;&gt;")=0,"",_xlfn.MINIFS('Source Data'!$F$2:$F$1602,'Source Data'!$B$2:$B$1602,$A181))</f>
        <v/>
      </c>
      <c r="N181" s="6" t="str">
        <f aca="false">IF(COUNTIFS('Source Data'!$B$2:$B$1602,$A181,'Source Data'!$F$2:$F$1602,"&lt;&gt;")=0,"",_xlfn.MAXIFS('Source Data'!$F$2:$F$1602,'Source Data'!$B$2:$B$1602,$A181))</f>
        <v/>
      </c>
    </row>
    <row r="182" customFormat="false" ht="15" hidden="false" customHeight="false" outlineLevel="0" collapsed="false">
      <c r="A182" s="5" t="s">
        <v>371</v>
      </c>
      <c r="B182" s="7" t="n">
        <f aca="false">COUNTIF('Source Data'!$B$2:$B$1602,$A182)</f>
        <v>3</v>
      </c>
      <c r="C182" s="6" t="n">
        <f aca="false">IF(COUNTIFS('Source Data'!$B$2:$B$1602,$A182,'Source Data'!$C$2:$C$1602,"&lt;&gt;")=0,"",AVERAGEIF('Source Data'!$B$2:$B$1602,$A182,'Source Data'!$C$2:$C$1602))</f>
        <v>7</v>
      </c>
      <c r="D182" s="6" t="n">
        <f aca="false">IF(COUNTIFS('Source Data'!$B$2:$B$1602,$A182,'Source Data'!$C$2:$C$1602,"&lt;&gt;")=0,"",_xlfn.MINIFS('Source Data'!$C$2:$C$1602,'Source Data'!$B$2:$B$1602,$A182))</f>
        <v>2</v>
      </c>
      <c r="E182" s="6" t="n">
        <f aca="false">IF(COUNTIFS('Source Data'!$B$2:$B$1602,$A182,'Source Data'!$C$2:$C$1602,"&lt;&gt;")=0,"",_xlfn.MAXIFS('Source Data'!$C$2:$C$1602,'Source Data'!$B$2:$B$1602,$A182))</f>
        <v>16</v>
      </c>
      <c r="F182" s="6" t="n">
        <f aca="false">IF(COUNTIFS('Source Data'!$B$2:$B$1602,$A182,'Source Data'!$D$2:$D$1602,"&lt;&gt;")=0,"",AVERAGEIF('Source Data'!$B$2:$B$1602,$A182,'Source Data'!$D$2:$D$1602))</f>
        <v>13.3333333333333</v>
      </c>
      <c r="G182" s="6" t="n">
        <f aca="false">IF(COUNTIFS('Source Data'!$B$2:$B$1602,$A182,'Source Data'!$D$2:$D$1602,"&lt;&gt;")=0,"",_xlfn.MINIFS('Source Data'!$D$2:$D$1602,'Source Data'!$B$2:$B$1602,$A182))</f>
        <v>4</v>
      </c>
      <c r="H182" s="6" t="n">
        <f aca="false">IF(COUNTIFS('Source Data'!$B$2:$B$1602,$A182,'Source Data'!$D$2:$D$1602,"&lt;&gt;")=0,"",_xlfn.MAXIFS('Source Data'!$D$2:$D$1602,'Source Data'!$B$2:$B$1602,$A182))</f>
        <v>28</v>
      </c>
      <c r="I182" s="6" t="n">
        <f aca="false">IF(COUNTIFS('Source Data'!$B$2:$B$1602,$A182,'Source Data'!$E$2:$E$1602,"&lt;&gt;")=0,"",AVERAGEIF('Source Data'!$B$2:$B$1602,$A182,'Source Data'!$E$2:$E$1602))</f>
        <v>7</v>
      </c>
      <c r="J182" s="6" t="n">
        <f aca="false">IF(COUNTIFS('Source Data'!$B$2:$B$1602,$A182,'Source Data'!$E$2:$E$1602,"&lt;&gt;")=0,"",_xlfn.MINIFS('Source Data'!$E$2:$E$1602,'Source Data'!$B$2:$B$1602,$A182))</f>
        <v>2</v>
      </c>
      <c r="K182" s="6" t="n">
        <f aca="false">IF(COUNTIFS('Source Data'!$B$2:$B$1602,$A182,'Source Data'!$E$2:$E$1602,"&lt;&gt;")=0,"",_xlfn.MAXIFS('Source Data'!$E$2:$E$1602,'Source Data'!$B$2:$B$1602,$A182))</f>
        <v>12</v>
      </c>
      <c r="L182" s="6" t="str">
        <f aca="false">IF(COUNTIFS('Source Data'!$B$2:$B$1602,$A182,'Source Data'!$F$2:$F$1602,"&lt;&gt;")=0,"",AVERAGEIF('Source Data'!$B$2:$B$1602,$A182,'Source Data'!$F$2:$F$1602))</f>
        <v/>
      </c>
      <c r="M182" s="6" t="str">
        <f aca="false">IF(COUNTIFS('Source Data'!$B$2:$B$1602,$A182,'Source Data'!$F$2:$F$1602,"&lt;&gt;")=0,"",_xlfn.MINIFS('Source Data'!$F$2:$F$1602,'Source Data'!$B$2:$B$1602,$A182))</f>
        <v/>
      </c>
      <c r="N182" s="6" t="str">
        <f aca="false">IF(COUNTIFS('Source Data'!$B$2:$B$1602,$A182,'Source Data'!$F$2:$F$1602,"&lt;&gt;")=0,"",_xlfn.MAXIFS('Source Data'!$F$2:$F$1602,'Source Data'!$B$2:$B$1602,$A182))</f>
        <v/>
      </c>
    </row>
    <row r="183" customFormat="false" ht="15" hidden="false" customHeight="false" outlineLevel="0" collapsed="false">
      <c r="A183" s="5" t="s">
        <v>374</v>
      </c>
      <c r="B183" s="7" t="n">
        <f aca="false">COUNTIF('Source Data'!$B$2:$B$1602,$A183)</f>
        <v>9</v>
      </c>
      <c r="C183" s="6" t="n">
        <f aca="false">IF(COUNTIFS('Source Data'!$B$2:$B$1602,$A183,'Source Data'!$C$2:$C$1602,"&lt;&gt;")=0,"",AVERAGEIF('Source Data'!$B$2:$B$1602,$A183,'Source Data'!$C$2:$C$1602))</f>
        <v>4.83333333333333</v>
      </c>
      <c r="D183" s="6" t="n">
        <f aca="false">IF(COUNTIFS('Source Data'!$B$2:$B$1602,$A183,'Source Data'!$C$2:$C$1602,"&lt;&gt;")=0,"",_xlfn.MINIFS('Source Data'!$C$2:$C$1602,'Source Data'!$B$2:$B$1602,$A183))</f>
        <v>0</v>
      </c>
      <c r="E183" s="6" t="n">
        <f aca="false">IF(COUNTIFS('Source Data'!$B$2:$B$1602,$A183,'Source Data'!$C$2:$C$1602,"&lt;&gt;")=0,"",_xlfn.MAXIFS('Source Data'!$C$2:$C$1602,'Source Data'!$B$2:$B$1602,$A183))</f>
        <v>16</v>
      </c>
      <c r="F183" s="6" t="n">
        <f aca="false">IF(COUNTIFS('Source Data'!$B$2:$B$1602,$A183,'Source Data'!$D$2:$D$1602,"&lt;&gt;")=0,"",AVERAGEIF('Source Data'!$B$2:$B$1602,$A183,'Source Data'!$D$2:$D$1602))</f>
        <v>10.7142857142857</v>
      </c>
      <c r="G183" s="6" t="n">
        <f aca="false">IF(COUNTIFS('Source Data'!$B$2:$B$1602,$A183,'Source Data'!$D$2:$D$1602,"&lt;&gt;")=0,"",_xlfn.MINIFS('Source Data'!$D$2:$D$1602,'Source Data'!$B$2:$B$1602,$A183))</f>
        <v>0</v>
      </c>
      <c r="H183" s="6" t="n">
        <f aca="false">IF(COUNTIFS('Source Data'!$B$2:$B$1602,$A183,'Source Data'!$D$2:$D$1602,"&lt;&gt;")=0,"",_xlfn.MAXIFS('Source Data'!$D$2:$D$1602,'Source Data'!$B$2:$B$1602,$A183))</f>
        <v>52</v>
      </c>
      <c r="I183" s="6" t="n">
        <f aca="false">IF(COUNTIFS('Source Data'!$B$2:$B$1602,$A183,'Source Data'!$E$2:$E$1602,"&lt;&gt;")=0,"",AVERAGEIF('Source Data'!$B$2:$B$1602,$A183,'Source Data'!$E$2:$E$1602))</f>
        <v>2</v>
      </c>
      <c r="J183" s="6" t="n">
        <f aca="false">IF(COUNTIFS('Source Data'!$B$2:$B$1602,$A183,'Source Data'!$E$2:$E$1602,"&lt;&gt;")=0,"",_xlfn.MINIFS('Source Data'!$E$2:$E$1602,'Source Data'!$B$2:$B$1602,$A183))</f>
        <v>2</v>
      </c>
      <c r="K183" s="6" t="n">
        <f aca="false">IF(COUNTIFS('Source Data'!$B$2:$B$1602,$A183,'Source Data'!$E$2:$E$1602,"&lt;&gt;")=0,"",_xlfn.MAXIFS('Source Data'!$E$2:$E$1602,'Source Data'!$B$2:$B$1602,$A183))</f>
        <v>2</v>
      </c>
      <c r="L183" s="6" t="str">
        <f aca="false">IF(COUNTIFS('Source Data'!$B$2:$B$1602,$A183,'Source Data'!$F$2:$F$1602,"&lt;&gt;")=0,"",AVERAGEIF('Source Data'!$B$2:$B$1602,$A183,'Source Data'!$F$2:$F$1602))</f>
        <v/>
      </c>
      <c r="M183" s="6" t="str">
        <f aca="false">IF(COUNTIFS('Source Data'!$B$2:$B$1602,$A183,'Source Data'!$F$2:$F$1602,"&lt;&gt;")=0,"",_xlfn.MINIFS('Source Data'!$F$2:$F$1602,'Source Data'!$B$2:$B$1602,$A183))</f>
        <v/>
      </c>
      <c r="N183" s="6" t="str">
        <f aca="false">IF(COUNTIFS('Source Data'!$B$2:$B$1602,$A183,'Source Data'!$F$2:$F$1602,"&lt;&gt;")=0,"",_xlfn.MAXIFS('Source Data'!$F$2:$F$1602,'Source Data'!$B$2:$B$1602,$A183))</f>
        <v/>
      </c>
    </row>
    <row r="184" customFormat="false" ht="15" hidden="false" customHeight="false" outlineLevel="0" collapsed="false">
      <c r="A184" s="5" t="s">
        <v>1721</v>
      </c>
      <c r="B184" s="7" t="n">
        <f aca="false">COUNTIF('Source Data'!$B$2:$B$1602,$A184)</f>
        <v>3</v>
      </c>
      <c r="C184" s="6" t="n">
        <f aca="false">IF(COUNTIFS('Source Data'!$B$2:$B$1602,$A184,'Source Data'!$C$2:$C$1602,"&lt;&gt;")=0,"",AVERAGEIF('Source Data'!$B$2:$B$1602,$A184,'Source Data'!$C$2:$C$1602))</f>
        <v>9.5</v>
      </c>
      <c r="D184" s="6" t="n">
        <f aca="false">IF(COUNTIFS('Source Data'!$B$2:$B$1602,$A184,'Source Data'!$C$2:$C$1602,"&lt;&gt;")=0,"",_xlfn.MINIFS('Source Data'!$C$2:$C$1602,'Source Data'!$B$2:$B$1602,$A184))</f>
        <v>6</v>
      </c>
      <c r="E184" s="6" t="n">
        <f aca="false">IF(COUNTIFS('Source Data'!$B$2:$B$1602,$A184,'Source Data'!$C$2:$C$1602,"&lt;&gt;")=0,"",_xlfn.MAXIFS('Source Data'!$C$2:$C$1602,'Source Data'!$B$2:$B$1602,$A184))</f>
        <v>12</v>
      </c>
      <c r="F184" s="6" t="n">
        <f aca="false">IF(COUNTIFS('Source Data'!$B$2:$B$1602,$A184,'Source Data'!$D$2:$D$1602,"&lt;&gt;")=0,"",AVERAGEIF('Source Data'!$B$2:$B$1602,$A184,'Source Data'!$D$2:$D$1602))</f>
        <v>6</v>
      </c>
      <c r="G184" s="6" t="n">
        <f aca="false">IF(COUNTIFS('Source Data'!$B$2:$B$1602,$A184,'Source Data'!$D$2:$D$1602,"&lt;&gt;")=0,"",_xlfn.MINIFS('Source Data'!$D$2:$D$1602,'Source Data'!$B$2:$B$1602,$A184))</f>
        <v>0</v>
      </c>
      <c r="H184" s="6" t="n">
        <f aca="false">IF(COUNTIFS('Source Data'!$B$2:$B$1602,$A184,'Source Data'!$D$2:$D$1602,"&lt;&gt;")=0,"",_xlfn.MAXIFS('Source Data'!$D$2:$D$1602,'Source Data'!$B$2:$B$1602,$A184))</f>
        <v>12</v>
      </c>
      <c r="I184" s="6" t="str">
        <f aca="false">IF(COUNTIFS('Source Data'!$B$2:$B$1602,$A184,'Source Data'!$E$2:$E$1602,"&lt;&gt;")=0,"",AVERAGEIF('Source Data'!$B$2:$B$1602,$A184,'Source Data'!$E$2:$E$1602))</f>
        <v/>
      </c>
      <c r="J184" s="6" t="str">
        <f aca="false">IF(COUNTIFS('Source Data'!$B$2:$B$1602,$A184,'Source Data'!$E$2:$E$1602,"&lt;&gt;")=0,"",_xlfn.MINIFS('Source Data'!$E$2:$E$1602,'Source Data'!$B$2:$B$1602,$A184))</f>
        <v/>
      </c>
      <c r="K184" s="6" t="str">
        <f aca="false">IF(COUNTIFS('Source Data'!$B$2:$B$1602,$A184,'Source Data'!$E$2:$E$1602,"&lt;&gt;")=0,"",_xlfn.MAXIFS('Source Data'!$E$2:$E$1602,'Source Data'!$B$2:$B$1602,$A184))</f>
        <v/>
      </c>
      <c r="L184" s="6" t="str">
        <f aca="false">IF(COUNTIFS('Source Data'!$B$2:$B$1602,$A184,'Source Data'!$F$2:$F$1602,"&lt;&gt;")=0,"",AVERAGEIF('Source Data'!$B$2:$B$1602,$A184,'Source Data'!$F$2:$F$1602))</f>
        <v/>
      </c>
      <c r="M184" s="6" t="str">
        <f aca="false">IF(COUNTIFS('Source Data'!$B$2:$B$1602,$A184,'Source Data'!$F$2:$F$1602,"&lt;&gt;")=0,"",_xlfn.MINIFS('Source Data'!$F$2:$F$1602,'Source Data'!$B$2:$B$1602,$A184))</f>
        <v/>
      </c>
      <c r="N184" s="6" t="str">
        <f aca="false">IF(COUNTIFS('Source Data'!$B$2:$B$1602,$A184,'Source Data'!$F$2:$F$1602,"&lt;&gt;")=0,"",_xlfn.MAXIFS('Source Data'!$F$2:$F$1602,'Source Data'!$B$2:$B$1602,$A184))</f>
        <v/>
      </c>
    </row>
    <row r="185" customFormat="false" ht="15" hidden="false" customHeight="false" outlineLevel="0" collapsed="false">
      <c r="A185" s="5" t="s">
        <v>376</v>
      </c>
      <c r="B185" s="7" t="n">
        <f aca="false">COUNTIF('Source Data'!$B$2:$B$1602,$A185)</f>
        <v>4</v>
      </c>
      <c r="C185" s="6" t="n">
        <f aca="false">IF(COUNTIFS('Source Data'!$B$2:$B$1602,$A185,'Source Data'!$C$2:$C$1602,"&lt;&gt;")=0,"",AVERAGEIF('Source Data'!$B$2:$B$1602,$A185,'Source Data'!$C$2:$C$1602))</f>
        <v>10</v>
      </c>
      <c r="D185" s="6" t="n">
        <f aca="false">IF(COUNTIFS('Source Data'!$B$2:$B$1602,$A185,'Source Data'!$C$2:$C$1602,"&lt;&gt;")=0,"",_xlfn.MINIFS('Source Data'!$C$2:$C$1602,'Source Data'!$B$2:$B$1602,$A185))</f>
        <v>6</v>
      </c>
      <c r="E185" s="6" t="n">
        <f aca="false">IF(COUNTIFS('Source Data'!$B$2:$B$1602,$A185,'Source Data'!$C$2:$C$1602,"&lt;&gt;")=0,"",_xlfn.MAXIFS('Source Data'!$C$2:$C$1602,'Source Data'!$B$2:$B$1602,$A185))</f>
        <v>16</v>
      </c>
      <c r="F185" s="6" t="n">
        <f aca="false">IF(COUNTIFS('Source Data'!$B$2:$B$1602,$A185,'Source Data'!$D$2:$D$1602,"&lt;&gt;")=0,"",AVERAGEIF('Source Data'!$B$2:$B$1602,$A185,'Source Data'!$D$2:$D$1602))</f>
        <v>2</v>
      </c>
      <c r="G185" s="6" t="n">
        <f aca="false">IF(COUNTIFS('Source Data'!$B$2:$B$1602,$A185,'Source Data'!$D$2:$D$1602,"&lt;&gt;")=0,"",_xlfn.MINIFS('Source Data'!$D$2:$D$1602,'Source Data'!$B$2:$B$1602,$A185))</f>
        <v>0</v>
      </c>
      <c r="H185" s="6" t="n">
        <f aca="false">IF(COUNTIFS('Source Data'!$B$2:$B$1602,$A185,'Source Data'!$D$2:$D$1602,"&lt;&gt;")=0,"",_xlfn.MAXIFS('Source Data'!$D$2:$D$1602,'Source Data'!$B$2:$B$1602,$A185))</f>
        <v>6</v>
      </c>
      <c r="I185" s="6" t="n">
        <f aca="false">IF(COUNTIFS('Source Data'!$B$2:$B$1602,$A185,'Source Data'!$E$2:$E$1602,"&lt;&gt;")=0,"",AVERAGEIF('Source Data'!$B$2:$B$1602,$A185,'Source Data'!$E$2:$E$1602))</f>
        <v>16</v>
      </c>
      <c r="J185" s="6" t="n">
        <f aca="false">IF(COUNTIFS('Source Data'!$B$2:$B$1602,$A185,'Source Data'!$E$2:$E$1602,"&lt;&gt;")=0,"",_xlfn.MINIFS('Source Data'!$E$2:$E$1602,'Source Data'!$B$2:$B$1602,$A185))</f>
        <v>16</v>
      </c>
      <c r="K185" s="6" t="n">
        <f aca="false">IF(COUNTIFS('Source Data'!$B$2:$B$1602,$A185,'Source Data'!$E$2:$E$1602,"&lt;&gt;")=0,"",_xlfn.MAXIFS('Source Data'!$E$2:$E$1602,'Source Data'!$B$2:$B$1602,$A185))</f>
        <v>16</v>
      </c>
      <c r="L185" s="6" t="str">
        <f aca="false">IF(COUNTIFS('Source Data'!$B$2:$B$1602,$A185,'Source Data'!$F$2:$F$1602,"&lt;&gt;")=0,"",AVERAGEIF('Source Data'!$B$2:$B$1602,$A185,'Source Data'!$F$2:$F$1602))</f>
        <v/>
      </c>
      <c r="M185" s="6" t="str">
        <f aca="false">IF(COUNTIFS('Source Data'!$B$2:$B$1602,$A185,'Source Data'!$F$2:$F$1602,"&lt;&gt;")=0,"",_xlfn.MINIFS('Source Data'!$F$2:$F$1602,'Source Data'!$B$2:$B$1602,$A185))</f>
        <v/>
      </c>
      <c r="N185" s="6" t="str">
        <f aca="false">IF(COUNTIFS('Source Data'!$B$2:$B$1602,$A185,'Source Data'!$F$2:$F$1602,"&lt;&gt;")=0,"",_xlfn.MAXIFS('Source Data'!$F$2:$F$1602,'Source Data'!$B$2:$B$1602,$A185))</f>
        <v/>
      </c>
    </row>
    <row r="186" customFormat="false" ht="15" hidden="false" customHeight="false" outlineLevel="0" collapsed="false">
      <c r="A186" s="5" t="s">
        <v>1728</v>
      </c>
      <c r="B186" s="7" t="n">
        <f aca="false">COUNTIF('Source Data'!$B$2:$B$1602,$A186)</f>
        <v>3</v>
      </c>
      <c r="C186" s="6" t="n">
        <f aca="false">IF(COUNTIFS('Source Data'!$B$2:$B$1602,$A186,'Source Data'!$C$2:$C$1602,"&lt;&gt;")=0,"",AVERAGEIF('Source Data'!$B$2:$B$1602,$A186,'Source Data'!$C$2:$C$1602))</f>
        <v>10</v>
      </c>
      <c r="D186" s="6" t="n">
        <f aca="false">IF(COUNTIFS('Source Data'!$B$2:$B$1602,$A186,'Source Data'!$C$2:$C$1602,"&lt;&gt;")=0,"",_xlfn.MINIFS('Source Data'!$C$2:$C$1602,'Source Data'!$B$2:$B$1602,$A186))</f>
        <v>6</v>
      </c>
      <c r="E186" s="6" t="n">
        <f aca="false">IF(COUNTIFS('Source Data'!$B$2:$B$1602,$A186,'Source Data'!$C$2:$C$1602,"&lt;&gt;")=0,"",_xlfn.MAXIFS('Source Data'!$C$2:$C$1602,'Source Data'!$B$2:$B$1602,$A186))</f>
        <v>12</v>
      </c>
      <c r="F186" s="6" t="n">
        <f aca="false">IF(COUNTIFS('Source Data'!$B$2:$B$1602,$A186,'Source Data'!$D$2:$D$1602,"&lt;&gt;")=0,"",AVERAGEIF('Source Data'!$B$2:$B$1602,$A186,'Source Data'!$D$2:$D$1602))</f>
        <v>6</v>
      </c>
      <c r="G186" s="6" t="n">
        <f aca="false">IF(COUNTIFS('Source Data'!$B$2:$B$1602,$A186,'Source Data'!$D$2:$D$1602,"&lt;&gt;")=0,"",_xlfn.MINIFS('Source Data'!$D$2:$D$1602,'Source Data'!$B$2:$B$1602,$A186))</f>
        <v>0</v>
      </c>
      <c r="H186" s="6" t="n">
        <f aca="false">IF(COUNTIFS('Source Data'!$B$2:$B$1602,$A186,'Source Data'!$D$2:$D$1602,"&lt;&gt;")=0,"",_xlfn.MAXIFS('Source Data'!$D$2:$D$1602,'Source Data'!$B$2:$B$1602,$A186))</f>
        <v>12</v>
      </c>
      <c r="I186" s="6" t="str">
        <f aca="false">IF(COUNTIFS('Source Data'!$B$2:$B$1602,$A186,'Source Data'!$E$2:$E$1602,"&lt;&gt;")=0,"",AVERAGEIF('Source Data'!$B$2:$B$1602,$A186,'Source Data'!$E$2:$E$1602))</f>
        <v/>
      </c>
      <c r="J186" s="6" t="str">
        <f aca="false">IF(COUNTIFS('Source Data'!$B$2:$B$1602,$A186,'Source Data'!$E$2:$E$1602,"&lt;&gt;")=0,"",_xlfn.MINIFS('Source Data'!$E$2:$E$1602,'Source Data'!$B$2:$B$1602,$A186))</f>
        <v/>
      </c>
      <c r="K186" s="6" t="str">
        <f aca="false">IF(COUNTIFS('Source Data'!$B$2:$B$1602,$A186,'Source Data'!$E$2:$E$1602,"&lt;&gt;")=0,"",_xlfn.MAXIFS('Source Data'!$E$2:$E$1602,'Source Data'!$B$2:$B$1602,$A186))</f>
        <v/>
      </c>
      <c r="L186" s="6" t="str">
        <f aca="false">IF(COUNTIFS('Source Data'!$B$2:$B$1602,$A186,'Source Data'!$F$2:$F$1602,"&lt;&gt;")=0,"",AVERAGEIF('Source Data'!$B$2:$B$1602,$A186,'Source Data'!$F$2:$F$1602))</f>
        <v/>
      </c>
      <c r="M186" s="6" t="str">
        <f aca="false">IF(COUNTIFS('Source Data'!$B$2:$B$1602,$A186,'Source Data'!$F$2:$F$1602,"&lt;&gt;")=0,"",_xlfn.MINIFS('Source Data'!$F$2:$F$1602,'Source Data'!$B$2:$B$1602,$A186))</f>
        <v/>
      </c>
      <c r="N186" s="6" t="str">
        <f aca="false">IF(COUNTIFS('Source Data'!$B$2:$B$1602,$A186,'Source Data'!$F$2:$F$1602,"&lt;&gt;")=0,"",_xlfn.MAXIFS('Source Data'!$F$2:$F$1602,'Source Data'!$B$2:$B$1602,$A186))</f>
        <v/>
      </c>
    </row>
    <row r="187" customFormat="false" ht="15" hidden="false" customHeight="false" outlineLevel="0" collapsed="false">
      <c r="A187" s="5" t="s">
        <v>1182</v>
      </c>
      <c r="B187" s="7" t="n">
        <f aca="false">COUNTIF('Source Data'!$B$2:$B$1602,$A187)</f>
        <v>3</v>
      </c>
      <c r="C187" s="6" t="n">
        <f aca="false">IF(COUNTIFS('Source Data'!$B$2:$B$1602,$A187,'Source Data'!$C$2:$C$1602,"&lt;&gt;")=0,"",AVERAGEIF('Source Data'!$B$2:$B$1602,$A187,'Source Data'!$C$2:$C$1602))</f>
        <v>25.6666666666667</v>
      </c>
      <c r="D187" s="6" t="n">
        <f aca="false">IF(COUNTIFS('Source Data'!$B$2:$B$1602,$A187,'Source Data'!$C$2:$C$1602,"&lt;&gt;")=0,"",_xlfn.MINIFS('Source Data'!$C$2:$C$1602,'Source Data'!$B$2:$B$1602,$A187))</f>
        <v>10</v>
      </c>
      <c r="E187" s="6" t="n">
        <f aca="false">IF(COUNTIFS('Source Data'!$B$2:$B$1602,$A187,'Source Data'!$C$2:$C$1602,"&lt;&gt;")=0,"",_xlfn.MAXIFS('Source Data'!$C$2:$C$1602,'Source Data'!$B$2:$B$1602,$A187))</f>
        <v>52</v>
      </c>
      <c r="F187" s="6" t="n">
        <f aca="false">IF(COUNTIFS('Source Data'!$B$2:$B$1602,$A187,'Source Data'!$D$2:$D$1602,"&lt;&gt;")=0,"",AVERAGEIF('Source Data'!$B$2:$B$1602,$A187,'Source Data'!$D$2:$D$1602))</f>
        <v>14</v>
      </c>
      <c r="G187" s="6" t="n">
        <f aca="false">IF(COUNTIFS('Source Data'!$B$2:$B$1602,$A187,'Source Data'!$D$2:$D$1602,"&lt;&gt;")=0,"",_xlfn.MINIFS('Source Data'!$D$2:$D$1602,'Source Data'!$B$2:$B$1602,$A187))</f>
        <v>0</v>
      </c>
      <c r="H187" s="6" t="n">
        <f aca="false">IF(COUNTIFS('Source Data'!$B$2:$B$1602,$A187,'Source Data'!$D$2:$D$1602,"&lt;&gt;")=0,"",_xlfn.MAXIFS('Source Data'!$D$2:$D$1602,'Source Data'!$B$2:$B$1602,$A187))</f>
        <v>40</v>
      </c>
      <c r="I187" s="6" t="str">
        <f aca="false">IF(COUNTIFS('Source Data'!$B$2:$B$1602,$A187,'Source Data'!$E$2:$E$1602,"&lt;&gt;")=0,"",AVERAGEIF('Source Data'!$B$2:$B$1602,$A187,'Source Data'!$E$2:$E$1602))</f>
        <v/>
      </c>
      <c r="J187" s="6" t="str">
        <f aca="false">IF(COUNTIFS('Source Data'!$B$2:$B$1602,$A187,'Source Data'!$E$2:$E$1602,"&lt;&gt;")=0,"",_xlfn.MINIFS('Source Data'!$E$2:$E$1602,'Source Data'!$B$2:$B$1602,$A187))</f>
        <v/>
      </c>
      <c r="K187" s="6" t="str">
        <f aca="false">IF(COUNTIFS('Source Data'!$B$2:$B$1602,$A187,'Source Data'!$E$2:$E$1602,"&lt;&gt;")=0,"",_xlfn.MAXIFS('Source Data'!$E$2:$E$1602,'Source Data'!$B$2:$B$1602,$A187))</f>
        <v/>
      </c>
      <c r="L187" s="6" t="str">
        <f aca="false">IF(COUNTIFS('Source Data'!$B$2:$B$1602,$A187,'Source Data'!$F$2:$F$1602,"&lt;&gt;")=0,"",AVERAGEIF('Source Data'!$B$2:$B$1602,$A187,'Source Data'!$F$2:$F$1602))</f>
        <v/>
      </c>
      <c r="M187" s="6" t="str">
        <f aca="false">IF(COUNTIFS('Source Data'!$B$2:$B$1602,$A187,'Source Data'!$F$2:$F$1602,"&lt;&gt;")=0,"",_xlfn.MINIFS('Source Data'!$F$2:$F$1602,'Source Data'!$B$2:$B$1602,$A187))</f>
        <v/>
      </c>
      <c r="N187" s="6" t="str">
        <f aca="false">IF(COUNTIFS('Source Data'!$B$2:$B$1602,$A187,'Source Data'!$F$2:$F$1602,"&lt;&gt;")=0,"",_xlfn.MAXIFS('Source Data'!$F$2:$F$1602,'Source Data'!$B$2:$B$1602,$A187))</f>
        <v/>
      </c>
    </row>
    <row r="188" customFormat="false" ht="15" hidden="false" customHeight="false" outlineLevel="0" collapsed="false">
      <c r="A188" s="5" t="s">
        <v>1732</v>
      </c>
      <c r="B188" s="7" t="n">
        <f aca="false">COUNTIF('Source Data'!$B$2:$B$1602,$A188)</f>
        <v>1</v>
      </c>
      <c r="C188" s="6" t="n">
        <f aca="false">IF(COUNTIFS('Source Data'!$B$2:$B$1602,$A188,'Source Data'!$C$2:$C$1602,"&lt;&gt;")=0,"",AVERAGEIF('Source Data'!$B$2:$B$1602,$A188,'Source Data'!$C$2:$C$1602))</f>
        <v>2</v>
      </c>
      <c r="D188" s="6" t="n">
        <f aca="false">IF(COUNTIFS('Source Data'!$B$2:$B$1602,$A188,'Source Data'!$C$2:$C$1602,"&lt;&gt;")=0,"",_xlfn.MINIFS('Source Data'!$C$2:$C$1602,'Source Data'!$B$2:$B$1602,$A188))</f>
        <v>2</v>
      </c>
      <c r="E188" s="6" t="n">
        <f aca="false">IF(COUNTIFS('Source Data'!$B$2:$B$1602,$A188,'Source Data'!$C$2:$C$1602,"&lt;&gt;")=0,"",_xlfn.MAXIFS('Source Data'!$C$2:$C$1602,'Source Data'!$B$2:$B$1602,$A188))</f>
        <v>2</v>
      </c>
      <c r="F188" s="6" t="n">
        <f aca="false">IF(COUNTIFS('Source Data'!$B$2:$B$1602,$A188,'Source Data'!$D$2:$D$1602,"&lt;&gt;")=0,"",AVERAGEIF('Source Data'!$B$2:$B$1602,$A188,'Source Data'!$D$2:$D$1602))</f>
        <v>8</v>
      </c>
      <c r="G188" s="6" t="n">
        <f aca="false">IF(COUNTIFS('Source Data'!$B$2:$B$1602,$A188,'Source Data'!$D$2:$D$1602,"&lt;&gt;")=0,"",_xlfn.MINIFS('Source Data'!$D$2:$D$1602,'Source Data'!$B$2:$B$1602,$A188))</f>
        <v>8</v>
      </c>
      <c r="H188" s="6" t="n">
        <f aca="false">IF(COUNTIFS('Source Data'!$B$2:$B$1602,$A188,'Source Data'!$D$2:$D$1602,"&lt;&gt;")=0,"",_xlfn.MAXIFS('Source Data'!$D$2:$D$1602,'Source Data'!$B$2:$B$1602,$A188))</f>
        <v>8</v>
      </c>
      <c r="I188" s="6" t="str">
        <f aca="false">IF(COUNTIFS('Source Data'!$B$2:$B$1602,$A188,'Source Data'!$E$2:$E$1602,"&lt;&gt;")=0,"",AVERAGEIF('Source Data'!$B$2:$B$1602,$A188,'Source Data'!$E$2:$E$1602))</f>
        <v/>
      </c>
      <c r="J188" s="6" t="str">
        <f aca="false">IF(COUNTIFS('Source Data'!$B$2:$B$1602,$A188,'Source Data'!$E$2:$E$1602,"&lt;&gt;")=0,"",_xlfn.MINIFS('Source Data'!$E$2:$E$1602,'Source Data'!$B$2:$B$1602,$A188))</f>
        <v/>
      </c>
      <c r="K188" s="6" t="str">
        <f aca="false">IF(COUNTIFS('Source Data'!$B$2:$B$1602,$A188,'Source Data'!$E$2:$E$1602,"&lt;&gt;")=0,"",_xlfn.MAXIFS('Source Data'!$E$2:$E$1602,'Source Data'!$B$2:$B$1602,$A188))</f>
        <v/>
      </c>
      <c r="L188" s="6" t="str">
        <f aca="false">IF(COUNTIFS('Source Data'!$B$2:$B$1602,$A188,'Source Data'!$F$2:$F$1602,"&lt;&gt;")=0,"",AVERAGEIF('Source Data'!$B$2:$B$1602,$A188,'Source Data'!$F$2:$F$1602))</f>
        <v/>
      </c>
      <c r="M188" s="6" t="str">
        <f aca="false">IF(COUNTIFS('Source Data'!$B$2:$B$1602,$A188,'Source Data'!$F$2:$F$1602,"&lt;&gt;")=0,"",_xlfn.MINIFS('Source Data'!$F$2:$F$1602,'Source Data'!$B$2:$B$1602,$A188))</f>
        <v/>
      </c>
      <c r="N188" s="6" t="str">
        <f aca="false">IF(COUNTIFS('Source Data'!$B$2:$B$1602,$A188,'Source Data'!$F$2:$F$1602,"&lt;&gt;")=0,"",_xlfn.MAXIFS('Source Data'!$F$2:$F$1602,'Source Data'!$B$2:$B$1602,$A188))</f>
        <v/>
      </c>
    </row>
    <row r="189" customFormat="false" ht="15" hidden="false" customHeight="false" outlineLevel="0" collapsed="false">
      <c r="A189" s="5" t="s">
        <v>378</v>
      </c>
      <c r="B189" s="7" t="n">
        <f aca="false">COUNTIF('Source Data'!$B$2:$B$1602,$A189)</f>
        <v>3</v>
      </c>
      <c r="C189" s="6" t="n">
        <f aca="false">IF(COUNTIFS('Source Data'!$B$2:$B$1602,$A189,'Source Data'!$C$2:$C$1602,"&lt;&gt;")=0,"",AVERAGEIF('Source Data'!$B$2:$B$1602,$A189,'Source Data'!$C$2:$C$1602))</f>
        <v>10.6666666666667</v>
      </c>
      <c r="D189" s="6" t="n">
        <f aca="false">IF(COUNTIFS('Source Data'!$B$2:$B$1602,$A189,'Source Data'!$C$2:$C$1602,"&lt;&gt;")=0,"",_xlfn.MINIFS('Source Data'!$C$2:$C$1602,'Source Data'!$B$2:$B$1602,$A189))</f>
        <v>6</v>
      </c>
      <c r="E189" s="6" t="n">
        <f aca="false">IF(COUNTIFS('Source Data'!$B$2:$B$1602,$A189,'Source Data'!$C$2:$C$1602,"&lt;&gt;")=0,"",_xlfn.MAXIFS('Source Data'!$C$2:$C$1602,'Source Data'!$B$2:$B$1602,$A189))</f>
        <v>14</v>
      </c>
      <c r="F189" s="6" t="n">
        <f aca="false">IF(COUNTIFS('Source Data'!$B$2:$B$1602,$A189,'Source Data'!$D$2:$D$1602,"&lt;&gt;")=0,"",AVERAGEIF('Source Data'!$B$2:$B$1602,$A189,'Source Data'!$D$2:$D$1602))</f>
        <v>8</v>
      </c>
      <c r="G189" s="6" t="n">
        <f aca="false">IF(COUNTIFS('Source Data'!$B$2:$B$1602,$A189,'Source Data'!$D$2:$D$1602,"&lt;&gt;")=0,"",_xlfn.MINIFS('Source Data'!$D$2:$D$1602,'Source Data'!$B$2:$B$1602,$A189))</f>
        <v>0</v>
      </c>
      <c r="H189" s="6" t="n">
        <f aca="false">IF(COUNTIFS('Source Data'!$B$2:$B$1602,$A189,'Source Data'!$D$2:$D$1602,"&lt;&gt;")=0,"",_xlfn.MAXIFS('Source Data'!$D$2:$D$1602,'Source Data'!$B$2:$B$1602,$A189))</f>
        <v>12</v>
      </c>
      <c r="I189" s="6" t="n">
        <f aca="false">IF(COUNTIFS('Source Data'!$B$2:$B$1602,$A189,'Source Data'!$E$2:$E$1602,"&lt;&gt;")=0,"",AVERAGEIF('Source Data'!$B$2:$B$1602,$A189,'Source Data'!$E$2:$E$1602))</f>
        <v>4</v>
      </c>
      <c r="J189" s="6" t="n">
        <f aca="false">IF(COUNTIFS('Source Data'!$B$2:$B$1602,$A189,'Source Data'!$E$2:$E$1602,"&lt;&gt;")=0,"",_xlfn.MINIFS('Source Data'!$E$2:$E$1602,'Source Data'!$B$2:$B$1602,$A189))</f>
        <v>4</v>
      </c>
      <c r="K189" s="6" t="n">
        <f aca="false">IF(COUNTIFS('Source Data'!$B$2:$B$1602,$A189,'Source Data'!$E$2:$E$1602,"&lt;&gt;")=0,"",_xlfn.MAXIFS('Source Data'!$E$2:$E$1602,'Source Data'!$B$2:$B$1602,$A189))</f>
        <v>4</v>
      </c>
      <c r="L189" s="6" t="str">
        <f aca="false">IF(COUNTIFS('Source Data'!$B$2:$B$1602,$A189,'Source Data'!$F$2:$F$1602,"&lt;&gt;")=0,"",AVERAGEIF('Source Data'!$B$2:$B$1602,$A189,'Source Data'!$F$2:$F$1602))</f>
        <v/>
      </c>
      <c r="M189" s="6" t="str">
        <f aca="false">IF(COUNTIFS('Source Data'!$B$2:$B$1602,$A189,'Source Data'!$F$2:$F$1602,"&lt;&gt;")=0,"",_xlfn.MINIFS('Source Data'!$F$2:$F$1602,'Source Data'!$B$2:$B$1602,$A189))</f>
        <v/>
      </c>
      <c r="N189" s="6" t="str">
        <f aca="false">IF(COUNTIFS('Source Data'!$B$2:$B$1602,$A189,'Source Data'!$F$2:$F$1602,"&lt;&gt;")=0,"",_xlfn.MAXIFS('Source Data'!$F$2:$F$1602,'Source Data'!$B$2:$B$1602,$A189))</f>
        <v/>
      </c>
    </row>
    <row r="190" customFormat="false" ht="15" hidden="false" customHeight="false" outlineLevel="0" collapsed="false">
      <c r="A190" s="5" t="s">
        <v>380</v>
      </c>
      <c r="B190" s="7" t="n">
        <f aca="false">COUNTIF('Source Data'!$B$2:$B$1602,$A190)</f>
        <v>9</v>
      </c>
      <c r="C190" s="6" t="n">
        <f aca="false">IF(COUNTIFS('Source Data'!$B$2:$B$1602,$A190,'Source Data'!$C$2:$C$1602,"&lt;&gt;")=0,"",AVERAGEIF('Source Data'!$B$2:$B$1602,$A190,'Source Data'!$C$2:$C$1602))</f>
        <v>6.44444444444445</v>
      </c>
      <c r="D190" s="6" t="n">
        <f aca="false">IF(COUNTIFS('Source Data'!$B$2:$B$1602,$A190,'Source Data'!$C$2:$C$1602,"&lt;&gt;")=0,"",_xlfn.MINIFS('Source Data'!$C$2:$C$1602,'Source Data'!$B$2:$B$1602,$A190))</f>
        <v>0</v>
      </c>
      <c r="E190" s="6" t="n">
        <f aca="false">IF(COUNTIFS('Source Data'!$B$2:$B$1602,$A190,'Source Data'!$C$2:$C$1602,"&lt;&gt;")=0,"",_xlfn.MAXIFS('Source Data'!$C$2:$C$1602,'Source Data'!$B$2:$B$1602,$A190))</f>
        <v>14</v>
      </c>
      <c r="F190" s="6" t="n">
        <f aca="false">IF(COUNTIFS('Source Data'!$B$2:$B$1602,$A190,'Source Data'!$D$2:$D$1602,"&lt;&gt;")=0,"",AVERAGEIF('Source Data'!$B$2:$B$1602,$A190,'Source Data'!$D$2:$D$1602))</f>
        <v>6.85714285714286</v>
      </c>
      <c r="G190" s="6" t="n">
        <f aca="false">IF(COUNTIFS('Source Data'!$B$2:$B$1602,$A190,'Source Data'!$D$2:$D$1602,"&lt;&gt;")=0,"",_xlfn.MINIFS('Source Data'!$D$2:$D$1602,'Source Data'!$B$2:$B$1602,$A190))</f>
        <v>0</v>
      </c>
      <c r="H190" s="6" t="n">
        <f aca="false">IF(COUNTIFS('Source Data'!$B$2:$B$1602,$A190,'Source Data'!$D$2:$D$1602,"&lt;&gt;")=0,"",_xlfn.MAXIFS('Source Data'!$D$2:$D$1602,'Source Data'!$B$2:$B$1602,$A190))</f>
        <v>12</v>
      </c>
      <c r="I190" s="6" t="n">
        <f aca="false">IF(COUNTIFS('Source Data'!$B$2:$B$1602,$A190,'Source Data'!$E$2:$E$1602,"&lt;&gt;")=0,"",AVERAGEIF('Source Data'!$B$2:$B$1602,$A190,'Source Data'!$E$2:$E$1602))</f>
        <v>1</v>
      </c>
      <c r="J190" s="6" t="n">
        <f aca="false">IF(COUNTIFS('Source Data'!$B$2:$B$1602,$A190,'Source Data'!$E$2:$E$1602,"&lt;&gt;")=0,"",_xlfn.MINIFS('Source Data'!$E$2:$E$1602,'Source Data'!$B$2:$B$1602,$A190))</f>
        <v>0</v>
      </c>
      <c r="K190" s="6" t="n">
        <f aca="false">IF(COUNTIFS('Source Data'!$B$2:$B$1602,$A190,'Source Data'!$E$2:$E$1602,"&lt;&gt;")=0,"",_xlfn.MAXIFS('Source Data'!$E$2:$E$1602,'Source Data'!$B$2:$B$1602,$A190))</f>
        <v>2</v>
      </c>
      <c r="L190" s="6" t="str">
        <f aca="false">IF(COUNTIFS('Source Data'!$B$2:$B$1602,$A190,'Source Data'!$F$2:$F$1602,"&lt;&gt;")=0,"",AVERAGEIF('Source Data'!$B$2:$B$1602,$A190,'Source Data'!$F$2:$F$1602))</f>
        <v/>
      </c>
      <c r="M190" s="6" t="str">
        <f aca="false">IF(COUNTIFS('Source Data'!$B$2:$B$1602,$A190,'Source Data'!$F$2:$F$1602,"&lt;&gt;")=0,"",_xlfn.MINIFS('Source Data'!$F$2:$F$1602,'Source Data'!$B$2:$B$1602,$A190))</f>
        <v/>
      </c>
      <c r="N190" s="6" t="str">
        <f aca="false">IF(COUNTIFS('Source Data'!$B$2:$B$1602,$A190,'Source Data'!$F$2:$F$1602,"&lt;&gt;")=0,"",_xlfn.MAXIFS('Source Data'!$F$2:$F$1602,'Source Data'!$B$2:$B$1602,$A190))</f>
        <v/>
      </c>
    </row>
  </sheetData>
  <autoFilter ref="A4:N190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  <col collapsed="false" customWidth="true" hidden="false" outlineLevel="0" max="5" min="3" style="0" width="20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1821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8" t="s">
        <v>1822</v>
      </c>
      <c r="B2" s="8"/>
      <c r="C2" s="8"/>
      <c r="D2" s="8"/>
      <c r="E2" s="8"/>
      <c r="F2" s="8"/>
    </row>
    <row r="4" customFormat="false" ht="26.85" hidden="false" customHeight="false" outlineLevel="0" collapsed="false">
      <c r="A4" s="4" t="s">
        <v>18</v>
      </c>
      <c r="B4" s="4" t="s">
        <v>19</v>
      </c>
      <c r="C4" s="4" t="s">
        <v>1823</v>
      </c>
      <c r="D4" s="4" t="s">
        <v>1824</v>
      </c>
      <c r="E4" s="4" t="s">
        <v>1825</v>
      </c>
      <c r="F4" s="4" t="s">
        <v>1826</v>
      </c>
    </row>
    <row r="5" customFormat="false" ht="15" hidden="false" customHeight="false" outlineLevel="0" collapsed="false">
      <c r="A5" s="5" t="str">
        <f aca="false">'Source Data'!A2</f>
        <v>Epsilon</v>
      </c>
      <c r="B5" s="5" t="str">
        <f aca="false">'Source Data'!B2</f>
        <v>Advertising</v>
      </c>
      <c r="C5" s="6" t="n">
        <f aca="false">'Source Data'!C2</f>
        <v>6</v>
      </c>
      <c r="D5" s="6" t="n">
        <f aca="false">'Source Data'!E2</f>
        <v>6</v>
      </c>
      <c r="E5" s="6" t="n">
        <f aca="false">IFERROR(N(C5)-N(D5),"")</f>
        <v>0</v>
      </c>
      <c r="F5" s="7" t="str">
        <f aca="false">IF(E5&gt;0,"Yes",IF(E5&lt;0,"No (Paternity higher)","Equal"))</f>
        <v>Equal</v>
      </c>
    </row>
    <row r="6" customFormat="false" ht="15" hidden="false" customHeight="false" outlineLevel="0" collapsed="false">
      <c r="A6" s="5" t="str">
        <f aca="false">'Source Data'!A3</f>
        <v>The Walt Disney Company</v>
      </c>
      <c r="B6" s="5" t="str">
        <f aca="false">'Source Data'!B3</f>
        <v>Arts &amp; Entertainment</v>
      </c>
      <c r="C6" s="6" t="n">
        <f aca="false">'Source Data'!C3</f>
        <v>5</v>
      </c>
      <c r="D6" s="6" t="n">
        <f aca="false">'Source Data'!E3</f>
        <v>4.5</v>
      </c>
      <c r="E6" s="6" t="n">
        <f aca="false">IFERROR(N(C6)-N(D6),"")</f>
        <v>0.5</v>
      </c>
      <c r="F6" s="7" t="str">
        <f aca="false">IF(E6&gt;0,"Yes",IF(E6&lt;0,"No (Paternity higher)","Equal"))</f>
        <v>Yes</v>
      </c>
    </row>
    <row r="7" customFormat="false" ht="15" hidden="false" customHeight="false" outlineLevel="0" collapsed="false">
      <c r="A7" s="5" t="str">
        <f aca="false">'Source Data'!A4</f>
        <v>Guild Education</v>
      </c>
      <c r="B7" s="5" t="str">
        <f aca="false">'Source Data'!B4</f>
        <v>Business Services: Other</v>
      </c>
      <c r="C7" s="6" t="n">
        <f aca="false">'Source Data'!C4</f>
        <v>14</v>
      </c>
      <c r="D7" s="6" t="n">
        <f aca="false">'Source Data'!E4</f>
        <v>8</v>
      </c>
      <c r="E7" s="6" t="n">
        <f aca="false">IFERROR(N(C7)-N(D7),"")</f>
        <v>6</v>
      </c>
      <c r="F7" s="7" t="str">
        <f aca="false">IF(E7&gt;0,"Yes",IF(E7&lt;0,"No (Paternity higher)","Equal"))</f>
        <v>Yes</v>
      </c>
    </row>
    <row r="8" customFormat="false" ht="15" hidden="false" customHeight="false" outlineLevel="0" collapsed="false">
      <c r="A8" s="5" t="str">
        <f aca="false">'Source Data'!A5</f>
        <v>WeWork</v>
      </c>
      <c r="B8" s="5" t="str">
        <f aca="false">'Source Data'!B5</f>
        <v>Business Services: Other</v>
      </c>
      <c r="C8" s="6" t="n">
        <f aca="false">'Source Data'!C5</f>
        <v>14</v>
      </c>
      <c r="D8" s="6" t="n">
        <f aca="false">'Source Data'!E5</f>
        <v>16</v>
      </c>
      <c r="E8" s="6" t="n">
        <f aca="false">IFERROR(N(C8)-N(D8),"")</f>
        <v>-2</v>
      </c>
      <c r="F8" s="7" t="str">
        <f aca="false">IF(E8&gt;0,"Yes",IF(E8&lt;0,"No (Paternity higher)","Equal"))</f>
        <v>No (Paternity higher)</v>
      </c>
    </row>
    <row r="9" customFormat="false" ht="15" hidden="false" customHeight="false" outlineLevel="0" collapsed="false">
      <c r="A9" s="5" t="str">
        <f aca="false">'Source Data'!A6</f>
        <v>Randstad USA</v>
      </c>
      <c r="B9" s="5" t="str">
        <f aca="false">'Source Data'!B6</f>
        <v>Business Services: Staffing &amp; Outsourcing</v>
      </c>
      <c r="C9" s="6" t="n">
        <f aca="false">'Source Data'!C6</f>
        <v>5</v>
      </c>
      <c r="D9" s="6" t="n">
        <f aca="false">'Source Data'!E6</f>
        <v>0</v>
      </c>
      <c r="E9" s="6" t="n">
        <f aca="false">IFERROR(N(C9)-N(D9),"")</f>
        <v>5</v>
      </c>
      <c r="F9" s="7" t="str">
        <f aca="false">IF(E9&gt;0,"Yes",IF(E9&lt;0,"No (Paternity higher)","Equal"))</f>
        <v>Yes</v>
      </c>
    </row>
    <row r="10" customFormat="false" ht="15" hidden="false" customHeight="false" outlineLevel="0" collapsed="false">
      <c r="A10" s="5" t="str">
        <f aca="false">'Source Data'!A7</f>
        <v>Bain &amp; Company</v>
      </c>
      <c r="B10" s="5" t="str">
        <f aca="false">'Source Data'!B7</f>
        <v>Consulting Services</v>
      </c>
      <c r="C10" s="6" t="n">
        <f aca="false">'Source Data'!C7</f>
        <v>20.5</v>
      </c>
      <c r="D10" s="6" t="n">
        <f aca="false">'Source Data'!E7</f>
        <v>21</v>
      </c>
      <c r="E10" s="6" t="n">
        <f aca="false">IFERROR(N(C10)-N(D10),"")</f>
        <v>-0.5</v>
      </c>
      <c r="F10" s="7" t="str">
        <f aca="false">IF(E10&gt;0,"Yes",IF(E10&lt;0,"No (Paternity higher)","Equal"))</f>
        <v>No (Paternity higher)</v>
      </c>
    </row>
    <row r="11" customFormat="false" ht="15" hidden="false" customHeight="false" outlineLevel="0" collapsed="false">
      <c r="A11" s="5" t="str">
        <f aca="false">'Source Data'!A8</f>
        <v>World 50</v>
      </c>
      <c r="B11" s="5" t="str">
        <f aca="false">'Source Data'!B8</f>
        <v>Consulting Services</v>
      </c>
      <c r="C11" s="6" t="n">
        <f aca="false">'Source Data'!C8</f>
        <v>8</v>
      </c>
      <c r="D11" s="6" t="n">
        <f aca="false">'Source Data'!E8</f>
        <v>1</v>
      </c>
      <c r="E11" s="6" t="n">
        <f aca="false">IFERROR(N(C11)-N(D11),"")</f>
        <v>7</v>
      </c>
      <c r="F11" s="7" t="str">
        <f aca="false">IF(E11&gt;0,"Yes",IF(E11&lt;0,"No (Paternity higher)","Equal"))</f>
        <v>Yes</v>
      </c>
    </row>
    <row r="12" customFormat="false" ht="15" hidden="false" customHeight="false" outlineLevel="0" collapsed="false">
      <c r="A12" s="5" t="str">
        <f aca="false">'Source Data'!A9</f>
        <v>ConAgra Foods, Inc.</v>
      </c>
      <c r="B12" s="5" t="str">
        <f aca="false">'Source Data'!B9</f>
        <v>Consumer Packaged Goods: Packaged Foods</v>
      </c>
      <c r="C12" s="6" t="n">
        <f aca="false">'Source Data'!C9</f>
        <v>6</v>
      </c>
      <c r="D12" s="6" t="n">
        <f aca="false">'Source Data'!E9</f>
        <v>2</v>
      </c>
      <c r="E12" s="6" t="n">
        <f aca="false">IFERROR(N(C12)-N(D12),"")</f>
        <v>4</v>
      </c>
      <c r="F12" s="7" t="str">
        <f aca="false">IF(E12&gt;0,"Yes",IF(E12&lt;0,"No (Paternity higher)","Equal"))</f>
        <v>Yes</v>
      </c>
    </row>
    <row r="13" customFormat="false" ht="15" hidden="false" customHeight="false" outlineLevel="0" collapsed="false">
      <c r="A13" s="5" t="str">
        <f aca="false">'Source Data'!A10</f>
        <v>Anduril Industries</v>
      </c>
      <c r="B13" s="5" t="str">
        <f aca="false">'Source Data'!B10</f>
        <v>Defense &amp; Space</v>
      </c>
      <c r="C13" s="6" t="n">
        <f aca="false">'Source Data'!C10</f>
        <v>16</v>
      </c>
      <c r="D13" s="6" t="n">
        <f aca="false">'Source Data'!E10</f>
        <v>16</v>
      </c>
      <c r="E13" s="6" t="n">
        <f aca="false">IFERROR(N(C13)-N(D13),"")</f>
        <v>0</v>
      </c>
      <c r="F13" s="7" t="str">
        <f aca="false">IF(E13&gt;0,"Yes",IF(E13&lt;0,"No (Paternity higher)","Equal"))</f>
        <v>Equal</v>
      </c>
    </row>
    <row r="14" customFormat="false" ht="15" hidden="false" customHeight="false" outlineLevel="0" collapsed="false">
      <c r="A14" s="5" t="str">
        <f aca="false">'Source Data'!A11</f>
        <v>Northrop Grumman</v>
      </c>
      <c r="B14" s="5" t="str">
        <f aca="false">'Source Data'!B11</f>
        <v>Defense &amp; Space</v>
      </c>
      <c r="C14" s="6" t="n">
        <f aca="false">'Source Data'!C11</f>
        <v>3</v>
      </c>
      <c r="D14" s="6" t="n">
        <f aca="false">'Source Data'!E11</f>
        <v>2</v>
      </c>
      <c r="E14" s="6" t="n">
        <f aca="false">IFERROR(N(C14)-N(D14),"")</f>
        <v>1</v>
      </c>
      <c r="F14" s="7" t="str">
        <f aca="false">IF(E14&gt;0,"Yes",IF(E14&lt;0,"No (Paternity higher)","Equal"))</f>
        <v>Yes</v>
      </c>
    </row>
    <row r="15" customFormat="false" ht="15" hidden="false" customHeight="false" outlineLevel="0" collapsed="false">
      <c r="A15" s="5" t="str">
        <f aca="false">'Source Data'!A12</f>
        <v>The University of Vermont</v>
      </c>
      <c r="B15" s="5" t="str">
        <f aca="false">'Source Data'!B12</f>
        <v>Educational Services: College &amp; Universities</v>
      </c>
      <c r="C15" s="6" t="n">
        <f aca="false">'Source Data'!C12</f>
        <v>0</v>
      </c>
      <c r="D15" s="6" t="n">
        <f aca="false">'Source Data'!E12</f>
        <v>0</v>
      </c>
      <c r="E15" s="6" t="n">
        <f aca="false">IFERROR(N(C15)-N(D15),"")</f>
        <v>0</v>
      </c>
      <c r="F15" s="7" t="str">
        <f aca="false">IF(E15&gt;0,"Yes",IF(E15&lt;0,"No (Paternity higher)","Equal"))</f>
        <v>Equal</v>
      </c>
    </row>
    <row r="16" customFormat="false" ht="15" hidden="false" customHeight="false" outlineLevel="0" collapsed="false">
      <c r="A16" s="5" t="str">
        <f aca="false">'Source Data'!A13</f>
        <v>Belden</v>
      </c>
      <c r="B16" s="5" t="str">
        <f aca="false">'Source Data'!B13</f>
        <v>Electronics: Manufacturing</v>
      </c>
      <c r="C16" s="6" t="n">
        <f aca="false">'Source Data'!C13</f>
        <v>0</v>
      </c>
      <c r="D16" s="6" t="n">
        <f aca="false">'Source Data'!E13</f>
        <v>0</v>
      </c>
      <c r="E16" s="6" t="n">
        <f aca="false">IFERROR(N(C16)-N(D16),"")</f>
        <v>0</v>
      </c>
      <c r="F16" s="7" t="str">
        <f aca="false">IF(E16&gt;0,"Yes",IF(E16&lt;0,"No (Paternity higher)","Equal"))</f>
        <v>Equal</v>
      </c>
    </row>
    <row r="17" customFormat="false" ht="15" hidden="false" customHeight="false" outlineLevel="0" collapsed="false">
      <c r="A17" s="5" t="str">
        <f aca="false">'Source Data'!A14</f>
        <v>Motorola Solutions</v>
      </c>
      <c r="B17" s="5" t="str">
        <f aca="false">'Source Data'!B14</f>
        <v>Electronics: Manufacturing</v>
      </c>
      <c r="C17" s="6" t="n">
        <f aca="false">'Source Data'!C14</f>
        <v>6</v>
      </c>
      <c r="D17" s="6" t="n">
        <f aca="false">'Source Data'!E14</f>
        <v>0</v>
      </c>
      <c r="E17" s="6" t="n">
        <f aca="false">IFERROR(N(C17)-N(D17),"")</f>
        <v>6</v>
      </c>
      <c r="F17" s="7" t="str">
        <f aca="false">IF(E17&gt;0,"Yes",IF(E17&lt;0,"No (Paternity higher)","Equal"))</f>
        <v>Yes</v>
      </c>
    </row>
    <row r="18" customFormat="false" ht="15" hidden="false" customHeight="false" outlineLevel="0" collapsed="false">
      <c r="A18" s="5" t="str">
        <f aca="false">'Source Data'!A15</f>
        <v>MFS Investment Management</v>
      </c>
      <c r="B18" s="5" t="str">
        <f aca="false">'Source Data'!B15</f>
        <v>Finance: Asset Management</v>
      </c>
      <c r="C18" s="6" t="n">
        <f aca="false">'Source Data'!C15</f>
        <v>16</v>
      </c>
      <c r="D18" s="6" t="n">
        <f aca="false">'Source Data'!E15</f>
        <v>12</v>
      </c>
      <c r="E18" s="6" t="n">
        <f aca="false">IFERROR(N(C18)-N(D18),"")</f>
        <v>4</v>
      </c>
      <c r="F18" s="7" t="str">
        <f aca="false">IF(E18&gt;0,"Yes",IF(E18&lt;0,"No (Paternity higher)","Equal"))</f>
        <v>Yes</v>
      </c>
    </row>
    <row r="19" customFormat="false" ht="15" hidden="false" customHeight="false" outlineLevel="0" collapsed="false">
      <c r="A19" s="5" t="str">
        <f aca="false">'Source Data'!A16</f>
        <v>PIMCO</v>
      </c>
      <c r="B19" s="5" t="str">
        <f aca="false">'Source Data'!B16</f>
        <v>Finance: Asset Management</v>
      </c>
      <c r="C19" s="6" t="n">
        <f aca="false">'Source Data'!C16</f>
        <v>12</v>
      </c>
      <c r="D19" s="6" t="n">
        <f aca="false">'Source Data'!E16</f>
        <v>3</v>
      </c>
      <c r="E19" s="6" t="n">
        <f aca="false">IFERROR(N(C19)-N(D19),"")</f>
        <v>9</v>
      </c>
      <c r="F19" s="7" t="str">
        <f aca="false">IF(E19&gt;0,"Yes",IF(E19&lt;0,"No (Paternity higher)","Equal"))</f>
        <v>Yes</v>
      </c>
    </row>
    <row r="20" customFormat="false" ht="15" hidden="false" customHeight="false" outlineLevel="0" collapsed="false">
      <c r="A20" s="5" t="str">
        <f aca="false">'Source Data'!A17</f>
        <v>Sandia National Laboratories</v>
      </c>
      <c r="B20" s="5" t="str">
        <f aca="false">'Source Data'!B17</f>
        <v>Government: Contractor</v>
      </c>
      <c r="C20" s="6" t="n">
        <f aca="false">'Source Data'!C17</f>
        <v>6</v>
      </c>
      <c r="D20" s="6" t="n">
        <f aca="false">'Source Data'!E17</f>
        <v>6</v>
      </c>
      <c r="E20" s="6" t="n">
        <f aca="false">IFERROR(N(C20)-N(D20),"")</f>
        <v>0</v>
      </c>
      <c r="F20" s="7" t="str">
        <f aca="false">IF(E20&gt;0,"Yes",IF(E20&lt;0,"No (Paternity higher)","Equal"))</f>
        <v>Equal</v>
      </c>
    </row>
    <row r="21" customFormat="false" ht="15" hidden="false" customHeight="false" outlineLevel="0" collapsed="false">
      <c r="A21" s="5" t="str">
        <f aca="false">'Source Data'!A18</f>
        <v>Los Angeles County</v>
      </c>
      <c r="B21" s="5" t="str">
        <f aca="false">'Source Data'!B18</f>
        <v>Government: County</v>
      </c>
      <c r="C21" s="6" t="n">
        <f aca="false">'Source Data'!C18</f>
        <v>0</v>
      </c>
      <c r="D21" s="6" t="n">
        <f aca="false">'Source Data'!E18</f>
        <v>0</v>
      </c>
      <c r="E21" s="6" t="n">
        <f aca="false">IFERROR(N(C21)-N(D21),"")</f>
        <v>0</v>
      </c>
      <c r="F21" s="7" t="str">
        <f aca="false">IF(E21&gt;0,"Yes",IF(E21&lt;0,"No (Paternity higher)","Equal"))</f>
        <v>Equal</v>
      </c>
    </row>
    <row r="22" customFormat="false" ht="15" hidden="false" customHeight="false" outlineLevel="0" collapsed="false">
      <c r="A22" s="5" t="str">
        <f aca="false">'Source Data'!A19</f>
        <v>Federal Reserve Bank of Chicago</v>
      </c>
      <c r="B22" s="5" t="str">
        <f aca="false">'Source Data'!B19</f>
        <v>Government: Federal</v>
      </c>
      <c r="C22" s="6" t="n">
        <f aca="false">'Source Data'!C19</f>
        <v>12</v>
      </c>
      <c r="D22" s="6" t="n">
        <f aca="false">'Source Data'!E19</f>
        <v>6</v>
      </c>
      <c r="E22" s="6" t="n">
        <f aca="false">IFERROR(N(C22)-N(D22),"")</f>
        <v>6</v>
      </c>
      <c r="F22" s="7" t="str">
        <f aca="false">IF(E22&gt;0,"Yes",IF(E22&lt;0,"No (Paternity higher)","Equal"))</f>
        <v>Yes</v>
      </c>
    </row>
    <row r="23" customFormat="false" ht="15" hidden="false" customHeight="false" outlineLevel="0" collapsed="false">
      <c r="A23" s="5" t="str">
        <f aca="false">'Source Data'!A20</f>
        <v>Southern Health Partners</v>
      </c>
      <c r="B23" s="5" t="str">
        <f aca="false">'Source Data'!B20</f>
        <v>Healthcare: Diversified</v>
      </c>
      <c r="C23" s="6" t="n">
        <f aca="false">'Source Data'!C20</f>
        <v>4</v>
      </c>
      <c r="D23" s="6" t="n">
        <f aca="false">'Source Data'!E20</f>
        <v>2</v>
      </c>
      <c r="E23" s="6" t="n">
        <f aca="false">IFERROR(N(C23)-N(D23),"")</f>
        <v>2</v>
      </c>
      <c r="F23" s="7" t="str">
        <f aca="false">IF(E23&gt;0,"Yes",IF(E23&lt;0,"No (Paternity higher)","Equal"))</f>
        <v>Yes</v>
      </c>
    </row>
    <row r="24" customFormat="false" ht="15" hidden="false" customHeight="false" outlineLevel="0" collapsed="false">
      <c r="A24" s="5" t="str">
        <f aca="false">'Source Data'!A21</f>
        <v>Denver Health Medical Center</v>
      </c>
      <c r="B24" s="5" t="str">
        <f aca="false">'Source Data'!B21</f>
        <v>Healthcare: Hospitals &amp; Clinics</v>
      </c>
      <c r="C24" s="6" t="n">
        <f aca="false">'Source Data'!C21</f>
        <v>2.5</v>
      </c>
      <c r="D24" s="6" t="n">
        <f aca="false">'Source Data'!E21</f>
        <v>0</v>
      </c>
      <c r="E24" s="6" t="n">
        <f aca="false">IFERROR(N(C24)-N(D24),"")</f>
        <v>2.5</v>
      </c>
      <c r="F24" s="7" t="str">
        <f aca="false">IF(E24&gt;0,"Yes",IF(E24&lt;0,"No (Paternity higher)","Equal"))</f>
        <v>Yes</v>
      </c>
    </row>
    <row r="25" customFormat="false" ht="15" hidden="false" customHeight="false" outlineLevel="0" collapsed="false">
      <c r="A25" s="5" t="str">
        <f aca="false">'Source Data'!A22</f>
        <v>Kohler Co.</v>
      </c>
      <c r="B25" s="5" t="str">
        <f aca="false">'Source Data'!B22</f>
        <v>Industrial: Equipment Manufacturing</v>
      </c>
      <c r="C25" s="6" t="n">
        <f aca="false">'Source Data'!C22</f>
        <v>6</v>
      </c>
      <c r="D25" s="6" t="n">
        <f aca="false">'Source Data'!E22</f>
        <v>2</v>
      </c>
      <c r="E25" s="6" t="n">
        <f aca="false">IFERROR(N(C25)-N(D25),"")</f>
        <v>4</v>
      </c>
      <c r="F25" s="7" t="str">
        <f aca="false">IF(E25&gt;0,"Yes",IF(E25&lt;0,"No (Paternity higher)","Equal"))</f>
        <v>Yes</v>
      </c>
    </row>
    <row r="26" customFormat="false" ht="15" hidden="false" customHeight="false" outlineLevel="0" collapsed="false">
      <c r="A26" s="5" t="str">
        <f aca="false">'Source Data'!A23</f>
        <v>UnitedHealth Group</v>
      </c>
      <c r="B26" s="5" t="str">
        <f aca="false">'Source Data'!B23</f>
        <v>Insurance: Health</v>
      </c>
      <c r="C26" s="6" t="n">
        <f aca="false">'Source Data'!C23</f>
        <v>4</v>
      </c>
      <c r="D26" s="6" t="n">
        <f aca="false">'Source Data'!E23</f>
        <v>5</v>
      </c>
      <c r="E26" s="6" t="n">
        <f aca="false">IFERROR(N(C26)-N(D26),"")</f>
        <v>-1</v>
      </c>
      <c r="F26" s="7" t="str">
        <f aca="false">IF(E26&gt;0,"Yes",IF(E26&lt;0,"No (Paternity higher)","Equal"))</f>
        <v>No (Paternity higher)</v>
      </c>
    </row>
    <row r="27" customFormat="false" ht="15" hidden="false" customHeight="false" outlineLevel="0" collapsed="false">
      <c r="A27" s="5" t="str">
        <f aca="false">'Source Data'!A24</f>
        <v>TEGNA</v>
      </c>
      <c r="B27" s="5" t="str">
        <f aca="false">'Source Data'!B24</f>
        <v>Media: Television</v>
      </c>
      <c r="C27" s="6" t="n">
        <f aca="false">'Source Data'!C24</f>
        <v>12</v>
      </c>
      <c r="D27" s="6" t="n">
        <f aca="false">'Source Data'!E24</f>
        <v>2</v>
      </c>
      <c r="E27" s="6" t="n">
        <f aca="false">IFERROR(N(C27)-N(D27),"")</f>
        <v>10</v>
      </c>
      <c r="F27" s="7" t="str">
        <f aca="false">IF(E27&gt;0,"Yes",IF(E27&lt;0,"No (Paternity higher)","Equal"))</f>
        <v>Yes</v>
      </c>
    </row>
    <row r="28" customFormat="false" ht="15" hidden="false" customHeight="false" outlineLevel="0" collapsed="false">
      <c r="A28" s="5" t="str">
        <f aca="false">'Source Data'!A25</f>
        <v>BHP Billiton Ltd.</v>
      </c>
      <c r="B28" s="5" t="str">
        <f aca="false">'Source Data'!B25</f>
        <v>Natural Resources: Metals &amp; Mining</v>
      </c>
      <c r="C28" s="6" t="n">
        <f aca="false">'Source Data'!C25</f>
        <v>18</v>
      </c>
      <c r="D28" s="6" t="n">
        <f aca="false">'Source Data'!E25</f>
        <v>2</v>
      </c>
      <c r="E28" s="6" t="n">
        <f aca="false">IFERROR(N(C28)-N(D28),"")</f>
        <v>16</v>
      </c>
      <c r="F28" s="7" t="str">
        <f aca="false">IF(E28&gt;0,"Yes",IF(E28&lt;0,"No (Paternity higher)","Equal"))</f>
        <v>Yes</v>
      </c>
    </row>
    <row r="29" customFormat="false" ht="15" hidden="false" customHeight="false" outlineLevel="0" collapsed="false">
      <c r="A29" s="5" t="str">
        <f aca="false">'Source Data'!A26</f>
        <v>Roman Catholic Archdiocese of Philadelphia</v>
      </c>
      <c r="B29" s="5" t="str">
        <f aca="false">'Source Data'!B26</f>
        <v>Nonprofit: Religious</v>
      </c>
      <c r="C29" s="6" t="n">
        <f aca="false">'Source Data'!C26</f>
        <v>0</v>
      </c>
      <c r="D29" s="6" t="n">
        <f aca="false">'Source Data'!E26</f>
        <v>0</v>
      </c>
      <c r="E29" s="6" t="n">
        <f aca="false">IFERROR(N(C29)-N(D29),"")</f>
        <v>0</v>
      </c>
      <c r="F29" s="7" t="str">
        <f aca="false">IF(E29&gt;0,"Yes",IF(E29&lt;0,"No (Paternity higher)","Equal"))</f>
        <v>Equal</v>
      </c>
    </row>
    <row r="30" customFormat="false" ht="15" hidden="false" customHeight="false" outlineLevel="0" collapsed="false">
      <c r="A30" s="5" t="str">
        <f aca="false">'Source Data'!A27</f>
        <v>Bristol Myers Squibb</v>
      </c>
      <c r="B30" s="5" t="str">
        <f aca="false">'Source Data'!B27</f>
        <v>Pharmaceutical</v>
      </c>
      <c r="C30" s="6" t="n">
        <f aca="false">'Source Data'!C27</f>
        <v>15</v>
      </c>
      <c r="D30" s="6" t="n">
        <f aca="false">'Source Data'!E27</f>
        <v>8</v>
      </c>
      <c r="E30" s="6" t="n">
        <f aca="false">IFERROR(N(C30)-N(D30),"")</f>
        <v>7</v>
      </c>
      <c r="F30" s="7" t="str">
        <f aca="false">IF(E30&gt;0,"Yes",IF(E30&lt;0,"No (Paternity higher)","Equal"))</f>
        <v>Yes</v>
      </c>
    </row>
    <row r="31" customFormat="false" ht="15" hidden="false" customHeight="false" outlineLevel="0" collapsed="false">
      <c r="A31" s="5" t="str">
        <f aca="false">'Source Data'!A28</f>
        <v>Walgreens</v>
      </c>
      <c r="B31" s="5" t="str">
        <f aca="false">'Source Data'!B28</f>
        <v>Pharmacies &amp; Drug Stores</v>
      </c>
      <c r="C31" s="6" t="n">
        <f aca="false">'Source Data'!C28</f>
        <v>6</v>
      </c>
      <c r="D31" s="6" t="n">
        <f aca="false">'Source Data'!E28</f>
        <v>8</v>
      </c>
      <c r="E31" s="6" t="n">
        <f aca="false">IFERROR(N(C31)-N(D31),"")</f>
        <v>-2</v>
      </c>
      <c r="F31" s="7" t="str">
        <f aca="false">IF(E31&gt;0,"Yes",IF(E31&lt;0,"No (Paternity higher)","Equal"))</f>
        <v>No (Paternity higher)</v>
      </c>
    </row>
    <row r="32" customFormat="false" ht="15" hidden="false" customHeight="false" outlineLevel="0" collapsed="false">
      <c r="A32" s="5" t="str">
        <f aca="false">'Source Data'!A29</f>
        <v>Invitation Homes</v>
      </c>
      <c r="B32" s="5" t="str">
        <f aca="false">'Source Data'!B29</f>
        <v>Real Estate</v>
      </c>
      <c r="C32" s="6" t="n">
        <f aca="false">'Source Data'!C29</f>
        <v>6</v>
      </c>
      <c r="D32" s="6" t="n">
        <f aca="false">'Source Data'!E29</f>
        <v>6</v>
      </c>
      <c r="E32" s="6" t="n">
        <f aca="false">IFERROR(N(C32)-N(D32),"")</f>
        <v>0</v>
      </c>
      <c r="F32" s="7" t="str">
        <f aca="false">IF(E32&gt;0,"Yes",IF(E32&lt;0,"No (Paternity higher)","Equal"))</f>
        <v>Equal</v>
      </c>
    </row>
    <row r="33" customFormat="false" ht="15" hidden="false" customHeight="false" outlineLevel="0" collapsed="false">
      <c r="A33" s="5" t="str">
        <f aca="false">'Source Data'!A30</f>
        <v>Cushman &amp; Wakefield</v>
      </c>
      <c r="B33" s="5" t="str">
        <f aca="false">'Source Data'!B30</f>
        <v>Real Estate: Development &amp; Management</v>
      </c>
      <c r="C33" s="6" t="n">
        <f aca="false">'Source Data'!C30</f>
        <v>9</v>
      </c>
      <c r="D33" s="6" t="n">
        <f aca="false">'Source Data'!E30</f>
        <v>6</v>
      </c>
      <c r="E33" s="6" t="n">
        <f aca="false">IFERROR(N(C33)-N(D33),"")</f>
        <v>3</v>
      </c>
      <c r="F33" s="7" t="str">
        <f aca="false">IF(E33&gt;0,"Yes",IF(E33&lt;0,"No (Paternity higher)","Equal"))</f>
        <v>Yes</v>
      </c>
    </row>
    <row r="34" customFormat="false" ht="15" hidden="false" customHeight="false" outlineLevel="0" collapsed="false">
      <c r="A34" s="5" t="str">
        <f aca="false">'Source Data'!A31</f>
        <v>L Brands, Inc.</v>
      </c>
      <c r="B34" s="5" t="str">
        <f aca="false">'Source Data'!B31</f>
        <v>Retail: Shoes, Accessories and Apparel</v>
      </c>
      <c r="C34" s="6" t="n">
        <f aca="false">'Source Data'!C31</f>
        <v>14</v>
      </c>
      <c r="D34" s="6" t="n">
        <f aca="false">'Source Data'!E31</f>
        <v>6</v>
      </c>
      <c r="E34" s="6" t="n">
        <f aca="false">IFERROR(N(C34)-N(D34),"")</f>
        <v>8</v>
      </c>
      <c r="F34" s="7" t="str">
        <f aca="false">IF(E34&gt;0,"Yes",IF(E34&lt;0,"No (Paternity higher)","Equal"))</f>
        <v>Yes</v>
      </c>
    </row>
    <row r="35" customFormat="false" ht="15" hidden="false" customHeight="false" outlineLevel="0" collapsed="false">
      <c r="A35" s="5" t="str">
        <f aca="false">'Source Data'!A32</f>
        <v>Chronosphere</v>
      </c>
      <c r="B35" s="5" t="str">
        <f aca="false">'Source Data'!B32</f>
        <v>Technology: B2B Tech Services</v>
      </c>
      <c r="C35" s="6" t="n">
        <f aca="false">'Source Data'!C32</f>
        <v>16</v>
      </c>
      <c r="D35" s="6" t="n">
        <f aca="false">'Source Data'!E32</f>
        <v>16</v>
      </c>
      <c r="E35" s="6" t="n">
        <f aca="false">IFERROR(N(C35)-N(D35),"")</f>
        <v>0</v>
      </c>
      <c r="F35" s="7" t="str">
        <f aca="false">IF(E35&gt;0,"Yes",IF(E35&lt;0,"No (Paternity higher)","Equal"))</f>
        <v>Equal</v>
      </c>
    </row>
    <row r="36" customFormat="false" ht="15" hidden="false" customHeight="false" outlineLevel="0" collapsed="false">
      <c r="A36" s="5" t="str">
        <f aca="false">'Source Data'!A33</f>
        <v>Dropbox</v>
      </c>
      <c r="B36" s="5" t="str">
        <f aca="false">'Source Data'!B33</f>
        <v>Technology: Consumer Internet</v>
      </c>
      <c r="C36" s="6" t="n">
        <f aca="false">'Source Data'!C33</f>
        <v>24</v>
      </c>
      <c r="D36" s="6" t="n">
        <f aca="false">'Source Data'!E33</f>
        <v>24</v>
      </c>
      <c r="E36" s="6" t="n">
        <f aca="false">IFERROR(N(C36)-N(D36),"")</f>
        <v>0</v>
      </c>
      <c r="F36" s="7" t="str">
        <f aca="false">IF(E36&gt;0,"Yes",IF(E36&lt;0,"No (Paternity higher)","Equal"))</f>
        <v>Equal</v>
      </c>
    </row>
    <row r="37" customFormat="false" ht="15" hidden="false" customHeight="false" outlineLevel="0" collapsed="false">
      <c r="A37" s="5" t="str">
        <f aca="false">'Source Data'!A34</f>
        <v>Fairygodboss Inc.</v>
      </c>
      <c r="B37" s="5" t="str">
        <f aca="false">'Source Data'!B34</f>
        <v>Technology: Consumer Internet</v>
      </c>
      <c r="C37" s="6" t="n">
        <f aca="false">'Source Data'!C34</f>
        <v>12</v>
      </c>
      <c r="D37" s="6" t="n">
        <f aca="false">'Source Data'!E34</f>
        <v>21</v>
      </c>
      <c r="E37" s="6" t="n">
        <f aca="false">IFERROR(N(C37)-N(D37),"")</f>
        <v>-9</v>
      </c>
      <c r="F37" s="7" t="str">
        <f aca="false">IF(E37&gt;0,"Yes",IF(E37&lt;0,"No (Paternity higher)","Equal"))</f>
        <v>No (Paternity higher)</v>
      </c>
    </row>
    <row r="38" customFormat="false" ht="15" hidden="false" customHeight="false" outlineLevel="0" collapsed="false">
      <c r="A38" s="5" t="str">
        <f aca="false">'Source Data'!A35</f>
        <v>SiriusXM &amp; Pandora</v>
      </c>
      <c r="B38" s="5" t="str">
        <f aca="false">'Source Data'!B35</f>
        <v>Technology: Consumer Internet</v>
      </c>
      <c r="C38" s="6" t="n">
        <f aca="false">'Source Data'!C35</f>
        <v>14</v>
      </c>
      <c r="D38" s="6" t="n">
        <f aca="false">'Source Data'!E35</f>
        <v>14</v>
      </c>
      <c r="E38" s="6" t="n">
        <f aca="false">IFERROR(N(C38)-N(D38),"")</f>
        <v>0</v>
      </c>
      <c r="F38" s="7" t="str">
        <f aca="false">IF(E38&gt;0,"Yes",IF(E38&lt;0,"No (Paternity higher)","Equal"))</f>
        <v>Equal</v>
      </c>
    </row>
    <row r="39" customFormat="false" ht="15" hidden="false" customHeight="false" outlineLevel="0" collapsed="false">
      <c r="A39" s="5" t="str">
        <f aca="false">'Source Data'!A36</f>
        <v>Stack Overflow</v>
      </c>
      <c r="B39" s="5" t="str">
        <f aca="false">'Source Data'!B36</f>
        <v>Technology: Consumer Internet</v>
      </c>
      <c r="C39" s="6" t="n">
        <f aca="false">'Source Data'!C36</f>
        <v>16</v>
      </c>
      <c r="D39" s="6" t="n">
        <f aca="false">'Source Data'!E36</f>
        <v>16</v>
      </c>
      <c r="E39" s="6" t="n">
        <f aca="false">IFERROR(N(C39)-N(D39),"")</f>
        <v>0</v>
      </c>
      <c r="F39" s="7" t="str">
        <f aca="false">IF(E39&gt;0,"Yes",IF(E39&lt;0,"No (Paternity higher)","Equal"))</f>
        <v>Equal</v>
      </c>
    </row>
    <row r="40" customFormat="false" ht="15" hidden="false" customHeight="false" outlineLevel="0" collapsed="false">
      <c r="A40" s="5" t="str">
        <f aca="false">'Source Data'!A37</f>
        <v>Electronic Arts</v>
      </c>
      <c r="B40" s="5" t="str">
        <f aca="false">'Source Data'!B37</f>
        <v>Technology: Gaming</v>
      </c>
      <c r="C40" s="6" t="n">
        <f aca="false">'Source Data'!C37</f>
        <v>11</v>
      </c>
      <c r="D40" s="6" t="n">
        <f aca="false">'Source Data'!E37</f>
        <v>11</v>
      </c>
      <c r="E40" s="6" t="n">
        <f aca="false">IFERROR(N(C40)-N(D40),"")</f>
        <v>0</v>
      </c>
      <c r="F40" s="7" t="str">
        <f aca="false">IF(E40&gt;0,"Yes",IF(E40&lt;0,"No (Paternity higher)","Equal"))</f>
        <v>Equal</v>
      </c>
    </row>
    <row r="41" customFormat="false" ht="15" hidden="false" customHeight="false" outlineLevel="0" collapsed="false">
      <c r="A41" s="5" t="str">
        <f aca="false">'Source Data'!A38</f>
        <v>Ginkgo Bioworks</v>
      </c>
      <c r="B41" s="5" t="str">
        <f aca="false">'Source Data'!B38</f>
        <v>Technology: Research</v>
      </c>
      <c r="C41" s="6" t="n">
        <f aca="false">'Source Data'!C38</f>
        <v>12</v>
      </c>
      <c r="D41" s="6" t="n">
        <f aca="false">'Source Data'!E38</f>
        <v>2</v>
      </c>
      <c r="E41" s="6" t="n">
        <f aca="false">IFERROR(N(C41)-N(D41),"")</f>
        <v>10</v>
      </c>
      <c r="F41" s="7" t="str">
        <f aca="false">IF(E41&gt;0,"Yes",IF(E41&lt;0,"No (Paternity higher)","Equal"))</f>
        <v>Yes</v>
      </c>
    </row>
    <row r="42" customFormat="false" ht="15" hidden="false" customHeight="false" outlineLevel="0" collapsed="false">
      <c r="A42" s="5" t="str">
        <f aca="false">'Source Data'!A39</f>
        <v>Avalara</v>
      </c>
      <c r="B42" s="5" t="str">
        <f aca="false">'Source Data'!B39</f>
        <v>Technology: Software</v>
      </c>
      <c r="C42" s="6" t="n">
        <f aca="false">'Source Data'!C39</f>
        <v>12</v>
      </c>
      <c r="D42" s="6" t="n">
        <f aca="false">'Source Data'!E39</f>
        <v>12</v>
      </c>
      <c r="E42" s="6" t="n">
        <f aca="false">IFERROR(N(C42)-N(D42),"")</f>
        <v>0</v>
      </c>
      <c r="F42" s="7" t="str">
        <f aca="false">IF(E42&gt;0,"Yes",IF(E42&lt;0,"No (Paternity higher)","Equal"))</f>
        <v>Equal</v>
      </c>
    </row>
    <row r="43" customFormat="false" ht="15" hidden="false" customHeight="false" outlineLevel="0" collapsed="false">
      <c r="A43" s="5" t="str">
        <f aca="false">'Source Data'!A40</f>
        <v>Cornerstone OnDemand</v>
      </c>
      <c r="B43" s="5" t="str">
        <f aca="false">'Source Data'!B40</f>
        <v>Technology: Software</v>
      </c>
      <c r="C43" s="6" t="n">
        <f aca="false">'Source Data'!C40</f>
        <v>14</v>
      </c>
      <c r="D43" s="6" t="n">
        <f aca="false">'Source Data'!E40</f>
        <v>6</v>
      </c>
      <c r="E43" s="6" t="n">
        <f aca="false">IFERROR(N(C43)-N(D43),"")</f>
        <v>8</v>
      </c>
      <c r="F43" s="7" t="str">
        <f aca="false">IF(E43&gt;0,"Yes",IF(E43&lt;0,"No (Paternity higher)","Equal"))</f>
        <v>Yes</v>
      </c>
    </row>
    <row r="44" customFormat="false" ht="15" hidden="false" customHeight="false" outlineLevel="0" collapsed="false">
      <c r="A44" s="5" t="str">
        <f aca="false">'Source Data'!A41</f>
        <v>ExamSoft Worldwide, Inc.</v>
      </c>
      <c r="B44" s="5" t="str">
        <f aca="false">'Source Data'!B41</f>
        <v>Technology: Software</v>
      </c>
      <c r="C44" s="6" t="n">
        <f aca="false">'Source Data'!C41</f>
        <v>4</v>
      </c>
      <c r="D44" s="6" t="n">
        <f aca="false">'Source Data'!E41</f>
        <v>2</v>
      </c>
      <c r="E44" s="6" t="n">
        <f aca="false">IFERROR(N(C44)-N(D44),"")</f>
        <v>2</v>
      </c>
      <c r="F44" s="7" t="str">
        <f aca="false">IF(E44&gt;0,"Yes",IF(E44&lt;0,"No (Paternity higher)","Equal"))</f>
        <v>Yes</v>
      </c>
    </row>
    <row r="45" customFormat="false" ht="15" hidden="false" customHeight="false" outlineLevel="0" collapsed="false">
      <c r="A45" s="5" t="str">
        <f aca="false">'Source Data'!A42</f>
        <v>Medidata Solutions</v>
      </c>
      <c r="B45" s="5" t="str">
        <f aca="false">'Source Data'!B42</f>
        <v>Technology: Software</v>
      </c>
      <c r="C45" s="6" t="n">
        <f aca="false">'Source Data'!C42</f>
        <v>16</v>
      </c>
      <c r="D45" s="6" t="n">
        <f aca="false">'Source Data'!E42</f>
        <v>16</v>
      </c>
      <c r="E45" s="6" t="n">
        <f aca="false">IFERROR(N(C45)-N(D45),"")</f>
        <v>0</v>
      </c>
      <c r="F45" s="7" t="str">
        <f aca="false">IF(E45&gt;0,"Yes",IF(E45&lt;0,"No (Paternity higher)","Equal"))</f>
        <v>Equal</v>
      </c>
    </row>
    <row r="46" customFormat="false" ht="15" hidden="false" customHeight="false" outlineLevel="0" collapsed="false">
      <c r="A46" s="5" t="str">
        <f aca="false">'Source Data'!A43</f>
        <v>Sulzer US, LLC</v>
      </c>
      <c r="B46" s="5" t="str">
        <f aca="false">'Source Data'!B43</f>
        <v>Technology: Software</v>
      </c>
      <c r="C46" s="6" t="n">
        <f aca="false">'Source Data'!C43</f>
        <v>4</v>
      </c>
      <c r="D46" s="6" t="n">
        <f aca="false">'Source Data'!E43</f>
        <v>2</v>
      </c>
      <c r="E46" s="6" t="n">
        <f aca="false">IFERROR(N(C46)-N(D46),"")</f>
        <v>2</v>
      </c>
      <c r="F46" s="7" t="str">
        <f aca="false">IF(E46&gt;0,"Yes",IF(E46&lt;0,"No (Paternity higher)","Equal"))</f>
        <v>Yes</v>
      </c>
    </row>
    <row r="47" customFormat="false" ht="15" hidden="false" customHeight="false" outlineLevel="0" collapsed="false">
      <c r="A47" s="5" t="str">
        <f aca="false">'Source Data'!A44</f>
        <v>Thryv</v>
      </c>
      <c r="B47" s="5" t="str">
        <f aca="false">'Source Data'!B44</f>
        <v>Technology: Software</v>
      </c>
      <c r="C47" s="6" t="n">
        <f aca="false">'Source Data'!C44</f>
        <v>0</v>
      </c>
      <c r="D47" s="6" t="n">
        <f aca="false">'Source Data'!E44</f>
        <v>0</v>
      </c>
      <c r="E47" s="6" t="n">
        <f aca="false">IFERROR(N(C47)-N(D47),"")</f>
        <v>0</v>
      </c>
      <c r="F47" s="7" t="str">
        <f aca="false">IF(E47&gt;0,"Yes",IF(E47&lt;0,"No (Paternity higher)","Equal"))</f>
        <v>Equal</v>
      </c>
    </row>
    <row r="48" customFormat="false" ht="15" hidden="false" customHeight="false" outlineLevel="0" collapsed="false">
      <c r="A48" s="5" t="str">
        <f aca="false">'Source Data'!A45</f>
        <v>T-Mobile</v>
      </c>
      <c r="B48" s="5" t="str">
        <f aca="false">'Source Data'!B45</f>
        <v>Telecommunications</v>
      </c>
      <c r="C48" s="6" t="n">
        <f aca="false">'Source Data'!C45</f>
        <v>7.5</v>
      </c>
      <c r="D48" s="6" t="n">
        <f aca="false">'Source Data'!E45</f>
        <v>3</v>
      </c>
      <c r="E48" s="6" t="n">
        <f aca="false">IFERROR(N(C48)-N(D48),"")</f>
        <v>4.5</v>
      </c>
      <c r="F48" s="7" t="str">
        <f aca="false">IF(E48&gt;0,"Yes",IF(E48&lt;0,"No (Paternity higher)","Equal"))</f>
        <v>Yes</v>
      </c>
    </row>
    <row r="49" customFormat="false" ht="15" hidden="false" customHeight="false" outlineLevel="0" collapsed="false">
      <c r="A49" s="5" t="str">
        <f aca="false">'Source Data'!A46</f>
        <v>CBIZ</v>
      </c>
      <c r="B49" s="5" t="str">
        <f aca="false">'Source Data'!B46</f>
        <v>Accounting Services</v>
      </c>
      <c r="C49" s="6" t="n">
        <f aca="false">'Source Data'!C46</f>
        <v>3.5</v>
      </c>
      <c r="D49" s="6" t="n">
        <f aca="false">'Source Data'!E46</f>
        <v>1</v>
      </c>
      <c r="E49" s="6" t="n">
        <f aca="false">IFERROR(N(C49)-N(D49),"")</f>
        <v>2.5</v>
      </c>
      <c r="F49" s="7" t="str">
        <f aca="false">IF(E49&gt;0,"Yes",IF(E49&lt;0,"No (Paternity higher)","Equal"))</f>
        <v>Yes</v>
      </c>
    </row>
    <row r="50" customFormat="false" ht="15" hidden="false" customHeight="false" outlineLevel="0" collapsed="false">
      <c r="A50" s="5" t="str">
        <f aca="false">'Source Data'!A47</f>
        <v>CliftonLarsonAllen</v>
      </c>
      <c r="B50" s="5" t="str">
        <f aca="false">'Source Data'!B47</f>
        <v>Accounting Services</v>
      </c>
      <c r="C50" s="6" t="n">
        <f aca="false">'Source Data'!C47</f>
        <v>9.5</v>
      </c>
      <c r="D50" s="6" t="n">
        <f aca="false">'Source Data'!E47</f>
        <v>6</v>
      </c>
      <c r="E50" s="6" t="n">
        <f aca="false">IFERROR(N(C50)-N(D50),"")</f>
        <v>3.5</v>
      </c>
      <c r="F50" s="7" t="str">
        <f aca="false">IF(E50&gt;0,"Yes",IF(E50&lt;0,"No (Paternity higher)","Equal"))</f>
        <v>Yes</v>
      </c>
    </row>
    <row r="51" customFormat="false" ht="15" hidden="false" customHeight="false" outlineLevel="0" collapsed="false">
      <c r="A51" s="5" t="str">
        <f aca="false">'Source Data'!A48</f>
        <v>Forvis</v>
      </c>
      <c r="B51" s="5" t="str">
        <f aca="false">'Source Data'!B48</f>
        <v>Accounting Services</v>
      </c>
      <c r="C51" s="6" t="n">
        <f aca="false">'Source Data'!C48</f>
        <v>12</v>
      </c>
      <c r="D51" s="6" t="n">
        <f aca="false">'Source Data'!E48</f>
        <v>2</v>
      </c>
      <c r="E51" s="6" t="n">
        <f aca="false">IFERROR(N(C51)-N(D51),"")</f>
        <v>10</v>
      </c>
      <c r="F51" s="7" t="str">
        <f aca="false">IF(E51&gt;0,"Yes",IF(E51&lt;0,"No (Paternity higher)","Equal"))</f>
        <v>Yes</v>
      </c>
    </row>
    <row r="52" customFormat="false" ht="15" hidden="false" customHeight="false" outlineLevel="0" collapsed="false">
      <c r="A52" s="5" t="str">
        <f aca="false">'Source Data'!A49</f>
        <v>Grant Thornton</v>
      </c>
      <c r="B52" s="5" t="str">
        <f aca="false">'Source Data'!B49</f>
        <v>Accounting Services</v>
      </c>
      <c r="C52" s="6" t="n">
        <f aca="false">'Source Data'!C49</f>
        <v>51</v>
      </c>
      <c r="D52" s="6" t="n">
        <f aca="false">'Source Data'!E49</f>
        <v>51</v>
      </c>
      <c r="E52" s="6" t="n">
        <f aca="false">IFERROR(N(C52)-N(D52),"")</f>
        <v>0</v>
      </c>
      <c r="F52" s="7" t="str">
        <f aca="false">IF(E52&gt;0,"Yes",IF(E52&lt;0,"No (Paternity higher)","Equal"))</f>
        <v>Equal</v>
      </c>
    </row>
    <row r="53" customFormat="false" ht="15" hidden="false" customHeight="false" outlineLevel="0" collapsed="false">
      <c r="A53" s="5" t="str">
        <f aca="false">'Source Data'!A50</f>
        <v>RSM US</v>
      </c>
      <c r="B53" s="5" t="str">
        <f aca="false">'Source Data'!B50</f>
        <v>Accounting Services</v>
      </c>
      <c r="C53" s="6" t="n">
        <f aca="false">'Source Data'!C50</f>
        <v>12</v>
      </c>
      <c r="D53" s="6" t="n">
        <f aca="false">'Source Data'!E50</f>
        <v>7</v>
      </c>
      <c r="E53" s="6" t="n">
        <f aca="false">IFERROR(N(C53)-N(D53),"")</f>
        <v>5</v>
      </c>
      <c r="F53" s="7" t="str">
        <f aca="false">IF(E53&gt;0,"Yes",IF(E53&lt;0,"No (Paternity higher)","Equal"))</f>
        <v>Yes</v>
      </c>
    </row>
    <row r="54" customFormat="false" ht="15" hidden="false" customHeight="false" outlineLevel="0" collapsed="false">
      <c r="A54" s="5" t="str">
        <f aca="false">'Source Data'!A51</f>
        <v>LiveRamp</v>
      </c>
      <c r="B54" s="5" t="str">
        <f aca="false">'Source Data'!B51</f>
        <v>Advertising</v>
      </c>
      <c r="C54" s="6" t="n">
        <f aca="false">'Source Data'!C51</f>
        <v>16</v>
      </c>
      <c r="D54" s="6" t="n">
        <f aca="false">'Source Data'!E51</f>
        <v>16</v>
      </c>
      <c r="E54" s="6" t="n">
        <f aca="false">IFERROR(N(C54)-N(D54),"")</f>
        <v>0</v>
      </c>
      <c r="F54" s="7" t="str">
        <f aca="false">IF(E54&gt;0,"Yes",IF(E54&lt;0,"No (Paternity higher)","Equal"))</f>
        <v>Equal</v>
      </c>
    </row>
    <row r="55" customFormat="false" ht="15" hidden="false" customHeight="false" outlineLevel="0" collapsed="false">
      <c r="A55" s="5" t="str">
        <f aca="false">'Source Data'!A52</f>
        <v>Boeing</v>
      </c>
      <c r="B55" s="5" t="str">
        <f aca="false">'Source Data'!B52</f>
        <v>Aerospace</v>
      </c>
      <c r="C55" s="6" t="n">
        <f aca="false">'Source Data'!C52</f>
        <v>12</v>
      </c>
      <c r="D55" s="6" t="n">
        <f aca="false">'Source Data'!E52</f>
        <v>12</v>
      </c>
      <c r="E55" s="6" t="n">
        <f aca="false">IFERROR(N(C55)-N(D55),"")</f>
        <v>0</v>
      </c>
      <c r="F55" s="7" t="str">
        <f aca="false">IF(E55&gt;0,"Yes",IF(E55&lt;0,"No (Paternity higher)","Equal"))</f>
        <v>Equal</v>
      </c>
    </row>
    <row r="56" customFormat="false" ht="15" hidden="false" customHeight="false" outlineLevel="0" collapsed="false">
      <c r="A56" s="5" t="str">
        <f aca="false">'Source Data'!A53</f>
        <v>Cessna Aircraft Company</v>
      </c>
      <c r="B56" s="5" t="str">
        <f aca="false">'Source Data'!B53</f>
        <v>Aerospace</v>
      </c>
      <c r="C56" s="6" t="n">
        <f aca="false">'Source Data'!C53</f>
        <v>8</v>
      </c>
      <c r="D56" s="6" t="n">
        <f aca="false">'Source Data'!E53</f>
        <v>12</v>
      </c>
      <c r="E56" s="6" t="n">
        <f aca="false">IFERROR(N(C56)-N(D56),"")</f>
        <v>-4</v>
      </c>
      <c r="F56" s="7" t="str">
        <f aca="false">IF(E56&gt;0,"Yes",IF(E56&lt;0,"No (Paternity higher)","Equal"))</f>
        <v>No (Paternity higher)</v>
      </c>
    </row>
    <row r="57" customFormat="false" ht="15" hidden="false" customHeight="false" outlineLevel="0" collapsed="false">
      <c r="A57" s="5" t="str">
        <f aca="false">'Source Data'!A54</f>
        <v>Collins Aerospace</v>
      </c>
      <c r="B57" s="5" t="str">
        <f aca="false">'Source Data'!B54</f>
        <v>Aerospace</v>
      </c>
      <c r="C57" s="6" t="n">
        <f aca="false">'Source Data'!C54</f>
        <v>12</v>
      </c>
      <c r="D57" s="6" t="n">
        <f aca="false">'Source Data'!E54</f>
        <v>4</v>
      </c>
      <c r="E57" s="6" t="n">
        <f aca="false">IFERROR(N(C57)-N(D57),"")</f>
        <v>8</v>
      </c>
      <c r="F57" s="7" t="str">
        <f aca="false">IF(E57&gt;0,"Yes",IF(E57&lt;0,"No (Paternity higher)","Equal"))</f>
        <v>Yes</v>
      </c>
    </row>
    <row r="58" customFormat="false" ht="15" hidden="false" customHeight="false" outlineLevel="0" collapsed="false">
      <c r="A58" s="5" t="str">
        <f aca="false">'Source Data'!A55</f>
        <v>Collins Aerospace</v>
      </c>
      <c r="B58" s="5" t="str">
        <f aca="false">'Source Data'!B55</f>
        <v>Aerospace</v>
      </c>
      <c r="C58" s="6" t="n">
        <f aca="false">'Source Data'!C55</f>
        <v>4</v>
      </c>
      <c r="D58" s="6" t="n">
        <f aca="false">'Source Data'!E55</f>
        <v>4</v>
      </c>
      <c r="E58" s="6" t="n">
        <f aca="false">IFERROR(N(C58)-N(D58),"")</f>
        <v>0</v>
      </c>
      <c r="F58" s="7" t="str">
        <f aca="false">IF(E58&gt;0,"Yes",IF(E58&lt;0,"No (Paternity higher)","Equal"))</f>
        <v>Equal</v>
      </c>
    </row>
    <row r="59" customFormat="false" ht="15" hidden="false" customHeight="false" outlineLevel="0" collapsed="false">
      <c r="A59" s="5" t="str">
        <f aca="false">'Source Data'!A56</f>
        <v>Lockheed Martin Corporation</v>
      </c>
      <c r="B59" s="5" t="str">
        <f aca="false">'Source Data'!B56</f>
        <v>Aerospace</v>
      </c>
      <c r="C59" s="6" t="n">
        <f aca="false">'Source Data'!C56</f>
        <v>6</v>
      </c>
      <c r="D59" s="6" t="n">
        <f aca="false">'Source Data'!E56</f>
        <v>4</v>
      </c>
      <c r="E59" s="6" t="n">
        <f aca="false">IFERROR(N(C59)-N(D59),"")</f>
        <v>2</v>
      </c>
      <c r="F59" s="7" t="str">
        <f aca="false">IF(E59&gt;0,"Yes",IF(E59&lt;0,"No (Paternity higher)","Equal"))</f>
        <v>Yes</v>
      </c>
    </row>
    <row r="60" customFormat="false" ht="15" hidden="false" customHeight="false" outlineLevel="0" collapsed="false">
      <c r="A60" s="5" t="str">
        <f aca="false">'Source Data'!A57</f>
        <v>FCA US LLC</v>
      </c>
      <c r="B60" s="5" t="str">
        <f aca="false">'Source Data'!B57</f>
        <v>Automotive: Manufacturers</v>
      </c>
      <c r="C60" s="6" t="n">
        <f aca="false">'Source Data'!C57</f>
        <v>7.5</v>
      </c>
      <c r="D60" s="6" t="n">
        <f aca="false">'Source Data'!E57</f>
        <v>6</v>
      </c>
      <c r="E60" s="6" t="n">
        <f aca="false">IFERROR(N(C60)-N(D60),"")</f>
        <v>1.5</v>
      </c>
      <c r="F60" s="7" t="str">
        <f aca="false">IF(E60&gt;0,"Yes",IF(E60&lt;0,"No (Paternity higher)","Equal"))</f>
        <v>Yes</v>
      </c>
    </row>
    <row r="61" customFormat="false" ht="15" hidden="false" customHeight="false" outlineLevel="0" collapsed="false">
      <c r="A61" s="5" t="str">
        <f aca="false">'Source Data'!A58</f>
        <v>Ford Motor Company</v>
      </c>
      <c r="B61" s="5" t="str">
        <f aca="false">'Source Data'!B58</f>
        <v>Automotive: Manufacturers</v>
      </c>
      <c r="C61" s="6" t="n">
        <f aca="false">'Source Data'!C58</f>
        <v>12</v>
      </c>
      <c r="D61" s="6" t="n">
        <f aca="false">'Source Data'!E58</f>
        <v>8</v>
      </c>
      <c r="E61" s="6" t="n">
        <f aca="false">IFERROR(N(C61)-N(D61),"")</f>
        <v>4</v>
      </c>
      <c r="F61" s="7" t="str">
        <f aca="false">IF(E61&gt;0,"Yes",IF(E61&lt;0,"No (Paternity higher)","Equal"))</f>
        <v>Yes</v>
      </c>
    </row>
    <row r="62" customFormat="false" ht="15" hidden="false" customHeight="false" outlineLevel="0" collapsed="false">
      <c r="A62" s="5" t="str">
        <f aca="false">'Source Data'!A59</f>
        <v>General Motors</v>
      </c>
      <c r="B62" s="5" t="str">
        <f aca="false">'Source Data'!B59</f>
        <v>Automotive: Manufacturers</v>
      </c>
      <c r="C62" s="6" t="n">
        <f aca="false">'Source Data'!C59</f>
        <v>12</v>
      </c>
      <c r="D62" s="6" t="n">
        <f aca="false">'Source Data'!E59</f>
        <v>12</v>
      </c>
      <c r="E62" s="6" t="n">
        <f aca="false">IFERROR(N(C62)-N(D62),"")</f>
        <v>0</v>
      </c>
      <c r="F62" s="7" t="str">
        <f aca="false">IF(E62&gt;0,"Yes",IF(E62&lt;0,"No (Paternity higher)","Equal"))</f>
        <v>Equal</v>
      </c>
    </row>
    <row r="63" customFormat="false" ht="15" hidden="false" customHeight="false" outlineLevel="0" collapsed="false">
      <c r="A63" s="5" t="str">
        <f aca="false">'Source Data'!A60</f>
        <v>Toyota North America</v>
      </c>
      <c r="B63" s="5" t="str">
        <f aca="false">'Source Data'!B60</f>
        <v>Automotive: Manufacturers</v>
      </c>
      <c r="C63" s="6" t="n">
        <f aca="false">'Source Data'!C60</f>
        <v>6</v>
      </c>
      <c r="D63" s="6" t="n">
        <f aca="false">'Source Data'!E60</f>
        <v>0</v>
      </c>
      <c r="E63" s="6" t="n">
        <f aca="false">IFERROR(N(C63)-N(D63),"")</f>
        <v>6</v>
      </c>
      <c r="F63" s="7" t="str">
        <f aca="false">IF(E63&gt;0,"Yes",IF(E63&lt;0,"No (Paternity higher)","Equal"))</f>
        <v>Yes</v>
      </c>
    </row>
    <row r="64" customFormat="false" ht="15" hidden="false" customHeight="false" outlineLevel="0" collapsed="false">
      <c r="A64" s="5" t="str">
        <f aca="false">'Source Data'!A61</f>
        <v>Johnson Controls</v>
      </c>
      <c r="B64" s="5" t="str">
        <f aca="false">'Source Data'!B61</f>
        <v>Automotive: Parts Manufacturing</v>
      </c>
      <c r="C64" s="6" t="n">
        <f aca="false">'Source Data'!C61</f>
        <v>6</v>
      </c>
      <c r="D64" s="6" t="n">
        <f aca="false">'Source Data'!E61</f>
        <v>0</v>
      </c>
      <c r="E64" s="6" t="n">
        <f aca="false">IFERROR(N(C64)-N(D64),"")</f>
        <v>6</v>
      </c>
      <c r="F64" s="7" t="str">
        <f aca="false">IF(E64&gt;0,"Yes",IF(E64&lt;0,"No (Paternity higher)","Equal"))</f>
        <v>Yes</v>
      </c>
    </row>
    <row r="65" customFormat="false" ht="15" hidden="false" customHeight="false" outlineLevel="0" collapsed="false">
      <c r="A65" s="5" t="str">
        <f aca="false">'Source Data'!A62</f>
        <v>ADP</v>
      </c>
      <c r="B65" s="5" t="str">
        <f aca="false">'Source Data'!B62</f>
        <v>Business Services: Human Resources</v>
      </c>
      <c r="C65" s="6" t="n">
        <f aca="false">'Source Data'!C62</f>
        <v>6</v>
      </c>
      <c r="D65" s="6" t="n">
        <f aca="false">'Source Data'!E62</f>
        <v>16</v>
      </c>
      <c r="E65" s="6" t="n">
        <f aca="false">IFERROR(N(C65)-N(D65),"")</f>
        <v>-10</v>
      </c>
      <c r="F65" s="7" t="str">
        <f aca="false">IF(E65&gt;0,"Yes",IF(E65&lt;0,"No (Paternity higher)","Equal"))</f>
        <v>No (Paternity higher)</v>
      </c>
    </row>
    <row r="66" customFormat="false" ht="15" hidden="false" customHeight="false" outlineLevel="0" collapsed="false">
      <c r="A66" s="5" t="str">
        <f aca="false">'Source Data'!A63</f>
        <v>IHS Markit Ltd.</v>
      </c>
      <c r="B66" s="5" t="str">
        <f aca="false">'Source Data'!B63</f>
        <v>Business Services: Other</v>
      </c>
      <c r="C66" s="6" t="n">
        <f aca="false">'Source Data'!C63</f>
        <v>26</v>
      </c>
      <c r="D66" s="6" t="n">
        <f aca="false">'Source Data'!E63</f>
        <v>2</v>
      </c>
      <c r="E66" s="6" t="n">
        <f aca="false">IFERROR(N(C66)-N(D66),"")</f>
        <v>24</v>
      </c>
      <c r="F66" s="7" t="str">
        <f aca="false">IF(E66&gt;0,"Yes",IF(E66&lt;0,"No (Paternity higher)","Equal"))</f>
        <v>Yes</v>
      </c>
    </row>
    <row r="67" customFormat="false" ht="15" hidden="false" customHeight="false" outlineLevel="0" collapsed="false">
      <c r="A67" s="5" t="str">
        <f aca="false">'Source Data'!A64</f>
        <v>Samsung Research America</v>
      </c>
      <c r="B67" s="5" t="str">
        <f aca="false">'Source Data'!B64</f>
        <v>Business Services: Other</v>
      </c>
      <c r="C67" s="6" t="n">
        <f aca="false">'Source Data'!C64</f>
        <v>6</v>
      </c>
      <c r="D67" s="6" t="n">
        <f aca="false">'Source Data'!E64</f>
        <v>6</v>
      </c>
      <c r="E67" s="6" t="n">
        <f aca="false">IFERROR(N(C67)-N(D67),"")</f>
        <v>0</v>
      </c>
      <c r="F67" s="7" t="str">
        <f aca="false">IF(E67&gt;0,"Yes",IF(E67&lt;0,"No (Paternity higher)","Equal"))</f>
        <v>Equal</v>
      </c>
    </row>
    <row r="68" customFormat="false" ht="15" hidden="false" customHeight="false" outlineLevel="0" collapsed="false">
      <c r="A68" s="5" t="str">
        <f aca="false">'Source Data'!A65</f>
        <v>Adecco Group North America</v>
      </c>
      <c r="B68" s="5" t="str">
        <f aca="false">'Source Data'!B65</f>
        <v>Business Services: Staffing &amp; Outsourcing</v>
      </c>
      <c r="C68" s="6" t="n">
        <f aca="false">'Source Data'!C65</f>
        <v>12</v>
      </c>
      <c r="D68" s="6" t="n">
        <f aca="false">'Source Data'!E65</f>
        <v>0</v>
      </c>
      <c r="E68" s="6" t="n">
        <f aca="false">IFERROR(N(C68)-N(D68),"")</f>
        <v>12</v>
      </c>
      <c r="F68" s="7" t="str">
        <f aca="false">IF(E68&gt;0,"Yes",IF(E68&lt;0,"No (Paternity higher)","Equal"))</f>
        <v>Yes</v>
      </c>
    </row>
    <row r="69" customFormat="false" ht="15" hidden="false" customHeight="false" outlineLevel="0" collapsed="false">
      <c r="A69" s="5" t="str">
        <f aca="false">'Source Data'!A66</f>
        <v>CGI</v>
      </c>
      <c r="B69" s="5" t="str">
        <f aca="false">'Source Data'!B66</f>
        <v>Business Services: Technology Solutions</v>
      </c>
      <c r="C69" s="6" t="n">
        <f aca="false">'Source Data'!C66</f>
        <v>8</v>
      </c>
      <c r="D69" s="6" t="n">
        <f aca="false">'Source Data'!E66</f>
        <v>2</v>
      </c>
      <c r="E69" s="6" t="n">
        <f aca="false">IFERROR(N(C69)-N(D69),"")</f>
        <v>6</v>
      </c>
      <c r="F69" s="7" t="str">
        <f aca="false">IF(E69&gt;0,"Yes",IF(E69&lt;0,"No (Paternity higher)","Equal"))</f>
        <v>Yes</v>
      </c>
    </row>
    <row r="70" customFormat="false" ht="15" hidden="false" customHeight="false" outlineLevel="0" collapsed="false">
      <c r="A70" s="5" t="str">
        <f aca="false">'Source Data'!A67</f>
        <v>Paychex</v>
      </c>
      <c r="B70" s="5" t="str">
        <f aca="false">'Source Data'!B67</f>
        <v>Business Services: Technology Solutions</v>
      </c>
      <c r="C70" s="6" t="n">
        <f aca="false">'Source Data'!C67</f>
        <v>9</v>
      </c>
      <c r="D70" s="6" t="n">
        <f aca="false">'Source Data'!E67</f>
        <v>6</v>
      </c>
      <c r="E70" s="6" t="n">
        <f aca="false">IFERROR(N(C70)-N(D70),"")</f>
        <v>3</v>
      </c>
      <c r="F70" s="7" t="str">
        <f aca="false">IF(E70&gt;0,"Yes",IF(E70&lt;0,"No (Paternity higher)","Equal"))</f>
        <v>Yes</v>
      </c>
    </row>
    <row r="71" customFormat="false" ht="15" hidden="false" customHeight="false" outlineLevel="0" collapsed="false">
      <c r="A71" s="5" t="str">
        <f aca="false">'Source Data'!A68</f>
        <v>Ecolab, Inc.</v>
      </c>
      <c r="B71" s="5" t="str">
        <f aca="false">'Source Data'!B68</f>
        <v>Conglomerate</v>
      </c>
      <c r="C71" s="6" t="n">
        <f aca="false">'Source Data'!C68</f>
        <v>9</v>
      </c>
      <c r="D71" s="6" t="n">
        <f aca="false">'Source Data'!E68</f>
        <v>6</v>
      </c>
      <c r="E71" s="6" t="n">
        <f aca="false">IFERROR(N(C71)-N(D71),"")</f>
        <v>3</v>
      </c>
      <c r="F71" s="7" t="str">
        <f aca="false">IF(E71&gt;0,"Yes",IF(E71&lt;0,"No (Paternity higher)","Equal"))</f>
        <v>Yes</v>
      </c>
    </row>
    <row r="72" customFormat="false" ht="15" hidden="false" customHeight="false" outlineLevel="0" collapsed="false">
      <c r="A72" s="5" t="str">
        <f aca="false">'Source Data'!A69</f>
        <v>Siemens</v>
      </c>
      <c r="B72" s="5" t="str">
        <f aca="false">'Source Data'!B69</f>
        <v>Conglomerate</v>
      </c>
      <c r="C72" s="6" t="n">
        <f aca="false">'Source Data'!C69</f>
        <v>6</v>
      </c>
      <c r="D72" s="6" t="n">
        <f aca="false">'Source Data'!E69</f>
        <v>2</v>
      </c>
      <c r="E72" s="6" t="n">
        <f aca="false">IFERROR(N(C72)-N(D72),"")</f>
        <v>4</v>
      </c>
      <c r="F72" s="7" t="str">
        <f aca="false">IF(E72&gt;0,"Yes",IF(E72&lt;0,"No (Paternity higher)","Equal"))</f>
        <v>Yes</v>
      </c>
    </row>
    <row r="73" customFormat="false" ht="15" hidden="false" customHeight="false" outlineLevel="0" collapsed="false">
      <c r="A73" s="5" t="str">
        <f aca="false">'Source Data'!A70</f>
        <v>84.51¡</v>
      </c>
      <c r="B73" s="5" t="str">
        <f aca="false">'Source Data'!B70</f>
        <v>Consulting Services</v>
      </c>
      <c r="C73" s="6" t="n">
        <f aca="false">'Source Data'!C70</f>
        <v>12</v>
      </c>
      <c r="D73" s="6" t="n">
        <f aca="false">'Source Data'!E70</f>
        <v>4</v>
      </c>
      <c r="E73" s="6" t="n">
        <f aca="false">IFERROR(N(C73)-N(D73),"")</f>
        <v>8</v>
      </c>
      <c r="F73" s="7" t="str">
        <f aca="false">IF(E73&gt;0,"Yes",IF(E73&lt;0,"No (Paternity higher)","Equal"))</f>
        <v>Yes</v>
      </c>
    </row>
    <row r="74" customFormat="false" ht="15" hidden="false" customHeight="false" outlineLevel="0" collapsed="false">
      <c r="A74" s="5" t="str">
        <f aca="false">'Source Data'!A71</f>
        <v>Boston Consulting Group</v>
      </c>
      <c r="B74" s="5" t="str">
        <f aca="false">'Source Data'!B71</f>
        <v>Consulting Services</v>
      </c>
      <c r="C74" s="6" t="n">
        <f aca="false">'Source Data'!C71</f>
        <v>16</v>
      </c>
      <c r="D74" s="6" t="n">
        <f aca="false">'Source Data'!E71</f>
        <v>8</v>
      </c>
      <c r="E74" s="6" t="n">
        <f aca="false">IFERROR(N(C74)-N(D74),"")</f>
        <v>8</v>
      </c>
      <c r="F74" s="7" t="str">
        <f aca="false">IF(E74&gt;0,"Yes",IF(E74&lt;0,"No (Paternity higher)","Equal"))</f>
        <v>Yes</v>
      </c>
    </row>
    <row r="75" customFormat="false" ht="15" hidden="false" customHeight="false" outlineLevel="0" collapsed="false">
      <c r="A75" s="5" t="str">
        <f aca="false">'Source Data'!A72</f>
        <v>Deloitte</v>
      </c>
      <c r="B75" s="5" t="str">
        <f aca="false">'Source Data'!B72</f>
        <v>Consulting Services</v>
      </c>
      <c r="C75" s="6" t="n">
        <f aca="false">'Source Data'!C72</f>
        <v>16</v>
      </c>
      <c r="D75" s="6" t="n">
        <f aca="false">'Source Data'!E72</f>
        <v>9</v>
      </c>
      <c r="E75" s="6" t="n">
        <f aca="false">IFERROR(N(C75)-N(D75),"")</f>
        <v>7</v>
      </c>
      <c r="F75" s="7" t="str">
        <f aca="false">IF(E75&gt;0,"Yes",IF(E75&lt;0,"No (Paternity higher)","Equal"))</f>
        <v>Yes</v>
      </c>
    </row>
    <row r="76" customFormat="false" ht="15" hidden="false" customHeight="false" outlineLevel="0" collapsed="false">
      <c r="A76" s="5" t="str">
        <f aca="false">'Source Data'!A73</f>
        <v>KPMG</v>
      </c>
      <c r="B76" s="5" t="str">
        <f aca="false">'Source Data'!B73</f>
        <v>Consulting Services</v>
      </c>
      <c r="C76" s="6" t="n">
        <f aca="false">'Source Data'!C73</f>
        <v>12</v>
      </c>
      <c r="D76" s="6" t="n">
        <f aca="false">'Source Data'!E73</f>
        <v>12</v>
      </c>
      <c r="E76" s="6" t="n">
        <f aca="false">IFERROR(N(C76)-N(D76),"")</f>
        <v>0</v>
      </c>
      <c r="F76" s="7" t="str">
        <f aca="false">IF(E76&gt;0,"Yes",IF(E76&lt;0,"No (Paternity higher)","Equal"))</f>
        <v>Equal</v>
      </c>
    </row>
    <row r="77" customFormat="false" ht="15" hidden="false" customHeight="false" outlineLevel="0" collapsed="false">
      <c r="A77" s="5" t="str">
        <f aca="false">'Source Data'!A74</f>
        <v>McKinsey &amp; Company</v>
      </c>
      <c r="B77" s="5" t="str">
        <f aca="false">'Source Data'!B74</f>
        <v>Consulting Services</v>
      </c>
      <c r="C77" s="6" t="n">
        <f aca="false">'Source Data'!C74</f>
        <v>16</v>
      </c>
      <c r="D77" s="6" t="n">
        <f aca="false">'Source Data'!E74</f>
        <v>8</v>
      </c>
      <c r="E77" s="6" t="n">
        <f aca="false">IFERROR(N(C77)-N(D77),"")</f>
        <v>8</v>
      </c>
      <c r="F77" s="7" t="str">
        <f aca="false">IF(E77&gt;0,"Yes",IF(E77&lt;0,"No (Paternity higher)","Equal"))</f>
        <v>Yes</v>
      </c>
    </row>
    <row r="78" customFormat="false" ht="15" hidden="false" customHeight="false" outlineLevel="0" collapsed="false">
      <c r="A78" s="5" t="str">
        <f aca="false">'Source Data'!A75</f>
        <v>Pariveda</v>
      </c>
      <c r="B78" s="5" t="str">
        <f aca="false">'Source Data'!B75</f>
        <v>Consulting Services</v>
      </c>
      <c r="C78" s="6" t="n">
        <f aca="false">'Source Data'!C75</f>
        <v>6</v>
      </c>
      <c r="D78" s="6" t="n">
        <f aca="false">'Source Data'!E75</f>
        <v>6</v>
      </c>
      <c r="E78" s="6" t="n">
        <f aca="false">IFERROR(N(C78)-N(D78),"")</f>
        <v>0</v>
      </c>
      <c r="F78" s="7" t="str">
        <f aca="false">IF(E78&gt;0,"Yes",IF(E78&lt;0,"No (Paternity higher)","Equal"))</f>
        <v>Equal</v>
      </c>
    </row>
    <row r="79" customFormat="false" ht="15" hidden="false" customHeight="false" outlineLevel="0" collapsed="false">
      <c r="A79" s="5" t="str">
        <f aca="false">'Source Data'!A76</f>
        <v>Protiviti</v>
      </c>
      <c r="B79" s="5" t="str">
        <f aca="false">'Source Data'!B76</f>
        <v>Consulting Services</v>
      </c>
      <c r="C79" s="6" t="n">
        <f aca="false">'Source Data'!C76</f>
        <v>9</v>
      </c>
      <c r="D79" s="6" t="n">
        <f aca="false">'Source Data'!E76</f>
        <v>10</v>
      </c>
      <c r="E79" s="6" t="n">
        <f aca="false">IFERROR(N(C79)-N(D79),"")</f>
        <v>-1</v>
      </c>
      <c r="F79" s="7" t="str">
        <f aca="false">IF(E79&gt;0,"Yes",IF(E79&lt;0,"No (Paternity higher)","Equal"))</f>
        <v>No (Paternity higher)</v>
      </c>
    </row>
    <row r="80" customFormat="false" ht="15" hidden="false" customHeight="false" outlineLevel="0" collapsed="false">
      <c r="A80" s="5" t="str">
        <f aca="false">'Source Data'!A77</f>
        <v>Slalom</v>
      </c>
      <c r="B80" s="5" t="str">
        <f aca="false">'Source Data'!B77</f>
        <v>Consulting Services</v>
      </c>
      <c r="C80" s="6" t="n">
        <f aca="false">'Source Data'!C77</f>
        <v>14</v>
      </c>
      <c r="D80" s="6" t="n">
        <f aca="false">'Source Data'!E77</f>
        <v>4</v>
      </c>
      <c r="E80" s="6" t="n">
        <f aca="false">IFERROR(N(C80)-N(D80),"")</f>
        <v>10</v>
      </c>
      <c r="F80" s="7" t="str">
        <f aca="false">IF(E80&gt;0,"Yes",IF(E80&lt;0,"No (Paternity higher)","Equal"))</f>
        <v>Yes</v>
      </c>
    </row>
    <row r="81" customFormat="false" ht="15" hidden="false" customHeight="false" outlineLevel="0" collapsed="false">
      <c r="A81" s="5" t="str">
        <f aca="false">'Source Data'!A78</f>
        <v>Campari America</v>
      </c>
      <c r="B81" s="5" t="str">
        <f aca="false">'Source Data'!B78</f>
        <v>Consumer Packaged Goods: Beverages</v>
      </c>
      <c r="C81" s="6" t="n">
        <f aca="false">'Source Data'!C78</f>
        <v>12</v>
      </c>
      <c r="D81" s="6" t="n">
        <f aca="false">'Source Data'!E78</f>
        <v>12</v>
      </c>
      <c r="E81" s="6" t="n">
        <f aca="false">IFERROR(N(C81)-N(D81),"")</f>
        <v>0</v>
      </c>
      <c r="F81" s="7" t="str">
        <f aca="false">IF(E81&gt;0,"Yes",IF(E81&lt;0,"No (Paternity higher)","Equal"))</f>
        <v>Equal</v>
      </c>
    </row>
    <row r="82" customFormat="false" ht="15" hidden="false" customHeight="false" outlineLevel="0" collapsed="false">
      <c r="A82" s="5" t="str">
        <f aca="false">'Source Data'!A79</f>
        <v>Miller Coors</v>
      </c>
      <c r="B82" s="5" t="str">
        <f aca="false">'Source Data'!B79</f>
        <v>Consumer Packaged Goods: Beverages</v>
      </c>
      <c r="C82" s="6" t="n">
        <f aca="false">'Source Data'!C79</f>
        <v>16</v>
      </c>
      <c r="D82" s="6" t="n">
        <f aca="false">'Source Data'!E79</f>
        <v>16</v>
      </c>
      <c r="E82" s="6" t="n">
        <f aca="false">IFERROR(N(C82)-N(D82),"")</f>
        <v>0</v>
      </c>
      <c r="F82" s="7" t="str">
        <f aca="false">IF(E82&gt;0,"Yes",IF(E82&lt;0,"No (Paternity higher)","Equal"))</f>
        <v>Equal</v>
      </c>
    </row>
    <row r="83" customFormat="false" ht="15" hidden="false" customHeight="false" outlineLevel="0" collapsed="false">
      <c r="A83" s="5" t="str">
        <f aca="false">'Source Data'!A80</f>
        <v>General Mills</v>
      </c>
      <c r="B83" s="5" t="str">
        <f aca="false">'Source Data'!B80</f>
        <v>Consumer Packaged Goods: Packaged Foods</v>
      </c>
      <c r="C83" s="6" t="n">
        <f aca="false">'Source Data'!C80</f>
        <v>18</v>
      </c>
      <c r="D83" s="6" t="n">
        <f aca="false">'Source Data'!E80</f>
        <v>12</v>
      </c>
      <c r="E83" s="6" t="n">
        <f aca="false">IFERROR(N(C83)-N(D83),"")</f>
        <v>6</v>
      </c>
      <c r="F83" s="7" t="str">
        <f aca="false">IF(E83&gt;0,"Yes",IF(E83&lt;0,"No (Paternity higher)","Equal"))</f>
        <v>Yes</v>
      </c>
    </row>
    <row r="84" customFormat="false" ht="15" hidden="false" customHeight="false" outlineLevel="0" collapsed="false">
      <c r="A84" s="5" t="str">
        <f aca="false">'Source Data'!A81</f>
        <v>Mondelez International, Inc.</v>
      </c>
      <c r="B84" s="5" t="str">
        <f aca="false">'Source Data'!B81</f>
        <v>Consumer Packaged Goods: Packaged Foods</v>
      </c>
      <c r="C84" s="6" t="n">
        <f aca="false">'Source Data'!C81</f>
        <v>6</v>
      </c>
      <c r="D84" s="6" t="n">
        <f aca="false">'Source Data'!E81</f>
        <v>6</v>
      </c>
      <c r="E84" s="6" t="n">
        <f aca="false">IFERROR(N(C84)-N(D84),"")</f>
        <v>0</v>
      </c>
      <c r="F84" s="7" t="str">
        <f aca="false">IF(E84&gt;0,"Yes",IF(E84&lt;0,"No (Paternity higher)","Equal"))</f>
        <v>Equal</v>
      </c>
    </row>
    <row r="85" customFormat="false" ht="15" hidden="false" customHeight="false" outlineLevel="0" collapsed="false">
      <c r="A85" s="5" t="str">
        <f aca="false">'Source Data'!A82</f>
        <v>Johnson &amp; Johnson</v>
      </c>
      <c r="B85" s="5" t="str">
        <f aca="false">'Source Data'!B82</f>
        <v>Consumer Packaged Goods: Packaged Products</v>
      </c>
      <c r="C85" s="6" t="n">
        <f aca="false">'Source Data'!C82</f>
        <v>16</v>
      </c>
      <c r="D85" s="6" t="n">
        <f aca="false">'Source Data'!E82</f>
        <v>8</v>
      </c>
      <c r="E85" s="6" t="n">
        <f aca="false">IFERROR(N(C85)-N(D85),"")</f>
        <v>8</v>
      </c>
      <c r="F85" s="7" t="str">
        <f aca="false">IF(E85&gt;0,"Yes",IF(E85&lt;0,"No (Paternity higher)","Equal"))</f>
        <v>Yes</v>
      </c>
    </row>
    <row r="86" customFormat="false" ht="15" hidden="false" customHeight="false" outlineLevel="0" collapsed="false">
      <c r="A86" s="5" t="str">
        <f aca="false">'Source Data'!A83</f>
        <v>Reckitt Benckiser</v>
      </c>
      <c r="B86" s="5" t="str">
        <f aca="false">'Source Data'!B83</f>
        <v>Consumer Packaged Goods: Packaged Products</v>
      </c>
      <c r="C86" s="6" t="n">
        <f aca="false">'Source Data'!C83</f>
        <v>21</v>
      </c>
      <c r="D86" s="6" t="n">
        <f aca="false">'Source Data'!E83</f>
        <v>16</v>
      </c>
      <c r="E86" s="6" t="n">
        <f aca="false">IFERROR(N(C86)-N(D86),"")</f>
        <v>5</v>
      </c>
      <c r="F86" s="7" t="str">
        <f aca="false">IF(E86&gt;0,"Yes",IF(E86&lt;0,"No (Paternity higher)","Equal"))</f>
        <v>Yes</v>
      </c>
    </row>
    <row r="87" customFormat="false" ht="15" hidden="false" customHeight="false" outlineLevel="0" collapsed="false">
      <c r="A87" s="5" t="str">
        <f aca="false">'Source Data'!A84</f>
        <v>Unilever</v>
      </c>
      <c r="B87" s="5" t="str">
        <f aca="false">'Source Data'!B84</f>
        <v>Consumer Packaged Goods: Packaged Products</v>
      </c>
      <c r="C87" s="6" t="n">
        <f aca="false">'Source Data'!C84</f>
        <v>16</v>
      </c>
      <c r="D87" s="6" t="n">
        <f aca="false">'Source Data'!E84</f>
        <v>8</v>
      </c>
      <c r="E87" s="6" t="n">
        <f aca="false">IFERROR(N(C87)-N(D87),"")</f>
        <v>8</v>
      </c>
      <c r="F87" s="7" t="str">
        <f aca="false">IF(E87&gt;0,"Yes",IF(E87&lt;0,"No (Paternity higher)","Equal"))</f>
        <v>Yes</v>
      </c>
    </row>
    <row r="88" customFormat="false" ht="15" hidden="false" customHeight="false" outlineLevel="0" collapsed="false">
      <c r="A88" s="5" t="str">
        <f aca="false">'Source Data'!A85</f>
        <v>Hasbro Inc.</v>
      </c>
      <c r="B88" s="5" t="str">
        <f aca="false">'Source Data'!B85</f>
        <v>Consumer Packaged Goods: Toys &amp; Baby Products</v>
      </c>
      <c r="C88" s="6" t="n">
        <f aca="false">'Source Data'!C85</f>
        <v>18</v>
      </c>
      <c r="D88" s="6" t="n">
        <f aca="false">'Source Data'!E85</f>
        <v>0</v>
      </c>
      <c r="E88" s="6" t="n">
        <f aca="false">IFERROR(N(C88)-N(D88),"")</f>
        <v>18</v>
      </c>
      <c r="F88" s="7" t="str">
        <f aca="false">IF(E88&gt;0,"Yes",IF(E88&lt;0,"No (Paternity higher)","Equal"))</f>
        <v>Yes</v>
      </c>
    </row>
    <row r="89" customFormat="false" ht="15" hidden="false" customHeight="false" outlineLevel="0" collapsed="false">
      <c r="A89" s="5" t="str">
        <f aca="false">'Source Data'!A86</f>
        <v>L'Oral USA</v>
      </c>
      <c r="B89" s="5" t="str">
        <f aca="false">'Source Data'!B86</f>
        <v>Cosmetics</v>
      </c>
      <c r="C89" s="6" t="n">
        <f aca="false">'Source Data'!C86</f>
        <v>12</v>
      </c>
      <c r="D89" s="6" t="n">
        <f aca="false">'Source Data'!E86</f>
        <v>8</v>
      </c>
      <c r="E89" s="6" t="n">
        <f aca="false">IFERROR(N(C89)-N(D89),"")</f>
        <v>4</v>
      </c>
      <c r="F89" s="7" t="str">
        <f aca="false">IF(E89&gt;0,"Yes",IF(E89&lt;0,"No (Paternity higher)","Equal"))</f>
        <v>Yes</v>
      </c>
    </row>
    <row r="90" customFormat="false" ht="15" hidden="false" customHeight="false" outlineLevel="0" collapsed="false">
      <c r="A90" s="5" t="str">
        <f aca="false">'Source Data'!A87</f>
        <v>Raytheon Technologies</v>
      </c>
      <c r="B90" s="5" t="str">
        <f aca="false">'Source Data'!B87</f>
        <v>Defense &amp; Space</v>
      </c>
      <c r="C90" s="6" t="n">
        <f aca="false">'Source Data'!C87</f>
        <v>7.5</v>
      </c>
      <c r="D90" s="6" t="n">
        <f aca="false">'Source Data'!E87</f>
        <v>3</v>
      </c>
      <c r="E90" s="6" t="n">
        <f aca="false">IFERROR(N(C90)-N(D90),"")</f>
        <v>4.5</v>
      </c>
      <c r="F90" s="7" t="str">
        <f aca="false">IF(E90&gt;0,"Yes",IF(E90&lt;0,"No (Paternity higher)","Equal"))</f>
        <v>Yes</v>
      </c>
    </row>
    <row r="91" customFormat="false" ht="15" hidden="false" customHeight="false" outlineLevel="0" collapsed="false">
      <c r="A91" s="5" t="str">
        <f aca="false">'Source Data'!A88</f>
        <v>Rice University</v>
      </c>
      <c r="B91" s="5" t="str">
        <f aca="false">'Source Data'!B88</f>
        <v>Educational Services: College &amp; Universities</v>
      </c>
      <c r="C91" s="6" t="n">
        <f aca="false">'Source Data'!C88</f>
        <v>6</v>
      </c>
      <c r="D91" s="6" t="n">
        <f aca="false">'Source Data'!E88</f>
        <v>0</v>
      </c>
      <c r="E91" s="6" t="n">
        <f aca="false">IFERROR(N(C91)-N(D91),"")</f>
        <v>6</v>
      </c>
      <c r="F91" s="7" t="str">
        <f aca="false">IF(E91&gt;0,"Yes",IF(E91&lt;0,"No (Paternity higher)","Equal"))</f>
        <v>Yes</v>
      </c>
    </row>
    <row r="92" customFormat="false" ht="15" hidden="false" customHeight="false" outlineLevel="0" collapsed="false">
      <c r="A92" s="5" t="str">
        <f aca="false">'Source Data'!A89</f>
        <v>University of Minnesota</v>
      </c>
      <c r="B92" s="5" t="str">
        <f aca="false">'Source Data'!B89</f>
        <v>Educational Services: College &amp; Universities</v>
      </c>
      <c r="C92" s="6" t="n">
        <f aca="false">'Source Data'!C89</f>
        <v>6</v>
      </c>
      <c r="D92" s="6" t="n">
        <f aca="false">'Source Data'!E89</f>
        <v>6</v>
      </c>
      <c r="E92" s="6" t="n">
        <f aca="false">IFERROR(N(C92)-N(D92),"")</f>
        <v>0</v>
      </c>
      <c r="F92" s="7" t="str">
        <f aca="false">IF(E92&gt;0,"Yes",IF(E92&lt;0,"No (Paternity higher)","Equal"))</f>
        <v>Equal</v>
      </c>
    </row>
    <row r="93" customFormat="false" ht="15" hidden="false" customHeight="false" outlineLevel="0" collapsed="false">
      <c r="A93" s="5" t="str">
        <f aca="false">'Source Data'!A90</f>
        <v>Walden University</v>
      </c>
      <c r="B93" s="5" t="str">
        <f aca="false">'Source Data'!B90</f>
        <v>Educational Services: College &amp; Universities</v>
      </c>
      <c r="C93" s="6" t="n">
        <f aca="false">'Source Data'!C90</f>
        <v>6</v>
      </c>
      <c r="D93" s="6" t="n">
        <f aca="false">'Source Data'!E90</f>
        <v>1</v>
      </c>
      <c r="E93" s="6" t="n">
        <f aca="false">IFERROR(N(C93)-N(D93),"")</f>
        <v>5</v>
      </c>
      <c r="F93" s="7" t="str">
        <f aca="false">IF(E93&gt;0,"Yes",IF(E93&lt;0,"No (Paternity higher)","Equal"))</f>
        <v>Yes</v>
      </c>
    </row>
    <row r="94" customFormat="false" ht="15" hidden="false" customHeight="false" outlineLevel="0" collapsed="false">
      <c r="A94" s="5" t="str">
        <f aca="false">'Source Data'!A91</f>
        <v>Cengage Learning</v>
      </c>
      <c r="B94" s="5" t="str">
        <f aca="false">'Source Data'!B91</f>
        <v>Educational Services: E-Learning</v>
      </c>
      <c r="C94" s="6" t="n">
        <f aca="false">'Source Data'!C91</f>
        <v>12</v>
      </c>
      <c r="D94" s="6" t="n">
        <f aca="false">'Source Data'!E91</f>
        <v>12</v>
      </c>
      <c r="E94" s="6" t="n">
        <f aca="false">IFERROR(N(C94)-N(D94),"")</f>
        <v>0</v>
      </c>
      <c r="F94" s="7" t="str">
        <f aca="false">IF(E94&gt;0,"Yes",IF(E94&lt;0,"No (Paternity higher)","Equal"))</f>
        <v>Equal</v>
      </c>
    </row>
    <row r="95" customFormat="false" ht="15" hidden="false" customHeight="false" outlineLevel="0" collapsed="false">
      <c r="A95" s="5" t="str">
        <f aca="false">'Source Data'!A92</f>
        <v>Samsung Electronics</v>
      </c>
      <c r="B95" s="5" t="str">
        <f aca="false">'Source Data'!B92</f>
        <v>Electronics: Manufacturing</v>
      </c>
      <c r="C95" s="6" t="n">
        <f aca="false">'Source Data'!C92</f>
        <v>2</v>
      </c>
      <c r="D95" s="6" t="n">
        <f aca="false">'Source Data'!E92</f>
        <v>2</v>
      </c>
      <c r="E95" s="6" t="n">
        <f aca="false">IFERROR(N(C95)-N(D95),"")</f>
        <v>0</v>
      </c>
      <c r="F95" s="7" t="str">
        <f aca="false">IF(E95&gt;0,"Yes",IF(E95&lt;0,"No (Paternity higher)","Equal"))</f>
        <v>Equal</v>
      </c>
    </row>
    <row r="96" customFormat="false" ht="15" hidden="false" customHeight="false" outlineLevel="0" collapsed="false">
      <c r="A96" s="5" t="str">
        <f aca="false">'Source Data'!A93</f>
        <v>Apollo Global Management</v>
      </c>
      <c r="B96" s="5" t="str">
        <f aca="false">'Source Data'!B93</f>
        <v>Finance: Asset Management</v>
      </c>
      <c r="C96" s="6" t="n">
        <f aca="false">'Source Data'!C93</f>
        <v>16</v>
      </c>
      <c r="D96" s="6" t="n">
        <f aca="false">'Source Data'!E93</f>
        <v>2</v>
      </c>
      <c r="E96" s="6" t="n">
        <f aca="false">IFERROR(N(C96)-N(D96),"")</f>
        <v>14</v>
      </c>
      <c r="F96" s="7" t="str">
        <f aca="false">IF(E96&gt;0,"Yes",IF(E96&lt;0,"No (Paternity higher)","Equal"))</f>
        <v>Yes</v>
      </c>
    </row>
    <row r="97" customFormat="false" ht="15" hidden="false" customHeight="false" outlineLevel="0" collapsed="false">
      <c r="A97" s="5" t="str">
        <f aca="false">'Source Data'!A94</f>
        <v>Capital Group</v>
      </c>
      <c r="B97" s="5" t="str">
        <f aca="false">'Source Data'!B94</f>
        <v>Finance: Asset Management</v>
      </c>
      <c r="C97" s="6" t="n">
        <f aca="false">'Source Data'!C94</f>
        <v>12</v>
      </c>
      <c r="D97" s="6" t="n">
        <f aca="false">'Source Data'!E94</f>
        <v>18</v>
      </c>
      <c r="E97" s="6" t="n">
        <f aca="false">IFERROR(N(C97)-N(D97),"")</f>
        <v>-6</v>
      </c>
      <c r="F97" s="7" t="str">
        <f aca="false">IF(E97&gt;0,"Yes",IF(E97&lt;0,"No (Paternity higher)","Equal"))</f>
        <v>No (Paternity higher)</v>
      </c>
    </row>
    <row r="98" customFormat="false" ht="15" hidden="false" customHeight="false" outlineLevel="0" collapsed="false">
      <c r="A98" s="5" t="str">
        <f aca="false">'Source Data'!A95</f>
        <v>Merrill</v>
      </c>
      <c r="B98" s="5" t="str">
        <f aca="false">'Source Data'!B95</f>
        <v>Finance: Asset Management</v>
      </c>
      <c r="C98" s="6" t="n">
        <f aca="false">'Source Data'!C95</f>
        <v>11</v>
      </c>
      <c r="D98" s="6" t="n">
        <f aca="false">'Source Data'!E95</f>
        <v>16</v>
      </c>
      <c r="E98" s="6" t="n">
        <f aca="false">IFERROR(N(C98)-N(D98),"")</f>
        <v>-5</v>
      </c>
      <c r="F98" s="7" t="str">
        <f aca="false">IF(E98&gt;0,"Yes",IF(E98&lt;0,"No (Paternity higher)","Equal"))</f>
        <v>No (Paternity higher)</v>
      </c>
    </row>
    <row r="99" customFormat="false" ht="15" hidden="false" customHeight="false" outlineLevel="0" collapsed="false">
      <c r="A99" s="5" t="str">
        <f aca="false">'Source Data'!A96</f>
        <v>Discover Financial Services</v>
      </c>
      <c r="B99" s="5" t="str">
        <f aca="false">'Source Data'!B96</f>
        <v>Finance: Credit &amp; Fund Services</v>
      </c>
      <c r="C99" s="6" t="n">
        <f aca="false">'Source Data'!C96</f>
        <v>16</v>
      </c>
      <c r="D99" s="6" t="n">
        <f aca="false">'Source Data'!E96</f>
        <v>2</v>
      </c>
      <c r="E99" s="6" t="n">
        <f aca="false">IFERROR(N(C99)-N(D99),"")</f>
        <v>14</v>
      </c>
      <c r="F99" s="7" t="str">
        <f aca="false">IF(E99&gt;0,"Yes",IF(E99&lt;0,"No (Paternity higher)","Equal"))</f>
        <v>Yes</v>
      </c>
    </row>
    <row r="100" customFormat="false" ht="15" hidden="false" customHeight="false" outlineLevel="0" collapsed="false">
      <c r="A100" s="5" t="str">
        <f aca="false">'Source Data'!A97</f>
        <v>Mastercard</v>
      </c>
      <c r="B100" s="5" t="str">
        <f aca="false">'Source Data'!B97</f>
        <v>Finance: Credit &amp; Fund Services</v>
      </c>
      <c r="C100" s="6" t="n">
        <f aca="false">'Source Data'!C97</f>
        <v>16</v>
      </c>
      <c r="D100" s="6" t="n">
        <f aca="false">'Source Data'!E97</f>
        <v>16</v>
      </c>
      <c r="E100" s="6" t="n">
        <f aca="false">IFERROR(N(C100)-N(D100),"")</f>
        <v>0</v>
      </c>
      <c r="F100" s="7" t="str">
        <f aca="false">IF(E100&gt;0,"Yes",IF(E100&lt;0,"No (Paternity higher)","Equal"))</f>
        <v>Equal</v>
      </c>
    </row>
    <row r="101" customFormat="false" ht="15" hidden="false" customHeight="false" outlineLevel="0" collapsed="false">
      <c r="A101" s="5" t="str">
        <f aca="false">'Source Data'!A98</f>
        <v>Ally Financial</v>
      </c>
      <c r="B101" s="5" t="str">
        <f aca="false">'Source Data'!B98</f>
        <v>Finance: Diversified</v>
      </c>
      <c r="C101" s="6" t="n">
        <f aca="false">'Source Data'!C98</f>
        <v>12</v>
      </c>
      <c r="D101" s="6" t="n">
        <f aca="false">'Source Data'!E98</f>
        <v>12</v>
      </c>
      <c r="E101" s="6" t="n">
        <f aca="false">IFERROR(N(C101)-N(D101),"")</f>
        <v>0</v>
      </c>
      <c r="F101" s="7" t="str">
        <f aca="false">IF(E101&gt;0,"Yes",IF(E101&lt;0,"No (Paternity higher)","Equal"))</f>
        <v>Equal</v>
      </c>
    </row>
    <row r="102" customFormat="false" ht="15" hidden="false" customHeight="false" outlineLevel="0" collapsed="false">
      <c r="A102" s="5" t="str">
        <f aca="false">'Source Data'!A99</f>
        <v>Ameriprise Financial</v>
      </c>
      <c r="B102" s="5" t="str">
        <f aca="false">'Source Data'!B99</f>
        <v>Finance: Diversified</v>
      </c>
      <c r="C102" s="6" t="n">
        <f aca="false">'Source Data'!C99</f>
        <v>12</v>
      </c>
      <c r="D102" s="6" t="n">
        <f aca="false">'Source Data'!E99</f>
        <v>2</v>
      </c>
      <c r="E102" s="6" t="n">
        <f aca="false">IFERROR(N(C102)-N(D102),"")</f>
        <v>10</v>
      </c>
      <c r="F102" s="7" t="str">
        <f aca="false">IF(E102&gt;0,"Yes",IF(E102&lt;0,"No (Paternity higher)","Equal"))</f>
        <v>Yes</v>
      </c>
    </row>
    <row r="103" customFormat="false" ht="15" hidden="false" customHeight="false" outlineLevel="0" collapsed="false">
      <c r="A103" s="5" t="str">
        <f aca="false">'Source Data'!A100</f>
        <v>Charles Schwab</v>
      </c>
      <c r="B103" s="5" t="str">
        <f aca="false">'Source Data'!B100</f>
        <v>Finance: Diversified</v>
      </c>
      <c r="C103" s="6" t="n">
        <f aca="false">'Source Data'!C100</f>
        <v>8</v>
      </c>
      <c r="D103" s="6" t="n">
        <f aca="false">'Source Data'!E100</f>
        <v>6</v>
      </c>
      <c r="E103" s="6" t="n">
        <f aca="false">IFERROR(N(C103)-N(D103),"")</f>
        <v>2</v>
      </c>
      <c r="F103" s="7" t="str">
        <f aca="false">IF(E103&gt;0,"Yes",IF(E103&lt;0,"No (Paternity higher)","Equal"))</f>
        <v>Yes</v>
      </c>
    </row>
    <row r="104" customFormat="false" ht="15" hidden="false" customHeight="false" outlineLevel="0" collapsed="false">
      <c r="A104" s="5" t="str">
        <f aca="false">'Source Data'!A101</f>
        <v>Citigroup</v>
      </c>
      <c r="B104" s="5" t="str">
        <f aca="false">'Source Data'!B101</f>
        <v>Finance: Diversified</v>
      </c>
      <c r="C104" s="6" t="n">
        <f aca="false">'Source Data'!C101</f>
        <v>16</v>
      </c>
      <c r="D104" s="6" t="n">
        <f aca="false">'Source Data'!E101</f>
        <v>4.5</v>
      </c>
      <c r="E104" s="6" t="n">
        <f aca="false">IFERROR(N(C104)-N(D104),"")</f>
        <v>11.5</v>
      </c>
      <c r="F104" s="7" t="str">
        <f aca="false">IF(E104&gt;0,"Yes",IF(E104&lt;0,"No (Paternity higher)","Equal"))</f>
        <v>Yes</v>
      </c>
    </row>
    <row r="105" customFormat="false" ht="15" hidden="false" customHeight="false" outlineLevel="0" collapsed="false">
      <c r="A105" s="5" t="str">
        <f aca="false">'Source Data'!A102</f>
        <v>Deutsche Bank</v>
      </c>
      <c r="B105" s="5" t="str">
        <f aca="false">'Source Data'!B102</f>
        <v>Finance: Diversified</v>
      </c>
      <c r="C105" s="6" t="n">
        <f aca="false">'Source Data'!C102</f>
        <v>16</v>
      </c>
      <c r="D105" s="6" t="n">
        <f aca="false">'Source Data'!E102</f>
        <v>16</v>
      </c>
      <c r="E105" s="6" t="n">
        <f aca="false">IFERROR(N(C105)-N(D105),"")</f>
        <v>0</v>
      </c>
      <c r="F105" s="7" t="str">
        <f aca="false">IF(E105&gt;0,"Yes",IF(E105&lt;0,"No (Paternity higher)","Equal"))</f>
        <v>Equal</v>
      </c>
    </row>
    <row r="106" customFormat="false" ht="15" hidden="false" customHeight="false" outlineLevel="0" collapsed="false">
      <c r="A106" s="5" t="str">
        <f aca="false">'Source Data'!A103</f>
        <v>DTCC</v>
      </c>
      <c r="B106" s="5" t="str">
        <f aca="false">'Source Data'!B103</f>
        <v>Finance: Diversified</v>
      </c>
      <c r="C106" s="6" t="n">
        <f aca="false">'Source Data'!C103</f>
        <v>16</v>
      </c>
      <c r="D106" s="6" t="n">
        <f aca="false">'Source Data'!E103</f>
        <v>16</v>
      </c>
      <c r="E106" s="6" t="n">
        <f aca="false">IFERROR(N(C106)-N(D106),"")</f>
        <v>0</v>
      </c>
      <c r="F106" s="7" t="str">
        <f aca="false">IF(E106&gt;0,"Yes",IF(E106&lt;0,"No (Paternity higher)","Equal"))</f>
        <v>Equal</v>
      </c>
    </row>
    <row r="107" customFormat="false" ht="15" hidden="false" customHeight="false" outlineLevel="0" collapsed="false">
      <c r="A107" s="5" t="str">
        <f aca="false">'Source Data'!A104</f>
        <v>Goldman Sachs</v>
      </c>
      <c r="B107" s="5" t="str">
        <f aca="false">'Source Data'!B104</f>
        <v>Finance: Diversified</v>
      </c>
      <c r="C107" s="6" t="n">
        <f aca="false">'Source Data'!C104</f>
        <v>20</v>
      </c>
      <c r="D107" s="6" t="n">
        <f aca="false">'Source Data'!E104</f>
        <v>20</v>
      </c>
      <c r="E107" s="6" t="n">
        <f aca="false">IFERROR(N(C107)-N(D107),"")</f>
        <v>0</v>
      </c>
      <c r="F107" s="7" t="str">
        <f aca="false">IF(E107&gt;0,"Yes",IF(E107&lt;0,"No (Paternity higher)","Equal"))</f>
        <v>Equal</v>
      </c>
    </row>
    <row r="108" customFormat="false" ht="15" hidden="false" customHeight="false" outlineLevel="0" collapsed="false">
      <c r="A108" s="5" t="str">
        <f aca="false">'Source Data'!A105</f>
        <v>Macquarie Group</v>
      </c>
      <c r="B108" s="5" t="str">
        <f aca="false">'Source Data'!B105</f>
        <v>Finance: Diversified</v>
      </c>
      <c r="C108" s="6" t="n">
        <f aca="false">'Source Data'!C105</f>
        <v>16</v>
      </c>
      <c r="D108" s="6" t="n">
        <f aca="false">'Source Data'!E105</f>
        <v>6</v>
      </c>
      <c r="E108" s="6" t="n">
        <f aca="false">IFERROR(N(C108)-N(D108),"")</f>
        <v>10</v>
      </c>
      <c r="F108" s="7" t="str">
        <f aca="false">IF(E108&gt;0,"Yes",IF(E108&lt;0,"No (Paternity higher)","Equal"))</f>
        <v>Yes</v>
      </c>
    </row>
    <row r="109" customFormat="false" ht="15" hidden="false" customHeight="false" outlineLevel="0" collapsed="false">
      <c r="A109" s="5" t="str">
        <f aca="false">'Source Data'!A106</f>
        <v>Northern Trust</v>
      </c>
      <c r="B109" s="5" t="str">
        <f aca="false">'Source Data'!B106</f>
        <v>Finance: Diversified</v>
      </c>
      <c r="C109" s="6" t="n">
        <f aca="false">'Source Data'!C106</f>
        <v>10</v>
      </c>
      <c r="D109" s="6" t="n">
        <f aca="false">'Source Data'!E106</f>
        <v>10</v>
      </c>
      <c r="E109" s="6" t="n">
        <f aca="false">IFERROR(N(C109)-N(D109),"")</f>
        <v>0</v>
      </c>
      <c r="F109" s="7" t="str">
        <f aca="false">IF(E109&gt;0,"Yes",IF(E109&lt;0,"No (Paternity higher)","Equal"))</f>
        <v>Equal</v>
      </c>
    </row>
    <row r="110" customFormat="false" ht="15" hidden="false" customHeight="false" outlineLevel="0" collapsed="false">
      <c r="A110" s="5" t="str">
        <f aca="false">'Source Data'!A107</f>
        <v>Raymond James</v>
      </c>
      <c r="B110" s="5" t="str">
        <f aca="false">'Source Data'!B107</f>
        <v>Finance: Diversified</v>
      </c>
      <c r="C110" s="6" t="n">
        <f aca="false">'Source Data'!C107</f>
        <v>16</v>
      </c>
      <c r="D110" s="6" t="n">
        <f aca="false">'Source Data'!E107</f>
        <v>4</v>
      </c>
      <c r="E110" s="6" t="n">
        <f aca="false">IFERROR(N(C110)-N(D110),"")</f>
        <v>12</v>
      </c>
      <c r="F110" s="7" t="str">
        <f aca="false">IF(E110&gt;0,"Yes",IF(E110&lt;0,"No (Paternity higher)","Equal"))</f>
        <v>Yes</v>
      </c>
    </row>
    <row r="111" customFormat="false" ht="15" hidden="false" customHeight="false" outlineLevel="0" collapsed="false">
      <c r="A111" s="5" t="str">
        <f aca="false">'Source Data'!A108</f>
        <v>RBC Wealth Management</v>
      </c>
      <c r="B111" s="5" t="str">
        <f aca="false">'Source Data'!B108</f>
        <v>Finance: Diversified</v>
      </c>
      <c r="C111" s="6" t="n">
        <f aca="false">'Source Data'!C108</f>
        <v>11.5</v>
      </c>
      <c r="D111" s="6" t="n">
        <f aca="false">'Source Data'!E108</f>
        <v>4</v>
      </c>
      <c r="E111" s="6" t="n">
        <f aca="false">IFERROR(N(C111)-N(D111),"")</f>
        <v>7.5</v>
      </c>
      <c r="F111" s="7" t="str">
        <f aca="false">IF(E111&gt;0,"Yes",IF(E111&lt;0,"No (Paternity higher)","Equal"))</f>
        <v>Yes</v>
      </c>
    </row>
    <row r="112" customFormat="false" ht="15" hidden="false" customHeight="false" outlineLevel="0" collapsed="false">
      <c r="A112" s="5" t="str">
        <f aca="false">'Source Data'!A109</f>
        <v>Silicon Valley Bank</v>
      </c>
      <c r="B112" s="5" t="str">
        <f aca="false">'Source Data'!B109</f>
        <v>Finance: Diversified</v>
      </c>
      <c r="C112" s="6" t="n">
        <f aca="false">'Source Data'!C109</f>
        <v>12</v>
      </c>
      <c r="D112" s="6" t="n">
        <f aca="false">'Source Data'!E109</f>
        <v>12</v>
      </c>
      <c r="E112" s="6" t="n">
        <f aca="false">IFERROR(N(C112)-N(D112),"")</f>
        <v>0</v>
      </c>
      <c r="F112" s="7" t="str">
        <f aca="false">IF(E112&gt;0,"Yes",IF(E112&lt;0,"No (Paternity higher)","Equal"))</f>
        <v>Equal</v>
      </c>
    </row>
    <row r="113" customFormat="false" ht="15" hidden="false" customHeight="false" outlineLevel="0" collapsed="false">
      <c r="A113" s="5" t="str">
        <f aca="false">'Source Data'!A110</f>
        <v>UBS</v>
      </c>
      <c r="B113" s="5" t="str">
        <f aca="false">'Source Data'!B110</f>
        <v>Finance: Diversified</v>
      </c>
      <c r="C113" s="6" t="n">
        <f aca="false">'Source Data'!C110</f>
        <v>24</v>
      </c>
      <c r="D113" s="6" t="n">
        <f aca="false">'Source Data'!E110</f>
        <v>20</v>
      </c>
      <c r="E113" s="6" t="n">
        <f aca="false">IFERROR(N(C113)-N(D113),"")</f>
        <v>4</v>
      </c>
      <c r="F113" s="7" t="str">
        <f aca="false">IF(E113&gt;0,"Yes",IF(E113&lt;0,"No (Paternity higher)","Equal"))</f>
        <v>Yes</v>
      </c>
    </row>
    <row r="114" customFormat="false" ht="15" hidden="false" customHeight="false" outlineLevel="0" collapsed="false">
      <c r="A114" s="5" t="str">
        <f aca="false">'Source Data'!A111</f>
        <v>Wells Fargo</v>
      </c>
      <c r="B114" s="5" t="str">
        <f aca="false">'Source Data'!B111</f>
        <v>Finance: Diversified</v>
      </c>
      <c r="C114" s="6" t="n">
        <f aca="false">'Source Data'!C111</f>
        <v>16</v>
      </c>
      <c r="D114" s="6" t="n">
        <f aca="false">'Source Data'!E111</f>
        <v>4</v>
      </c>
      <c r="E114" s="6" t="n">
        <f aca="false">IFERROR(N(C114)-N(D114),"")</f>
        <v>12</v>
      </c>
      <c r="F114" s="7" t="str">
        <f aca="false">IF(E114&gt;0,"Yes",IF(E114&lt;0,"No (Paternity higher)","Equal"))</f>
        <v>Yes</v>
      </c>
    </row>
    <row r="115" customFormat="false" ht="15" hidden="false" customHeight="false" outlineLevel="0" collapsed="false">
      <c r="A115" s="5" t="str">
        <f aca="false">'Source Data'!A112</f>
        <v>William Blair</v>
      </c>
      <c r="B115" s="5" t="str">
        <f aca="false">'Source Data'!B112</f>
        <v>Finance: Diversified</v>
      </c>
      <c r="C115" s="6" t="n">
        <f aca="false">'Source Data'!C112</f>
        <v>18</v>
      </c>
      <c r="D115" s="6" t="n">
        <f aca="false">'Source Data'!E112</f>
        <v>2</v>
      </c>
      <c r="E115" s="6" t="n">
        <f aca="false">IFERROR(N(C115)-N(D115),"")</f>
        <v>16</v>
      </c>
      <c r="F115" s="7" t="str">
        <f aca="false">IF(E115&gt;0,"Yes",IF(E115&lt;0,"No (Paternity higher)","Equal"))</f>
        <v>Yes</v>
      </c>
    </row>
    <row r="116" customFormat="false" ht="15" hidden="false" customHeight="false" outlineLevel="0" collapsed="false">
      <c r="A116" s="5" t="str">
        <f aca="false">'Source Data'!A113</f>
        <v>SoFi</v>
      </c>
      <c r="B116" s="5" t="str">
        <f aca="false">'Source Data'!B113</f>
        <v>Finance: Loans</v>
      </c>
      <c r="C116" s="6" t="n">
        <f aca="false">'Source Data'!C113</f>
        <v>4</v>
      </c>
      <c r="D116" s="6" t="n">
        <f aca="false">'Source Data'!E113</f>
        <v>2</v>
      </c>
      <c r="E116" s="6" t="n">
        <f aca="false">IFERROR(N(C116)-N(D116),"")</f>
        <v>2</v>
      </c>
      <c r="F116" s="7" t="str">
        <f aca="false">IF(E116&gt;0,"Yes",IF(E116&lt;0,"No (Paternity higher)","Equal"))</f>
        <v>Yes</v>
      </c>
    </row>
    <row r="117" customFormat="false" ht="15" hidden="false" customHeight="false" outlineLevel="0" collapsed="false">
      <c r="A117" s="5" t="str">
        <f aca="false">'Source Data'!A114</f>
        <v>PNC Financial Services Group</v>
      </c>
      <c r="B117" s="5" t="str">
        <f aca="false">'Source Data'!B114</f>
        <v>Finance: Personal &amp; Commercial Banking</v>
      </c>
      <c r="C117" s="6" t="n">
        <f aca="false">'Source Data'!C114</f>
        <v>12</v>
      </c>
      <c r="D117" s="6" t="n">
        <f aca="false">'Source Data'!E114</f>
        <v>6</v>
      </c>
      <c r="E117" s="6" t="n">
        <f aca="false">IFERROR(N(C117)-N(D117),"")</f>
        <v>6</v>
      </c>
      <c r="F117" s="7" t="str">
        <f aca="false">IF(E117&gt;0,"Yes",IF(E117&lt;0,"No (Paternity higher)","Equal"))</f>
        <v>Yes</v>
      </c>
    </row>
    <row r="118" customFormat="false" ht="15" hidden="false" customHeight="false" outlineLevel="0" collapsed="false">
      <c r="A118" s="5" t="str">
        <f aca="false">'Source Data'!A115</f>
        <v>TD Bank</v>
      </c>
      <c r="B118" s="5" t="str">
        <f aca="false">'Source Data'!B115</f>
        <v>Finance: Personal &amp; Commercial Banking</v>
      </c>
      <c r="C118" s="6" t="n">
        <f aca="false">'Source Data'!C115</f>
        <v>16</v>
      </c>
      <c r="D118" s="6" t="n">
        <f aca="false">'Source Data'!E115</f>
        <v>16</v>
      </c>
      <c r="E118" s="6" t="n">
        <f aca="false">IFERROR(N(C118)-N(D118),"")</f>
        <v>0</v>
      </c>
      <c r="F118" s="7" t="str">
        <f aca="false">IF(E118&gt;0,"Yes",IF(E118&lt;0,"No (Paternity higher)","Equal"))</f>
        <v>Equal</v>
      </c>
    </row>
    <row r="119" customFormat="false" ht="15" hidden="false" customHeight="false" outlineLevel="0" collapsed="false">
      <c r="A119" s="5" t="str">
        <f aca="false">'Source Data'!A116</f>
        <v>TIAA Bank</v>
      </c>
      <c r="B119" s="5" t="str">
        <f aca="false">'Source Data'!B116</f>
        <v>Finance: Personal &amp; Commercial Banking</v>
      </c>
      <c r="C119" s="6" t="n">
        <f aca="false">'Source Data'!C116</f>
        <v>28</v>
      </c>
      <c r="D119" s="6" t="n">
        <f aca="false">'Source Data'!E116</f>
        <v>16</v>
      </c>
      <c r="E119" s="6" t="n">
        <f aca="false">IFERROR(N(C119)-N(D119),"")</f>
        <v>12</v>
      </c>
      <c r="F119" s="7" t="str">
        <f aca="false">IF(E119&gt;0,"Yes",IF(E119&lt;0,"No (Paternity higher)","Equal"))</f>
        <v>Yes</v>
      </c>
    </row>
    <row r="120" customFormat="false" ht="15" hidden="false" customHeight="false" outlineLevel="0" collapsed="false">
      <c r="A120" s="5" t="str">
        <f aca="false">'Source Data'!A117</f>
        <v>OECD</v>
      </c>
      <c r="B120" s="5" t="str">
        <f aca="false">'Source Data'!B117</f>
        <v>Government: International</v>
      </c>
      <c r="C120" s="6" t="n">
        <f aca="false">'Source Data'!C117</f>
        <v>14</v>
      </c>
      <c r="D120" s="6" t="n">
        <f aca="false">'Source Data'!E117</f>
        <v>4</v>
      </c>
      <c r="E120" s="6" t="n">
        <f aca="false">IFERROR(N(C120)-N(D120),"")</f>
        <v>10</v>
      </c>
      <c r="F120" s="7" t="str">
        <f aca="false">IF(E120&gt;0,"Yes",IF(E120&lt;0,"No (Paternity higher)","Equal"))</f>
        <v>Yes</v>
      </c>
    </row>
    <row r="121" customFormat="false" ht="15" hidden="false" customHeight="false" outlineLevel="0" collapsed="false">
      <c r="A121" s="5" t="str">
        <f aca="false">'Source Data'!A118</f>
        <v>Banfield Pet Hospital</v>
      </c>
      <c r="B121" s="5" t="str">
        <f aca="false">'Source Data'!B118</f>
        <v>Healthcare: Animal Health</v>
      </c>
      <c r="C121" s="6" t="n">
        <f aca="false">'Source Data'!C118</f>
        <v>6</v>
      </c>
      <c r="D121" s="6" t="n">
        <f aca="false">'Source Data'!E118</f>
        <v>4</v>
      </c>
      <c r="E121" s="6" t="n">
        <f aca="false">IFERROR(N(C121)-N(D121),"")</f>
        <v>2</v>
      </c>
      <c r="F121" s="7" t="str">
        <f aca="false">IF(E121&gt;0,"Yes",IF(E121&lt;0,"No (Paternity higher)","Equal"))</f>
        <v>Yes</v>
      </c>
    </row>
    <row r="122" customFormat="false" ht="15" hidden="false" customHeight="false" outlineLevel="0" collapsed="false">
      <c r="A122" s="5" t="str">
        <f aca="false">'Source Data'!A119</f>
        <v>Illumina</v>
      </c>
      <c r="B122" s="5" t="str">
        <f aca="false">'Source Data'!B119</f>
        <v>Healthcare: Biotechnology</v>
      </c>
      <c r="C122" s="6" t="n">
        <f aca="false">'Source Data'!C119</f>
        <v>6</v>
      </c>
      <c r="D122" s="6" t="n">
        <f aca="false">'Source Data'!E119</f>
        <v>6</v>
      </c>
      <c r="E122" s="6" t="n">
        <f aca="false">IFERROR(N(C122)-N(D122),"")</f>
        <v>0</v>
      </c>
      <c r="F122" s="7" t="str">
        <f aca="false">IF(E122&gt;0,"Yes",IF(E122&lt;0,"No (Paternity higher)","Equal"))</f>
        <v>Equal</v>
      </c>
    </row>
    <row r="123" customFormat="false" ht="15" hidden="false" customHeight="false" outlineLevel="0" collapsed="false">
      <c r="A123" s="5" t="str">
        <f aca="false">'Source Data'!A120</f>
        <v>Thermo Fisher Scientific</v>
      </c>
      <c r="B123" s="5" t="str">
        <f aca="false">'Source Data'!B120</f>
        <v>Healthcare: Biotechnology</v>
      </c>
      <c r="C123" s="6" t="n">
        <f aca="false">'Source Data'!C120</f>
        <v>11.5</v>
      </c>
      <c r="D123" s="6" t="n">
        <f aca="false">'Source Data'!E120</f>
        <v>3</v>
      </c>
      <c r="E123" s="6" t="n">
        <f aca="false">IFERROR(N(C123)-N(D123),"")</f>
        <v>8.5</v>
      </c>
      <c r="F123" s="7" t="str">
        <f aca="false">IF(E123&gt;0,"Yes",IF(E123&lt;0,"No (Paternity higher)","Equal"))</f>
        <v>Yes</v>
      </c>
    </row>
    <row r="124" customFormat="false" ht="15" hidden="false" customHeight="false" outlineLevel="0" collapsed="false">
      <c r="A124" s="5" t="str">
        <f aca="false">'Source Data'!A121</f>
        <v>CVS Health</v>
      </c>
      <c r="B124" s="5" t="str">
        <f aca="false">'Source Data'!B121</f>
        <v>Healthcare: Diversified</v>
      </c>
      <c r="C124" s="6" t="n">
        <f aca="false">'Source Data'!C121</f>
        <v>4</v>
      </c>
      <c r="D124" s="6" t="n">
        <f aca="false">'Source Data'!E121</f>
        <v>4</v>
      </c>
      <c r="E124" s="6" t="n">
        <f aca="false">IFERROR(N(C124)-N(D124),"")</f>
        <v>0</v>
      </c>
      <c r="F124" s="7" t="str">
        <f aca="false">IF(E124&gt;0,"Yes",IF(E124&lt;0,"No (Paternity higher)","Equal"))</f>
        <v>Equal</v>
      </c>
    </row>
    <row r="125" customFormat="false" ht="15" hidden="false" customHeight="false" outlineLevel="0" collapsed="false">
      <c r="A125" s="5" t="str">
        <f aca="false">'Source Data'!A122</f>
        <v>Fresenius</v>
      </c>
      <c r="B125" s="5" t="str">
        <f aca="false">'Source Data'!B122</f>
        <v>Healthcare: Diversified</v>
      </c>
      <c r="C125" s="6" t="n">
        <f aca="false">'Source Data'!C122</f>
        <v>4</v>
      </c>
      <c r="D125" s="6" t="n">
        <f aca="false">'Source Data'!E122</f>
        <v>0</v>
      </c>
      <c r="E125" s="6" t="n">
        <f aca="false">IFERROR(N(C125)-N(D125),"")</f>
        <v>4</v>
      </c>
      <c r="F125" s="7" t="str">
        <f aca="false">IF(E125&gt;0,"Yes",IF(E125&lt;0,"No (Paternity higher)","Equal"))</f>
        <v>Yes</v>
      </c>
    </row>
    <row r="126" customFormat="false" ht="15" hidden="false" customHeight="false" outlineLevel="0" collapsed="false">
      <c r="A126" s="5" t="str">
        <f aca="false">'Source Data'!A123</f>
        <v>Aurora Health Care</v>
      </c>
      <c r="B126" s="5" t="str">
        <f aca="false">'Source Data'!B123</f>
        <v>Healthcare: Hospitals &amp; Clinics</v>
      </c>
      <c r="C126" s="6" t="n">
        <f aca="false">'Source Data'!C123</f>
        <v>0</v>
      </c>
      <c r="D126" s="6" t="n">
        <f aca="false">'Source Data'!E123</f>
        <v>0</v>
      </c>
      <c r="E126" s="6" t="n">
        <f aca="false">IFERROR(N(C126)-N(D126),"")</f>
        <v>0</v>
      </c>
      <c r="F126" s="7" t="str">
        <f aca="false">IF(E126&gt;0,"Yes",IF(E126&lt;0,"No (Paternity higher)","Equal"))</f>
        <v>Equal</v>
      </c>
    </row>
    <row r="127" customFormat="false" ht="15" hidden="false" customHeight="false" outlineLevel="0" collapsed="false">
      <c r="A127" s="5" t="str">
        <f aca="false">'Source Data'!A124</f>
        <v>Mayo Clinic</v>
      </c>
      <c r="B127" s="5" t="str">
        <f aca="false">'Source Data'!B124</f>
        <v>Healthcare: Hospitals &amp; Clinics</v>
      </c>
      <c r="C127" s="6" t="n">
        <f aca="false">'Source Data'!C124</f>
        <v>5</v>
      </c>
      <c r="D127" s="6" t="n">
        <f aca="false">'Source Data'!E124</f>
        <v>0</v>
      </c>
      <c r="E127" s="6" t="n">
        <f aca="false">IFERROR(N(C127)-N(D127),"")</f>
        <v>5</v>
      </c>
      <c r="F127" s="7" t="str">
        <f aca="false">IF(E127&gt;0,"Yes",IF(E127&lt;0,"No (Paternity higher)","Equal"))</f>
        <v>Yes</v>
      </c>
    </row>
    <row r="128" customFormat="false" ht="15" hidden="false" customHeight="false" outlineLevel="0" collapsed="false">
      <c r="A128" s="5" t="str">
        <f aca="false">'Source Data'!A125</f>
        <v>Universal Health Services, Inc.</v>
      </c>
      <c r="B128" s="5" t="str">
        <f aca="false">'Source Data'!B125</f>
        <v>Healthcare: Hospitals &amp; Clinics</v>
      </c>
      <c r="C128" s="6" t="n">
        <f aca="false">'Source Data'!C125</f>
        <v>0</v>
      </c>
      <c r="D128" s="6" t="n">
        <f aca="false">'Source Data'!E125</f>
        <v>0</v>
      </c>
      <c r="E128" s="6" t="n">
        <f aca="false">IFERROR(N(C128)-N(D128),"")</f>
        <v>0</v>
      </c>
      <c r="F128" s="7" t="str">
        <f aca="false">IF(E128&gt;0,"Yes",IF(E128&lt;0,"No (Paternity higher)","Equal"))</f>
        <v>Equal</v>
      </c>
    </row>
    <row r="129" customFormat="false" ht="15" hidden="false" customHeight="false" outlineLevel="0" collapsed="false">
      <c r="A129" s="5" t="str">
        <f aca="false">'Source Data'!A126</f>
        <v>University of Pittsburgh Medical Center</v>
      </c>
      <c r="B129" s="5" t="str">
        <f aca="false">'Source Data'!B126</f>
        <v>Healthcare: Hospitals &amp; Clinics</v>
      </c>
      <c r="C129" s="6" t="n">
        <f aca="false">'Source Data'!C126</f>
        <v>2</v>
      </c>
      <c r="D129" s="6" t="n">
        <f aca="false">'Source Data'!E126</f>
        <v>2</v>
      </c>
      <c r="E129" s="6" t="n">
        <f aca="false">IFERROR(N(C129)-N(D129),"")</f>
        <v>0</v>
      </c>
      <c r="F129" s="7" t="str">
        <f aca="false">IF(E129&gt;0,"Yes",IF(E129&lt;0,"No (Paternity higher)","Equal"))</f>
        <v>Equal</v>
      </c>
    </row>
    <row r="130" customFormat="false" ht="15" hidden="false" customHeight="false" outlineLevel="0" collapsed="false">
      <c r="A130" s="5" t="str">
        <f aca="false">'Source Data'!A127</f>
        <v>Quest Diagnostics</v>
      </c>
      <c r="B130" s="5" t="str">
        <f aca="false">'Source Data'!B127</f>
        <v>Healthcare: Laboratory Testing</v>
      </c>
      <c r="C130" s="6" t="n">
        <f aca="false">'Source Data'!C127</f>
        <v>6</v>
      </c>
      <c r="D130" s="6" t="n">
        <f aca="false">'Source Data'!E127</f>
        <v>0</v>
      </c>
      <c r="E130" s="6" t="n">
        <f aca="false">IFERROR(N(C130)-N(D130),"")</f>
        <v>6</v>
      </c>
      <c r="F130" s="7" t="str">
        <f aca="false">IF(E130&gt;0,"Yes",IF(E130&lt;0,"No (Paternity higher)","Equal"))</f>
        <v>Yes</v>
      </c>
    </row>
    <row r="131" customFormat="false" ht="15" hidden="false" customHeight="false" outlineLevel="0" collapsed="false">
      <c r="A131" s="5" t="str">
        <f aca="false">'Source Data'!A128</f>
        <v>Becton, Dickinson and Company</v>
      </c>
      <c r="B131" s="5" t="str">
        <f aca="false">'Source Data'!B128</f>
        <v>Healthcare: Medical Devices</v>
      </c>
      <c r="C131" s="6" t="n">
        <f aca="false">'Source Data'!C128</f>
        <v>6</v>
      </c>
      <c r="D131" s="6" t="n">
        <f aca="false">'Source Data'!E128</f>
        <v>6</v>
      </c>
      <c r="E131" s="6" t="n">
        <f aca="false">IFERROR(N(C131)-N(D131),"")</f>
        <v>0</v>
      </c>
      <c r="F131" s="7" t="str">
        <f aca="false">IF(E131&gt;0,"Yes",IF(E131&lt;0,"No (Paternity higher)","Equal"))</f>
        <v>Equal</v>
      </c>
    </row>
    <row r="132" customFormat="false" ht="15" hidden="false" customHeight="false" outlineLevel="0" collapsed="false">
      <c r="A132" s="5" t="str">
        <f aca="false">'Source Data'!A129</f>
        <v>Medtronic</v>
      </c>
      <c r="B132" s="5" t="str">
        <f aca="false">'Source Data'!B129</f>
        <v>Healthcare: Medical Devices</v>
      </c>
      <c r="C132" s="6" t="n">
        <f aca="false">'Source Data'!C129</f>
        <v>12</v>
      </c>
      <c r="D132" s="6" t="n">
        <f aca="false">'Source Data'!E129</f>
        <v>0</v>
      </c>
      <c r="E132" s="6" t="n">
        <f aca="false">IFERROR(N(C132)-N(D132),"")</f>
        <v>12</v>
      </c>
      <c r="F132" s="7" t="str">
        <f aca="false">IF(E132&gt;0,"Yes",IF(E132&lt;0,"No (Paternity higher)","Equal"))</f>
        <v>Yes</v>
      </c>
    </row>
    <row r="133" customFormat="false" ht="15" hidden="false" customHeight="false" outlineLevel="0" collapsed="false">
      <c r="A133" s="5" t="str">
        <f aca="false">'Source Data'!A130</f>
        <v>Zimmer Biomet</v>
      </c>
      <c r="B133" s="5" t="str">
        <f aca="false">'Source Data'!B130</f>
        <v>Healthcare: Medical Devices</v>
      </c>
      <c r="C133" s="6" t="n">
        <f aca="false">'Source Data'!C130</f>
        <v>8</v>
      </c>
      <c r="D133" s="6" t="n">
        <f aca="false">'Source Data'!E130</f>
        <v>6</v>
      </c>
      <c r="E133" s="6" t="n">
        <f aca="false">IFERROR(N(C133)-N(D133),"")</f>
        <v>2</v>
      </c>
      <c r="F133" s="7" t="str">
        <f aca="false">IF(E133&gt;0,"Yes",IF(E133&lt;0,"No (Paternity higher)","Equal"))</f>
        <v>Yes</v>
      </c>
    </row>
    <row r="134" customFormat="false" ht="15" hidden="false" customHeight="false" outlineLevel="0" collapsed="false">
      <c r="A134" s="5" t="str">
        <f aca="false">'Source Data'!A131</f>
        <v>Flatiron Health</v>
      </c>
      <c r="B134" s="5" t="str">
        <f aca="false">'Source Data'!B131</f>
        <v>Healthcare: Telemedicine</v>
      </c>
      <c r="C134" s="6" t="n">
        <f aca="false">'Source Data'!C131</f>
        <v>30</v>
      </c>
      <c r="D134" s="6" t="n">
        <f aca="false">'Source Data'!E131</f>
        <v>30</v>
      </c>
      <c r="E134" s="6" t="n">
        <f aca="false">IFERROR(N(C134)-N(D134),"")</f>
        <v>0</v>
      </c>
      <c r="F134" s="7" t="str">
        <f aca="false">IF(E134&gt;0,"Yes",IF(E134&lt;0,"No (Paternity higher)","Equal"))</f>
        <v>Equal</v>
      </c>
    </row>
    <row r="135" customFormat="false" ht="15" hidden="false" customHeight="false" outlineLevel="0" collapsed="false">
      <c r="A135" s="5" t="str">
        <f aca="false">'Source Data'!A132</f>
        <v>Choice Hotels</v>
      </c>
      <c r="B135" s="5" t="str">
        <f aca="false">'Source Data'!B132</f>
        <v>Hospitality: Hotels</v>
      </c>
      <c r="C135" s="6" t="n">
        <f aca="false">'Source Data'!C132</f>
        <v>12</v>
      </c>
      <c r="D135" s="6" t="n">
        <f aca="false">'Source Data'!E132</f>
        <v>4</v>
      </c>
      <c r="E135" s="6" t="n">
        <f aca="false">IFERROR(N(C135)-N(D135),"")</f>
        <v>8</v>
      </c>
      <c r="F135" s="7" t="str">
        <f aca="false">IF(E135&gt;0,"Yes",IF(E135&lt;0,"No (Paternity higher)","Equal"))</f>
        <v>Yes</v>
      </c>
    </row>
    <row r="136" customFormat="false" ht="15" hidden="false" customHeight="false" outlineLevel="0" collapsed="false">
      <c r="A136" s="5" t="str">
        <f aca="false">'Source Data'!A133</f>
        <v>Marriott International</v>
      </c>
      <c r="B136" s="5" t="str">
        <f aca="false">'Source Data'!B133</f>
        <v>Hospitality: Hotels</v>
      </c>
      <c r="C136" s="6" t="n">
        <f aca="false">'Source Data'!C133</f>
        <v>8</v>
      </c>
      <c r="D136" s="6" t="n">
        <f aca="false">'Source Data'!E133</f>
        <v>8</v>
      </c>
      <c r="E136" s="6" t="n">
        <f aca="false">IFERROR(N(C136)-N(D136),"")</f>
        <v>0</v>
      </c>
      <c r="F136" s="7" t="str">
        <f aca="false">IF(E136&gt;0,"Yes",IF(E136&lt;0,"No (Paternity higher)","Equal"))</f>
        <v>Equal</v>
      </c>
    </row>
    <row r="137" customFormat="false" ht="15" hidden="false" customHeight="false" outlineLevel="0" collapsed="false">
      <c r="A137" s="5" t="str">
        <f aca="false">'Source Data'!A134</f>
        <v>McDonald's</v>
      </c>
      <c r="B137" s="5" t="str">
        <f aca="false">'Source Data'!B134</f>
        <v>Hospitality: Restaurants</v>
      </c>
      <c r="C137" s="6" t="n">
        <f aca="false">'Source Data'!C134</f>
        <v>12</v>
      </c>
      <c r="D137" s="6" t="n">
        <f aca="false">'Source Data'!E134</f>
        <v>0</v>
      </c>
      <c r="E137" s="6" t="n">
        <f aca="false">IFERROR(N(C137)-N(D137),"")</f>
        <v>12</v>
      </c>
      <c r="F137" s="7" t="str">
        <f aca="false">IF(E137&gt;0,"Yes",IF(E137&lt;0,"No (Paternity higher)","Equal"))</f>
        <v>Yes</v>
      </c>
    </row>
    <row r="138" customFormat="false" ht="15" hidden="false" customHeight="false" outlineLevel="0" collapsed="false">
      <c r="A138" s="5" t="str">
        <f aca="false">'Source Data'!A135</f>
        <v>Starbucks</v>
      </c>
      <c r="B138" s="5" t="str">
        <f aca="false">'Source Data'!B135</f>
        <v>Hospitality: Restaurants</v>
      </c>
      <c r="C138" s="6" t="n">
        <f aca="false">'Source Data'!C135</f>
        <v>6</v>
      </c>
      <c r="D138" s="6" t="n">
        <f aca="false">'Source Data'!E135</f>
        <v>6</v>
      </c>
      <c r="E138" s="6" t="n">
        <f aca="false">IFERROR(N(C138)-N(D138),"")</f>
        <v>0</v>
      </c>
      <c r="F138" s="7" t="str">
        <f aca="false">IF(E138&gt;0,"Yes",IF(E138&lt;0,"No (Paternity higher)","Equal"))</f>
        <v>Equal</v>
      </c>
    </row>
    <row r="139" customFormat="false" ht="15" hidden="false" customHeight="false" outlineLevel="0" collapsed="false">
      <c r="A139" s="5" t="str">
        <f aca="false">'Source Data'!A136</f>
        <v>Perkins + Will</v>
      </c>
      <c r="B139" s="5" t="str">
        <f aca="false">'Source Data'!B136</f>
        <v>Industrial: Architecture &amp; Design</v>
      </c>
      <c r="C139" s="6" t="n">
        <f aca="false">'Source Data'!C136</f>
        <v>4</v>
      </c>
      <c r="D139" s="6" t="n">
        <f aca="false">'Source Data'!E136</f>
        <v>4</v>
      </c>
      <c r="E139" s="6" t="n">
        <f aca="false">IFERROR(N(C139)-N(D139),"")</f>
        <v>0</v>
      </c>
      <c r="F139" s="7" t="str">
        <f aca="false">IF(E139&gt;0,"Yes",IF(E139&lt;0,"No (Paternity higher)","Equal"))</f>
        <v>Equal</v>
      </c>
    </row>
    <row r="140" customFormat="false" ht="15" hidden="false" customHeight="false" outlineLevel="0" collapsed="false">
      <c r="A140" s="5" t="str">
        <f aca="false">'Source Data'!A137</f>
        <v>Owens Corning</v>
      </c>
      <c r="B140" s="5" t="str">
        <f aca="false">'Source Data'!B137</f>
        <v>Industrial: Building Materials Manufacturing</v>
      </c>
      <c r="C140" s="6" t="n">
        <f aca="false">'Source Data'!C137</f>
        <v>4</v>
      </c>
      <c r="D140" s="6" t="n">
        <f aca="false">'Source Data'!E137</f>
        <v>0</v>
      </c>
      <c r="E140" s="6" t="n">
        <f aca="false">IFERROR(N(C140)-N(D140),"")</f>
        <v>4</v>
      </c>
      <c r="F140" s="7" t="str">
        <f aca="false">IF(E140&gt;0,"Yes",IF(E140&lt;0,"No (Paternity higher)","Equal"))</f>
        <v>Yes</v>
      </c>
    </row>
    <row r="141" customFormat="false" ht="15" hidden="false" customHeight="false" outlineLevel="0" collapsed="false">
      <c r="A141" s="5" t="str">
        <f aca="false">'Source Data'!A138</f>
        <v>Power Home Remodeling</v>
      </c>
      <c r="B141" s="5" t="str">
        <f aca="false">'Source Data'!B138</f>
        <v>Industrial: Construction Company</v>
      </c>
      <c r="C141" s="6" t="n">
        <f aca="false">'Source Data'!C138</f>
        <v>12</v>
      </c>
      <c r="D141" s="6" t="n">
        <f aca="false">'Source Data'!E138</f>
        <v>3</v>
      </c>
      <c r="E141" s="6" t="n">
        <f aca="false">IFERROR(N(C141)-N(D141),"")</f>
        <v>9</v>
      </c>
      <c r="F141" s="7" t="str">
        <f aca="false">IF(E141&gt;0,"Yes",IF(E141&lt;0,"No (Paternity higher)","Equal"))</f>
        <v>Yes</v>
      </c>
    </row>
    <row r="142" customFormat="false" ht="15" hidden="false" customHeight="false" outlineLevel="0" collapsed="false">
      <c r="A142" s="5" t="str">
        <f aca="false">'Source Data'!A139</f>
        <v>3M</v>
      </c>
      <c r="B142" s="5" t="str">
        <f aca="false">'Source Data'!B139</f>
        <v>Industrial: Diversified</v>
      </c>
      <c r="C142" s="6" t="n">
        <f aca="false">'Source Data'!C139</f>
        <v>10</v>
      </c>
      <c r="D142" s="6" t="n">
        <f aca="false">'Source Data'!E139</f>
        <v>0</v>
      </c>
      <c r="E142" s="6" t="n">
        <f aca="false">IFERROR(N(C142)-N(D142),"")</f>
        <v>10</v>
      </c>
      <c r="F142" s="7" t="str">
        <f aca="false">IF(E142&gt;0,"Yes",IF(E142&lt;0,"No (Paternity higher)","Equal"))</f>
        <v>Yes</v>
      </c>
    </row>
    <row r="143" customFormat="false" ht="15" hidden="false" customHeight="false" outlineLevel="0" collapsed="false">
      <c r="A143" s="5" t="str">
        <f aca="false">'Source Data'!A140</f>
        <v>Parker Hannifin</v>
      </c>
      <c r="B143" s="5" t="str">
        <f aca="false">'Source Data'!B140</f>
        <v>Industrial: Diversified</v>
      </c>
      <c r="C143" s="6" t="n">
        <f aca="false">'Source Data'!C140</f>
        <v>4</v>
      </c>
      <c r="D143" s="6" t="n">
        <f aca="false">'Source Data'!E140</f>
        <v>0</v>
      </c>
      <c r="E143" s="6" t="n">
        <f aca="false">IFERROR(N(C143)-N(D143),"")</f>
        <v>4</v>
      </c>
      <c r="F143" s="7" t="str">
        <f aca="false">IF(E143&gt;0,"Yes",IF(E143&lt;0,"No (Paternity higher)","Equal"))</f>
        <v>Yes</v>
      </c>
    </row>
    <row r="144" customFormat="false" ht="15" hidden="false" customHeight="false" outlineLevel="0" collapsed="false">
      <c r="A144" s="5" t="str">
        <f aca="false">'Source Data'!A141</f>
        <v>BEUMER Group</v>
      </c>
      <c r="B144" s="5" t="str">
        <f aca="false">'Source Data'!B141</f>
        <v>Industrial: Equipment Manufacturing</v>
      </c>
      <c r="C144" s="6" t="n">
        <f aca="false">'Source Data'!C141</f>
        <v>4</v>
      </c>
      <c r="D144" s="6" t="n">
        <f aca="false">'Source Data'!E141</f>
        <v>4</v>
      </c>
      <c r="E144" s="6" t="n">
        <f aca="false">IFERROR(N(C144)-N(D144),"")</f>
        <v>0</v>
      </c>
      <c r="F144" s="7" t="str">
        <f aca="false">IF(E144&gt;0,"Yes",IF(E144&lt;0,"No (Paternity higher)","Equal"))</f>
        <v>Equal</v>
      </c>
    </row>
    <row r="145" customFormat="false" ht="15" hidden="false" customHeight="false" outlineLevel="0" collapsed="false">
      <c r="A145" s="5" t="str">
        <f aca="false">'Source Data'!A142</f>
        <v>Caterpillar</v>
      </c>
      <c r="B145" s="5" t="str">
        <f aca="false">'Source Data'!B142</f>
        <v>Industrial: Equipment Manufacturing</v>
      </c>
      <c r="C145" s="6" t="n">
        <f aca="false">'Source Data'!C142</f>
        <v>5</v>
      </c>
      <c r="D145" s="6" t="n">
        <f aca="false">'Source Data'!E142</f>
        <v>4</v>
      </c>
      <c r="E145" s="6" t="n">
        <f aca="false">IFERROR(N(C145)-N(D145),"")</f>
        <v>1</v>
      </c>
      <c r="F145" s="7" t="str">
        <f aca="false">IF(E145&gt;0,"Yes",IF(E145&lt;0,"No (Paternity higher)","Equal"))</f>
        <v>Yes</v>
      </c>
    </row>
    <row r="146" customFormat="false" ht="15" hidden="false" customHeight="false" outlineLevel="0" collapsed="false">
      <c r="A146" s="5" t="str">
        <f aca="false">'Source Data'!A143</f>
        <v>CNH Industrial America</v>
      </c>
      <c r="B146" s="5" t="str">
        <f aca="false">'Source Data'!B143</f>
        <v>Industrial: Equipment Manufacturing</v>
      </c>
      <c r="C146" s="6" t="n">
        <f aca="false">'Source Data'!C143</f>
        <v>6</v>
      </c>
      <c r="D146" s="6" t="n">
        <f aca="false">'Source Data'!E143</f>
        <v>4</v>
      </c>
      <c r="E146" s="6" t="n">
        <f aca="false">IFERROR(N(C146)-N(D146),"")</f>
        <v>2</v>
      </c>
      <c r="F146" s="7" t="str">
        <f aca="false">IF(E146&gt;0,"Yes",IF(E146&lt;0,"No (Paternity higher)","Equal"))</f>
        <v>Yes</v>
      </c>
    </row>
    <row r="147" customFormat="false" ht="15" hidden="false" customHeight="false" outlineLevel="0" collapsed="false">
      <c r="A147" s="5" t="str">
        <f aca="false">'Source Data'!A144</f>
        <v>Cummins</v>
      </c>
      <c r="B147" s="5" t="str">
        <f aca="false">'Source Data'!B144</f>
        <v>Industrial: Equipment Manufacturing</v>
      </c>
      <c r="C147" s="6" t="n">
        <f aca="false">'Source Data'!C144</f>
        <v>12</v>
      </c>
      <c r="D147" s="6" t="n">
        <f aca="false">'Source Data'!E144</f>
        <v>6</v>
      </c>
      <c r="E147" s="6" t="n">
        <f aca="false">IFERROR(N(C147)-N(D147),"")</f>
        <v>6</v>
      </c>
      <c r="F147" s="7" t="str">
        <f aca="false">IF(E147&gt;0,"Yes",IF(E147&lt;0,"No (Paternity higher)","Equal"))</f>
        <v>Yes</v>
      </c>
    </row>
    <row r="148" customFormat="false" ht="15" hidden="false" customHeight="false" outlineLevel="0" collapsed="false">
      <c r="A148" s="5" t="str">
        <f aca="false">'Source Data'!A145</f>
        <v>Hilti Corporation</v>
      </c>
      <c r="B148" s="5" t="str">
        <f aca="false">'Source Data'!B145</f>
        <v>Industrial: Equipment Manufacturing</v>
      </c>
      <c r="C148" s="6" t="n">
        <f aca="false">'Source Data'!C145</f>
        <v>12</v>
      </c>
      <c r="D148" s="6" t="n">
        <f aca="false">'Source Data'!E145</f>
        <v>4</v>
      </c>
      <c r="E148" s="6" t="n">
        <f aca="false">IFERROR(N(C148)-N(D148),"")</f>
        <v>8</v>
      </c>
      <c r="F148" s="7" t="str">
        <f aca="false">IF(E148&gt;0,"Yes",IF(E148&lt;0,"No (Paternity higher)","Equal"))</f>
        <v>Yes</v>
      </c>
    </row>
    <row r="149" customFormat="false" ht="15" hidden="false" customHeight="false" outlineLevel="0" collapsed="false">
      <c r="A149" s="5" t="str">
        <f aca="false">'Source Data'!A146</f>
        <v>nVent</v>
      </c>
      <c r="B149" s="5" t="str">
        <f aca="false">'Source Data'!B146</f>
        <v>Industrial: Equipment Manufacturing</v>
      </c>
      <c r="C149" s="6" t="n">
        <f aca="false">'Source Data'!C146</f>
        <v>6</v>
      </c>
      <c r="D149" s="6" t="n">
        <f aca="false">'Source Data'!E146</f>
        <v>6</v>
      </c>
      <c r="E149" s="6" t="n">
        <f aca="false">IFERROR(N(C149)-N(D149),"")</f>
        <v>0</v>
      </c>
      <c r="F149" s="7" t="str">
        <f aca="false">IF(E149&gt;0,"Yes",IF(E149&lt;0,"No (Paternity higher)","Equal"))</f>
        <v>Equal</v>
      </c>
    </row>
    <row r="150" customFormat="false" ht="15" hidden="false" customHeight="false" outlineLevel="0" collapsed="false">
      <c r="A150" s="5" t="str">
        <f aca="false">'Source Data'!A147</f>
        <v>Rockwell Automation</v>
      </c>
      <c r="B150" s="5" t="str">
        <f aca="false">'Source Data'!B147</f>
        <v>Industrial: Equipment Manufacturing</v>
      </c>
      <c r="C150" s="6" t="n">
        <f aca="false">'Source Data'!C147</f>
        <v>6</v>
      </c>
      <c r="D150" s="6" t="n">
        <f aca="false">'Source Data'!E147</f>
        <v>6</v>
      </c>
      <c r="E150" s="6" t="n">
        <f aca="false">IFERROR(N(C150)-N(D150),"")</f>
        <v>0</v>
      </c>
      <c r="F150" s="7" t="str">
        <f aca="false">IF(E150&gt;0,"Yes",IF(E150&lt;0,"No (Paternity higher)","Equal"))</f>
        <v>Equal</v>
      </c>
    </row>
    <row r="151" customFormat="false" ht="15" hidden="false" customHeight="false" outlineLevel="0" collapsed="false">
      <c r="A151" s="5" t="str">
        <f aca="false">'Source Data'!A148</f>
        <v>McMaster-Carr</v>
      </c>
      <c r="B151" s="5" t="str">
        <f aca="false">'Source Data'!B148</f>
        <v>Industrial: Other</v>
      </c>
      <c r="C151" s="6" t="n">
        <f aca="false">'Source Data'!C148</f>
        <v>16</v>
      </c>
      <c r="D151" s="6" t="n">
        <f aca="false">'Source Data'!E148</f>
        <v>4</v>
      </c>
      <c r="E151" s="6" t="n">
        <f aca="false">IFERROR(N(C151)-N(D151),"")</f>
        <v>12</v>
      </c>
      <c r="F151" s="7" t="str">
        <f aca="false">IF(E151&gt;0,"Yes",IF(E151&lt;0,"No (Paternity higher)","Equal"))</f>
        <v>Yes</v>
      </c>
    </row>
    <row r="152" customFormat="false" ht="15" hidden="false" customHeight="false" outlineLevel="0" collapsed="false">
      <c r="A152" s="5" t="str">
        <f aca="false">'Source Data'!A149</f>
        <v>Argus Media</v>
      </c>
      <c r="B152" s="5" t="str">
        <f aca="false">'Source Data'!B149</f>
        <v>Information Services: Diversified</v>
      </c>
      <c r="C152" s="6" t="n">
        <f aca="false">'Source Data'!C149</f>
        <v>8</v>
      </c>
      <c r="D152" s="6" t="n">
        <f aca="false">'Source Data'!E149</f>
        <v>1</v>
      </c>
      <c r="E152" s="6" t="n">
        <f aca="false">IFERROR(N(C152)-N(D152),"")</f>
        <v>7</v>
      </c>
      <c r="F152" s="7" t="str">
        <f aca="false">IF(E152&gt;0,"Yes",IF(E152&lt;0,"No (Paternity higher)","Equal"))</f>
        <v>Yes</v>
      </c>
    </row>
    <row r="153" customFormat="false" ht="15" hidden="false" customHeight="false" outlineLevel="0" collapsed="false">
      <c r="A153" s="5" t="str">
        <f aca="false">'Source Data'!A150</f>
        <v>LAC-Group</v>
      </c>
      <c r="B153" s="5" t="str">
        <f aca="false">'Source Data'!B150</f>
        <v>Information Services: Diversified</v>
      </c>
      <c r="C153" s="6" t="n">
        <f aca="false">'Source Data'!C150</f>
        <v>32.5</v>
      </c>
      <c r="D153" s="6" t="n">
        <f aca="false">'Source Data'!E150</f>
        <v>35</v>
      </c>
      <c r="E153" s="6" t="n">
        <f aca="false">IFERROR(N(C153)-N(D153),"")</f>
        <v>-2.5</v>
      </c>
      <c r="F153" s="7" t="str">
        <f aca="false">IF(E153&gt;0,"Yes",IF(E153&lt;0,"No (Paternity higher)","Equal"))</f>
        <v>No (Paternity higher)</v>
      </c>
    </row>
    <row r="154" customFormat="false" ht="15" hidden="false" customHeight="false" outlineLevel="0" collapsed="false">
      <c r="A154" s="5" t="str">
        <f aca="false">'Source Data'!A151</f>
        <v>S&amp;P Global</v>
      </c>
      <c r="B154" s="5" t="str">
        <f aca="false">'Source Data'!B151</f>
        <v>Information Services: Financial</v>
      </c>
      <c r="C154" s="6" t="n">
        <f aca="false">'Source Data'!C151</f>
        <v>18</v>
      </c>
      <c r="D154" s="6" t="n">
        <f aca="false">'Source Data'!E151</f>
        <v>23</v>
      </c>
      <c r="E154" s="6" t="n">
        <f aca="false">IFERROR(N(C154)-N(D154),"")</f>
        <v>-5</v>
      </c>
      <c r="F154" s="7" t="str">
        <f aca="false">IF(E154&gt;0,"Yes",IF(E154&lt;0,"No (Paternity higher)","Equal"))</f>
        <v>No (Paternity higher)</v>
      </c>
    </row>
    <row r="155" customFormat="false" ht="15" hidden="false" customHeight="false" outlineLevel="0" collapsed="false">
      <c r="A155" s="5" t="str">
        <f aca="false">'Source Data'!A152</f>
        <v>DXC Technology</v>
      </c>
      <c r="B155" s="5" t="str">
        <f aca="false">'Source Data'!B152</f>
        <v>Information Services: Technology</v>
      </c>
      <c r="C155" s="6" t="n">
        <f aca="false">'Source Data'!C152</f>
        <v>9</v>
      </c>
      <c r="D155" s="6" t="n">
        <f aca="false">'Source Data'!E152</f>
        <v>1</v>
      </c>
      <c r="E155" s="6" t="n">
        <f aca="false">IFERROR(N(C155)-N(D155),"")</f>
        <v>8</v>
      </c>
      <c r="F155" s="7" t="str">
        <f aca="false">IF(E155&gt;0,"Yes",IF(E155&lt;0,"No (Paternity higher)","Equal"))</f>
        <v>Yes</v>
      </c>
    </row>
    <row r="156" customFormat="false" ht="15" hidden="false" customHeight="false" outlineLevel="0" collapsed="false">
      <c r="A156" s="5" t="str">
        <f aca="false">'Source Data'!A153</f>
        <v>Forrester Research</v>
      </c>
      <c r="B156" s="5" t="str">
        <f aca="false">'Source Data'!B153</f>
        <v>Information Services: Technology</v>
      </c>
      <c r="C156" s="6" t="n">
        <f aca="false">'Source Data'!C153</f>
        <v>15</v>
      </c>
      <c r="D156" s="6" t="n">
        <f aca="false">'Source Data'!E153</f>
        <v>2</v>
      </c>
      <c r="E156" s="6" t="n">
        <f aca="false">IFERROR(N(C156)-N(D156),"")</f>
        <v>13</v>
      </c>
      <c r="F156" s="7" t="str">
        <f aca="false">IF(E156&gt;0,"Yes",IF(E156&lt;0,"No (Paternity higher)","Equal"))</f>
        <v>Yes</v>
      </c>
    </row>
    <row r="157" customFormat="false" ht="15" hidden="false" customHeight="false" outlineLevel="0" collapsed="false">
      <c r="A157" s="5" t="str">
        <f aca="false">'Source Data'!A154</f>
        <v>General Dynamics Information Technology</v>
      </c>
      <c r="B157" s="5" t="str">
        <f aca="false">'Source Data'!B154</f>
        <v>Information Services: Technology</v>
      </c>
      <c r="C157" s="6" t="n">
        <f aca="false">'Source Data'!C154</f>
        <v>2</v>
      </c>
      <c r="D157" s="6" t="n">
        <f aca="false">'Source Data'!E154</f>
        <v>1</v>
      </c>
      <c r="E157" s="6" t="n">
        <f aca="false">IFERROR(N(C157)-N(D157),"")</f>
        <v>1</v>
      </c>
      <c r="F157" s="7" t="str">
        <f aca="false">IF(E157&gt;0,"Yes",IF(E157&lt;0,"No (Paternity higher)","Equal"))</f>
        <v>Yes</v>
      </c>
    </row>
    <row r="158" customFormat="false" ht="15" hidden="false" customHeight="false" outlineLevel="0" collapsed="false">
      <c r="A158" s="5" t="str">
        <f aca="false">'Source Data'!A155</f>
        <v>AON</v>
      </c>
      <c r="B158" s="5" t="str">
        <f aca="false">'Source Data'!B155</f>
        <v>Insurance: Diversified</v>
      </c>
      <c r="C158" s="6" t="n">
        <f aca="false">'Source Data'!C155</f>
        <v>8</v>
      </c>
      <c r="D158" s="6" t="n">
        <f aca="false">'Source Data'!E155</f>
        <v>6</v>
      </c>
      <c r="E158" s="6" t="n">
        <f aca="false">IFERROR(N(C158)-N(D158),"")</f>
        <v>2</v>
      </c>
      <c r="F158" s="7" t="str">
        <f aca="false">IF(E158&gt;0,"Yes",IF(E158&lt;0,"No (Paternity higher)","Equal"))</f>
        <v>Yes</v>
      </c>
    </row>
    <row r="159" customFormat="false" ht="15" hidden="false" customHeight="false" outlineLevel="0" collapsed="false">
      <c r="A159" s="5" t="str">
        <f aca="false">'Source Data'!A156</f>
        <v>Aetna</v>
      </c>
      <c r="B159" s="5" t="str">
        <f aca="false">'Source Data'!B156</f>
        <v>Insurance: Health</v>
      </c>
      <c r="C159" s="6" t="n">
        <f aca="false">'Source Data'!C156</f>
        <v>12</v>
      </c>
      <c r="D159" s="6" t="n">
        <f aca="false">'Source Data'!E156</f>
        <v>4</v>
      </c>
      <c r="E159" s="6" t="n">
        <f aca="false">IFERROR(N(C159)-N(D159),"")</f>
        <v>8</v>
      </c>
      <c r="F159" s="7" t="str">
        <f aca="false">IF(E159&gt;0,"Yes",IF(E159&lt;0,"No (Paternity higher)","Equal"))</f>
        <v>Yes</v>
      </c>
    </row>
    <row r="160" customFormat="false" ht="15" hidden="false" customHeight="false" outlineLevel="0" collapsed="false">
      <c r="A160" s="5" t="str">
        <f aca="false">'Source Data'!A157</f>
        <v>Health Care Service Corporation</v>
      </c>
      <c r="B160" s="5" t="str">
        <f aca="false">'Source Data'!B157</f>
        <v>Insurance: Health</v>
      </c>
      <c r="C160" s="6" t="n">
        <f aca="false">'Source Data'!C157</f>
        <v>6</v>
      </c>
      <c r="D160" s="6" t="n">
        <f aca="false">'Source Data'!E157</f>
        <v>0</v>
      </c>
      <c r="E160" s="6" t="n">
        <f aca="false">IFERROR(N(C160)-N(D160),"")</f>
        <v>6</v>
      </c>
      <c r="F160" s="7" t="str">
        <f aca="false">IF(E160&gt;0,"Yes",IF(E160&lt;0,"No (Paternity higher)","Equal"))</f>
        <v>Yes</v>
      </c>
    </row>
    <row r="161" customFormat="false" ht="15" hidden="false" customHeight="false" outlineLevel="0" collapsed="false">
      <c r="A161" s="5" t="str">
        <f aca="false">'Source Data'!A158</f>
        <v>Highmark Inc.</v>
      </c>
      <c r="B161" s="5" t="str">
        <f aca="false">'Source Data'!B158</f>
        <v>Insurance: Health</v>
      </c>
      <c r="C161" s="6" t="n">
        <f aca="false">'Source Data'!C158</f>
        <v>6</v>
      </c>
      <c r="D161" s="6" t="n">
        <f aca="false">'Source Data'!E158</f>
        <v>0</v>
      </c>
      <c r="E161" s="6" t="n">
        <f aca="false">IFERROR(N(C161)-N(D161),"")</f>
        <v>6</v>
      </c>
      <c r="F161" s="7" t="str">
        <f aca="false">IF(E161&gt;0,"Yes",IF(E161&lt;0,"No (Paternity higher)","Equal"))</f>
        <v>Yes</v>
      </c>
    </row>
    <row r="162" customFormat="false" ht="15" hidden="false" customHeight="false" outlineLevel="0" collapsed="false">
      <c r="A162" s="5" t="str">
        <f aca="false">'Source Data'!A159</f>
        <v>Humana</v>
      </c>
      <c r="B162" s="5" t="str">
        <f aca="false">'Source Data'!B159</f>
        <v>Insurance: Health</v>
      </c>
      <c r="C162" s="6" t="n">
        <f aca="false">'Source Data'!C159</f>
        <v>6</v>
      </c>
      <c r="D162" s="6" t="n">
        <f aca="false">'Source Data'!E159</f>
        <v>6</v>
      </c>
      <c r="E162" s="6" t="n">
        <f aca="false">IFERROR(N(C162)-N(D162),"")</f>
        <v>0</v>
      </c>
      <c r="F162" s="7" t="str">
        <f aca="false">IF(E162&gt;0,"Yes",IF(E162&lt;0,"No (Paternity higher)","Equal"))</f>
        <v>Equal</v>
      </c>
    </row>
    <row r="163" customFormat="false" ht="15" hidden="false" customHeight="false" outlineLevel="0" collapsed="false">
      <c r="A163" s="5" t="str">
        <f aca="false">'Source Data'!A160</f>
        <v>Kaiser Permanente</v>
      </c>
      <c r="B163" s="5" t="str">
        <f aca="false">'Source Data'!B160</f>
        <v>Insurance: Health</v>
      </c>
      <c r="C163" s="6" t="n">
        <f aca="false">'Source Data'!C160</f>
        <v>3</v>
      </c>
      <c r="D163" s="6" t="n">
        <f aca="false">'Source Data'!E160</f>
        <v>0</v>
      </c>
      <c r="E163" s="6" t="n">
        <f aca="false">IFERROR(N(C163)-N(D163),"")</f>
        <v>3</v>
      </c>
      <c r="F163" s="7" t="str">
        <f aca="false">IF(E163&gt;0,"Yes",IF(E163&lt;0,"No (Paternity higher)","Equal"))</f>
        <v>Yes</v>
      </c>
    </row>
    <row r="164" customFormat="false" ht="15" hidden="false" customHeight="false" outlineLevel="0" collapsed="false">
      <c r="A164" s="5" t="str">
        <f aca="false">'Source Data'!A161</f>
        <v>Combined Insurance</v>
      </c>
      <c r="B164" s="5" t="str">
        <f aca="false">'Source Data'!B161</f>
        <v>Insurance: Life</v>
      </c>
      <c r="C164" s="6" t="n">
        <f aca="false">'Source Data'!C161</f>
        <v>15</v>
      </c>
      <c r="D164" s="6" t="n">
        <f aca="false">'Source Data'!E161</f>
        <v>0</v>
      </c>
      <c r="E164" s="6" t="n">
        <f aca="false">IFERROR(N(C164)-N(D164),"")</f>
        <v>15</v>
      </c>
      <c r="F164" s="7" t="str">
        <f aca="false">IF(E164&gt;0,"Yes",IF(E164&lt;0,"No (Paternity higher)","Equal"))</f>
        <v>Yes</v>
      </c>
    </row>
    <row r="165" customFormat="false" ht="15" hidden="false" customHeight="false" outlineLevel="0" collapsed="false">
      <c r="A165" s="5" t="str">
        <f aca="false">'Source Data'!A162</f>
        <v>Root Insurance</v>
      </c>
      <c r="B165" s="5" t="str">
        <f aca="false">'Source Data'!B162</f>
        <v>Insurance: Property &amp; Casualty</v>
      </c>
      <c r="C165" s="6" t="n">
        <f aca="false">'Source Data'!C162</f>
        <v>12</v>
      </c>
      <c r="D165" s="6" t="n">
        <f aca="false">'Source Data'!E162</f>
        <v>12</v>
      </c>
      <c r="E165" s="6" t="n">
        <f aca="false">IFERROR(N(C165)-N(D165),"")</f>
        <v>0</v>
      </c>
      <c r="F165" s="7" t="str">
        <f aca="false">IF(E165&gt;0,"Yes",IF(E165&lt;0,"No (Paternity higher)","Equal"))</f>
        <v>Equal</v>
      </c>
    </row>
    <row r="166" customFormat="false" ht="15" hidden="false" customHeight="false" outlineLevel="0" collapsed="false">
      <c r="A166" s="5" t="str">
        <f aca="false">'Source Data'!A163</f>
        <v>State Farm</v>
      </c>
      <c r="B166" s="5" t="str">
        <f aca="false">'Source Data'!B163</f>
        <v>Insurance: Property &amp; Casualty</v>
      </c>
      <c r="C166" s="6" t="n">
        <f aca="false">'Source Data'!C163</f>
        <v>9</v>
      </c>
      <c r="D166" s="6" t="n">
        <f aca="false">'Source Data'!E163</f>
        <v>6</v>
      </c>
      <c r="E166" s="6" t="n">
        <f aca="false">IFERROR(N(C166)-N(D166),"")</f>
        <v>3</v>
      </c>
      <c r="F166" s="7" t="str">
        <f aca="false">IF(E166&gt;0,"Yes",IF(E166&lt;0,"No (Paternity higher)","Equal"))</f>
        <v>Yes</v>
      </c>
    </row>
    <row r="167" customFormat="false" ht="15" hidden="false" customHeight="false" outlineLevel="0" collapsed="false">
      <c r="A167" s="5" t="str">
        <f aca="false">'Source Data'!A164</f>
        <v>The Hanover Insurance Group</v>
      </c>
      <c r="B167" s="5" t="str">
        <f aca="false">'Source Data'!B164</f>
        <v>Insurance: Property &amp; Casualty</v>
      </c>
      <c r="C167" s="6" t="n">
        <f aca="false">'Source Data'!C164</f>
        <v>8</v>
      </c>
      <c r="D167" s="6" t="n">
        <f aca="false">'Source Data'!E164</f>
        <v>2</v>
      </c>
      <c r="E167" s="6" t="n">
        <f aca="false">IFERROR(N(C167)-N(D167),"")</f>
        <v>6</v>
      </c>
      <c r="F167" s="7" t="str">
        <f aca="false">IF(E167&gt;0,"Yes",IF(E167&lt;0,"No (Paternity higher)","Equal"))</f>
        <v>Yes</v>
      </c>
    </row>
    <row r="168" customFormat="false" ht="15" hidden="false" customHeight="false" outlineLevel="0" collapsed="false">
      <c r="A168" s="5" t="str">
        <f aca="false">'Source Data'!A165</f>
        <v>Holland &amp; Knight LLP</v>
      </c>
      <c r="B168" s="5" t="str">
        <f aca="false">'Source Data'!B165</f>
        <v>Law Firm</v>
      </c>
      <c r="C168" s="6" t="n">
        <f aca="false">'Source Data'!C165</f>
        <v>4</v>
      </c>
      <c r="D168" s="6" t="n">
        <f aca="false">'Source Data'!E165</f>
        <v>6</v>
      </c>
      <c r="E168" s="6" t="n">
        <f aca="false">IFERROR(N(C168)-N(D168),"")</f>
        <v>-2</v>
      </c>
      <c r="F168" s="7" t="str">
        <f aca="false">IF(E168&gt;0,"Yes",IF(E168&lt;0,"No (Paternity higher)","Equal"))</f>
        <v>No (Paternity higher)</v>
      </c>
    </row>
    <row r="169" customFormat="false" ht="15" hidden="false" customHeight="false" outlineLevel="0" collapsed="false">
      <c r="A169" s="5" t="str">
        <f aca="false">'Source Data'!A166</f>
        <v>Orrick, Herrington &amp; Sutcliffe LLP</v>
      </c>
      <c r="B169" s="5" t="str">
        <f aca="false">'Source Data'!B166</f>
        <v>Law Firm</v>
      </c>
      <c r="C169" s="6" t="n">
        <f aca="false">'Source Data'!C166</f>
        <v>23</v>
      </c>
      <c r="D169" s="6" t="n">
        <f aca="false">'Source Data'!E166</f>
        <v>16</v>
      </c>
      <c r="E169" s="6" t="n">
        <f aca="false">IFERROR(N(C169)-N(D169),"")</f>
        <v>7</v>
      </c>
      <c r="F169" s="7" t="str">
        <f aca="false">IF(E169&gt;0,"Yes",IF(E169&lt;0,"No (Paternity higher)","Equal"))</f>
        <v>Yes</v>
      </c>
    </row>
    <row r="170" customFormat="false" ht="15" hidden="false" customHeight="false" outlineLevel="0" collapsed="false">
      <c r="A170" s="5" t="str">
        <f aca="false">'Source Data'!A167</f>
        <v>Expedia Group</v>
      </c>
      <c r="B170" s="5" t="str">
        <f aca="false">'Source Data'!B167</f>
        <v>Leisure, Travel &amp; Tourism</v>
      </c>
      <c r="C170" s="6" t="n">
        <f aca="false">'Source Data'!C167</f>
        <v>18</v>
      </c>
      <c r="D170" s="6" t="n">
        <f aca="false">'Source Data'!E167</f>
        <v>12</v>
      </c>
      <c r="E170" s="6" t="n">
        <f aca="false">IFERROR(N(C170)-N(D170),"")</f>
        <v>6</v>
      </c>
      <c r="F170" s="7" t="str">
        <f aca="false">IF(E170&gt;0,"Yes",IF(E170&lt;0,"No (Paternity higher)","Equal"))</f>
        <v>Yes</v>
      </c>
    </row>
    <row r="171" customFormat="false" ht="15" hidden="false" customHeight="false" outlineLevel="0" collapsed="false">
      <c r="A171" s="5" t="str">
        <f aca="false">'Source Data'!A168</f>
        <v>WarnerMedia</v>
      </c>
      <c r="B171" s="5" t="str">
        <f aca="false">'Source Data'!B168</f>
        <v>Media: Diversified</v>
      </c>
      <c r="C171" s="6" t="n">
        <f aca="false">'Source Data'!C168</f>
        <v>9</v>
      </c>
      <c r="D171" s="6" t="n">
        <f aca="false">'Source Data'!E168</f>
        <v>6</v>
      </c>
      <c r="E171" s="6" t="n">
        <f aca="false">IFERROR(N(C171)-N(D171),"")</f>
        <v>3</v>
      </c>
      <c r="F171" s="7" t="str">
        <f aca="false">IF(E171&gt;0,"Yes",IF(E171&lt;0,"No (Paternity higher)","Equal"))</f>
        <v>Yes</v>
      </c>
    </row>
    <row r="172" customFormat="false" ht="15" hidden="false" customHeight="false" outlineLevel="0" collapsed="false">
      <c r="A172" s="5" t="str">
        <f aca="false">'Source Data'!A169</f>
        <v>Cargill</v>
      </c>
      <c r="B172" s="5" t="str">
        <f aca="false">'Source Data'!B169</f>
        <v>Natural Resources: Agriculture and Food Processing</v>
      </c>
      <c r="C172" s="6" t="n">
        <f aca="false">'Source Data'!C169</f>
        <v>12</v>
      </c>
      <c r="D172" s="6" t="n">
        <f aca="false">'Source Data'!E169</f>
        <v>4</v>
      </c>
      <c r="E172" s="6" t="n">
        <f aca="false">IFERROR(N(C172)-N(D172),"")</f>
        <v>8</v>
      </c>
      <c r="F172" s="7" t="str">
        <f aca="false">IF(E172&gt;0,"Yes",IF(E172&lt;0,"No (Paternity higher)","Equal"))</f>
        <v>Yes</v>
      </c>
    </row>
    <row r="173" customFormat="false" ht="15" hidden="false" customHeight="false" outlineLevel="0" collapsed="false">
      <c r="A173" s="5" t="str">
        <f aca="false">'Source Data'!A170</f>
        <v>Air Liquide</v>
      </c>
      <c r="B173" s="5" t="str">
        <f aca="false">'Source Data'!B170</f>
        <v>Natural Resources: Chemicals</v>
      </c>
      <c r="C173" s="6" t="n">
        <f aca="false">'Source Data'!C170</f>
        <v>14</v>
      </c>
      <c r="D173" s="6" t="n">
        <f aca="false">'Source Data'!E170</f>
        <v>6</v>
      </c>
      <c r="E173" s="6" t="n">
        <f aca="false">IFERROR(N(C173)-N(D173),"")</f>
        <v>8</v>
      </c>
      <c r="F173" s="7" t="str">
        <f aca="false">IF(E173&gt;0,"Yes",IF(E173&lt;0,"No (Paternity higher)","Equal"))</f>
        <v>Yes</v>
      </c>
    </row>
    <row r="174" customFormat="false" ht="15" hidden="false" customHeight="false" outlineLevel="0" collapsed="false">
      <c r="A174" s="5" t="str">
        <f aca="false">'Source Data'!A171</f>
        <v>Dow</v>
      </c>
      <c r="B174" s="5" t="str">
        <f aca="false">'Source Data'!B171</f>
        <v>Natural Resources: Chemicals</v>
      </c>
      <c r="C174" s="6" t="n">
        <f aca="false">'Source Data'!C171</f>
        <v>12</v>
      </c>
      <c r="D174" s="6" t="n">
        <f aca="false">'Source Data'!E171</f>
        <v>0</v>
      </c>
      <c r="E174" s="6" t="n">
        <f aca="false">IFERROR(N(C174)-N(D174),"")</f>
        <v>12</v>
      </c>
      <c r="F174" s="7" t="str">
        <f aca="false">IF(E174&gt;0,"Yes",IF(E174&lt;0,"No (Paternity higher)","Equal"))</f>
        <v>Yes</v>
      </c>
    </row>
    <row r="175" customFormat="false" ht="15" hidden="false" customHeight="false" outlineLevel="0" collapsed="false">
      <c r="A175" s="5" t="str">
        <f aca="false">'Source Data'!A172</f>
        <v>Ineos</v>
      </c>
      <c r="B175" s="5" t="str">
        <f aca="false">'Source Data'!B172</f>
        <v>Natural Resources: Chemicals</v>
      </c>
      <c r="C175" s="6" t="n">
        <f aca="false">'Source Data'!C172</f>
        <v>6.5</v>
      </c>
      <c r="D175" s="6" t="n">
        <f aca="false">'Source Data'!E172</f>
        <v>0</v>
      </c>
      <c r="E175" s="6" t="n">
        <f aca="false">IFERROR(N(C175)-N(D175),"")</f>
        <v>6.5</v>
      </c>
      <c r="F175" s="7" t="str">
        <f aca="false">IF(E175&gt;0,"Yes",IF(E175&lt;0,"No (Paternity higher)","Equal"))</f>
        <v>Yes</v>
      </c>
    </row>
    <row r="176" customFormat="false" ht="15" hidden="false" customHeight="false" outlineLevel="0" collapsed="false">
      <c r="A176" s="5" t="str">
        <f aca="false">'Source Data'!A173</f>
        <v>Ingevity Corporation</v>
      </c>
      <c r="B176" s="5" t="str">
        <f aca="false">'Source Data'!B173</f>
        <v>Natural Resources: Chemicals</v>
      </c>
      <c r="C176" s="6" t="n">
        <f aca="false">'Source Data'!C173</f>
        <v>10</v>
      </c>
      <c r="D176" s="6" t="n">
        <f aca="false">'Source Data'!E173</f>
        <v>4</v>
      </c>
      <c r="E176" s="6" t="n">
        <f aca="false">IFERROR(N(C176)-N(D176),"")</f>
        <v>6</v>
      </c>
      <c r="F176" s="7" t="str">
        <f aca="false">IF(E176&gt;0,"Yes",IF(E176&lt;0,"No (Paternity higher)","Equal"))</f>
        <v>Yes</v>
      </c>
    </row>
    <row r="177" customFormat="false" ht="15" hidden="false" customHeight="false" outlineLevel="0" collapsed="false">
      <c r="A177" s="5" t="str">
        <f aca="false">'Source Data'!A174</f>
        <v>PolyOne Corporation</v>
      </c>
      <c r="B177" s="5" t="str">
        <f aca="false">'Source Data'!B174</f>
        <v>Natural Resources: Chemicals</v>
      </c>
      <c r="C177" s="6" t="n">
        <f aca="false">'Source Data'!C174</f>
        <v>6</v>
      </c>
      <c r="D177" s="6" t="n">
        <f aca="false">'Source Data'!E174</f>
        <v>6</v>
      </c>
      <c r="E177" s="6" t="n">
        <f aca="false">IFERROR(N(C177)-N(D177),"")</f>
        <v>0</v>
      </c>
      <c r="F177" s="7" t="str">
        <f aca="false">IF(E177&gt;0,"Yes",IF(E177&lt;0,"No (Paternity higher)","Equal"))</f>
        <v>Equal</v>
      </c>
    </row>
    <row r="178" customFormat="false" ht="15" hidden="false" customHeight="false" outlineLevel="0" collapsed="false">
      <c r="A178" s="5" t="str">
        <f aca="false">'Source Data'!A175</f>
        <v>Consumers Energy</v>
      </c>
      <c r="B178" s="5" t="str">
        <f aca="false">'Source Data'!B175</f>
        <v>Natural Resources: Electric &amp; Gas Utility</v>
      </c>
      <c r="C178" s="6" t="n">
        <f aca="false">'Source Data'!C175</f>
        <v>6</v>
      </c>
      <c r="D178" s="6" t="n">
        <f aca="false">'Source Data'!E175</f>
        <v>16</v>
      </c>
      <c r="E178" s="6" t="n">
        <f aca="false">IFERROR(N(C178)-N(D178),"")</f>
        <v>-10</v>
      </c>
      <c r="F178" s="7" t="str">
        <f aca="false">IF(E178&gt;0,"Yes",IF(E178&lt;0,"No (Paternity higher)","Equal"))</f>
        <v>No (Paternity higher)</v>
      </c>
    </row>
    <row r="179" customFormat="false" ht="15" hidden="false" customHeight="false" outlineLevel="0" collapsed="false">
      <c r="A179" s="5" t="str">
        <f aca="false">'Source Data'!A176</f>
        <v>NextEra Energy</v>
      </c>
      <c r="B179" s="5" t="str">
        <f aca="false">'Source Data'!B176</f>
        <v>Natural Resources: Electric Power Generation</v>
      </c>
      <c r="C179" s="6" t="n">
        <f aca="false">'Source Data'!C176</f>
        <v>3</v>
      </c>
      <c r="D179" s="6" t="n">
        <f aca="false">'Source Data'!E176</f>
        <v>0</v>
      </c>
      <c r="E179" s="6" t="n">
        <f aca="false">IFERROR(N(C179)-N(D179),"")</f>
        <v>3</v>
      </c>
      <c r="F179" s="7" t="str">
        <f aca="false">IF(E179&gt;0,"Yes",IF(E179&lt;0,"No (Paternity higher)","Equal"))</f>
        <v>Yes</v>
      </c>
    </row>
    <row r="180" customFormat="false" ht="15" hidden="false" customHeight="false" outlineLevel="0" collapsed="false">
      <c r="A180" s="5" t="str">
        <f aca="false">'Source Data'!A177</f>
        <v>Chevron</v>
      </c>
      <c r="B180" s="5" t="str">
        <f aca="false">'Source Data'!B177</f>
        <v>Natural Resources: Oil &amp; Gas</v>
      </c>
      <c r="C180" s="6" t="n">
        <f aca="false">'Source Data'!C177</f>
        <v>12</v>
      </c>
      <c r="D180" s="6" t="n">
        <f aca="false">'Source Data'!E177</f>
        <v>8</v>
      </c>
      <c r="E180" s="6" t="n">
        <f aca="false">IFERROR(N(C180)-N(D180),"")</f>
        <v>4</v>
      </c>
      <c r="F180" s="7" t="str">
        <f aca="false">IF(E180&gt;0,"Yes",IF(E180&lt;0,"No (Paternity higher)","Equal"))</f>
        <v>Yes</v>
      </c>
    </row>
    <row r="181" customFormat="false" ht="15" hidden="false" customHeight="false" outlineLevel="0" collapsed="false">
      <c r="A181" s="5" t="str">
        <f aca="false">'Source Data'!A178</f>
        <v>Phillips 66</v>
      </c>
      <c r="B181" s="5" t="str">
        <f aca="false">'Source Data'!B178</f>
        <v>Natural Resources: Oil &amp; Gas</v>
      </c>
      <c r="C181" s="6" t="n">
        <f aca="false">'Source Data'!C178</f>
        <v>9</v>
      </c>
      <c r="D181" s="6" t="n">
        <f aca="false">'Source Data'!E178</f>
        <v>2</v>
      </c>
      <c r="E181" s="6" t="n">
        <f aca="false">IFERROR(N(C181)-N(D181),"")</f>
        <v>7</v>
      </c>
      <c r="F181" s="7" t="str">
        <f aca="false">IF(E181&gt;0,"Yes",IF(E181&lt;0,"No (Paternity higher)","Equal"))</f>
        <v>Yes</v>
      </c>
    </row>
    <row r="182" customFormat="false" ht="15" hidden="false" customHeight="false" outlineLevel="0" collapsed="false">
      <c r="A182" s="5" t="str">
        <f aca="false">'Source Data'!A179</f>
        <v>Range Resources</v>
      </c>
      <c r="B182" s="5" t="str">
        <f aca="false">'Source Data'!B179</f>
        <v>Natural Resources: Oil &amp; Gas</v>
      </c>
      <c r="C182" s="6" t="n">
        <f aca="false">'Source Data'!C179</f>
        <v>9</v>
      </c>
      <c r="D182" s="6" t="n">
        <f aca="false">'Source Data'!E179</f>
        <v>2</v>
      </c>
      <c r="E182" s="6" t="n">
        <f aca="false">IFERROR(N(C182)-N(D182),"")</f>
        <v>7</v>
      </c>
      <c r="F182" s="7" t="str">
        <f aca="false">IF(E182&gt;0,"Yes",IF(E182&lt;0,"No (Paternity higher)","Equal"))</f>
        <v>Yes</v>
      </c>
    </row>
    <row r="183" customFormat="false" ht="15" hidden="false" customHeight="false" outlineLevel="0" collapsed="false">
      <c r="A183" s="5" t="str">
        <f aca="false">'Source Data'!A180</f>
        <v>American Water</v>
      </c>
      <c r="B183" s="5" t="str">
        <f aca="false">'Source Data'!B180</f>
        <v>Natural Resources: Renewables &amp; Environment</v>
      </c>
      <c r="C183" s="6" t="n">
        <f aca="false">'Source Data'!C180</f>
        <v>2</v>
      </c>
      <c r="D183" s="6" t="n">
        <f aca="false">'Source Data'!E180</f>
        <v>0</v>
      </c>
      <c r="E183" s="6" t="n">
        <f aca="false">IFERROR(N(C183)-N(D183),"")</f>
        <v>2</v>
      </c>
      <c r="F183" s="7" t="str">
        <f aca="false">IF(E183&gt;0,"Yes",IF(E183&lt;0,"No (Paternity higher)","Equal"))</f>
        <v>Yes</v>
      </c>
    </row>
    <row r="184" customFormat="false" ht="15" hidden="false" customHeight="false" outlineLevel="0" collapsed="false">
      <c r="A184" s="5" t="str">
        <f aca="false">'Source Data'!A181</f>
        <v>Make-A-Wish Foundation</v>
      </c>
      <c r="B184" s="5" t="str">
        <f aca="false">'Source Data'!B181</f>
        <v>Nonprofit: Charity</v>
      </c>
      <c r="C184" s="6" t="n">
        <f aca="false">'Source Data'!C181</f>
        <v>6</v>
      </c>
      <c r="D184" s="6" t="n">
        <f aca="false">'Source Data'!E181</f>
        <v>0</v>
      </c>
      <c r="E184" s="6" t="n">
        <f aca="false">IFERROR(N(C184)-N(D184),"")</f>
        <v>6</v>
      </c>
      <c r="F184" s="7" t="str">
        <f aca="false">IF(E184&gt;0,"Yes",IF(E184&lt;0,"No (Paternity higher)","Equal"))</f>
        <v>Yes</v>
      </c>
    </row>
    <row r="185" customFormat="false" ht="15" hidden="false" customHeight="false" outlineLevel="0" collapsed="false">
      <c r="A185" s="5" t="str">
        <f aca="false">'Source Data'!A182</f>
        <v>Wikimedia Foundation</v>
      </c>
      <c r="B185" s="5" t="str">
        <f aca="false">'Source Data'!B182</f>
        <v>Nonprofit: Education</v>
      </c>
      <c r="C185" s="6" t="n">
        <f aca="false">'Source Data'!C182</f>
        <v>12</v>
      </c>
      <c r="D185" s="6" t="n">
        <f aca="false">'Source Data'!E182</f>
        <v>7</v>
      </c>
      <c r="E185" s="6" t="n">
        <f aca="false">IFERROR(N(C185)-N(D185),"")</f>
        <v>5</v>
      </c>
      <c r="F185" s="7" t="str">
        <f aca="false">IF(E185&gt;0,"Yes",IF(E185&lt;0,"No (Paternity higher)","Equal"))</f>
        <v>Yes</v>
      </c>
    </row>
    <row r="186" customFormat="false" ht="15" hidden="false" customHeight="false" outlineLevel="0" collapsed="false">
      <c r="A186" s="5" t="str">
        <f aca="false">'Source Data'!A183</f>
        <v>Girl Scouts of the USA</v>
      </c>
      <c r="B186" s="5" t="str">
        <f aca="false">'Source Data'!B183</f>
        <v>Nonprofit: Human Rights Advocacy</v>
      </c>
      <c r="C186" s="6" t="n">
        <f aca="false">'Source Data'!C183</f>
        <v>6</v>
      </c>
      <c r="D186" s="6" t="n">
        <f aca="false">'Source Data'!E183</f>
        <v>6</v>
      </c>
      <c r="E186" s="6" t="n">
        <f aca="false">IFERROR(N(C186)-N(D186),"")</f>
        <v>0</v>
      </c>
      <c r="F186" s="7" t="str">
        <f aca="false">IF(E186&gt;0,"Yes",IF(E186&lt;0,"No (Paternity higher)","Equal"))</f>
        <v>Equal</v>
      </c>
    </row>
    <row r="187" customFormat="false" ht="15" hidden="false" customHeight="false" outlineLevel="0" collapsed="false">
      <c r="A187" s="5" t="str">
        <f aca="false">'Source Data'!A184</f>
        <v>RAND Corporation</v>
      </c>
      <c r="B187" s="5" t="str">
        <f aca="false">'Source Data'!B184</f>
        <v>Nonprofit: Public Policy</v>
      </c>
      <c r="C187" s="6" t="n">
        <f aca="false">'Source Data'!C184</f>
        <v>5.5</v>
      </c>
      <c r="D187" s="6" t="n">
        <f aca="false">'Source Data'!E184</f>
        <v>3</v>
      </c>
      <c r="E187" s="6" t="n">
        <f aca="false">IFERROR(N(C187)-N(D187),"")</f>
        <v>2.5</v>
      </c>
      <c r="F187" s="7" t="str">
        <f aca="false">IF(E187&gt;0,"Yes",IF(E187&lt;0,"No (Paternity higher)","Equal"))</f>
        <v>Yes</v>
      </c>
    </row>
    <row r="188" customFormat="false" ht="15" hidden="false" customHeight="false" outlineLevel="0" collapsed="false">
      <c r="A188" s="5" t="str">
        <f aca="false">'Source Data'!A185</f>
        <v>The MITRE Corporation</v>
      </c>
      <c r="B188" s="5" t="str">
        <f aca="false">'Source Data'!B185</f>
        <v>Nonprofit: Research</v>
      </c>
      <c r="C188" s="6" t="n">
        <f aca="false">'Source Data'!C185</f>
        <v>7</v>
      </c>
      <c r="D188" s="6" t="n">
        <f aca="false">'Source Data'!E185</f>
        <v>2</v>
      </c>
      <c r="E188" s="6" t="n">
        <f aca="false">IFERROR(N(C188)-N(D188),"")</f>
        <v>5</v>
      </c>
      <c r="F188" s="7" t="str">
        <f aca="false">IF(E188&gt;0,"Yes",IF(E188&lt;0,"No (Paternity higher)","Equal"))</f>
        <v>Yes</v>
      </c>
    </row>
    <row r="189" customFormat="false" ht="15" hidden="false" customHeight="false" outlineLevel="0" collapsed="false">
      <c r="A189" s="5" t="str">
        <f aca="false">'Source Data'!A186</f>
        <v>Abbott Nutrition</v>
      </c>
      <c r="B189" s="5" t="str">
        <f aca="false">'Source Data'!B186</f>
        <v>Pharmaceutical</v>
      </c>
      <c r="C189" s="6" t="n">
        <f aca="false">'Source Data'!C186</f>
        <v>8</v>
      </c>
      <c r="D189" s="6" t="n">
        <f aca="false">'Source Data'!E186</f>
        <v>2</v>
      </c>
      <c r="E189" s="6" t="n">
        <f aca="false">IFERROR(N(C189)-N(D189),"")</f>
        <v>6</v>
      </c>
      <c r="F189" s="7" t="str">
        <f aca="false">IF(E189&gt;0,"Yes",IF(E189&lt;0,"No (Paternity higher)","Equal"))</f>
        <v>Yes</v>
      </c>
    </row>
    <row r="190" customFormat="false" ht="15" hidden="false" customHeight="false" outlineLevel="0" collapsed="false">
      <c r="A190" s="5" t="str">
        <f aca="false">'Source Data'!A187</f>
        <v>GlaxoSmithKline</v>
      </c>
      <c r="B190" s="5" t="str">
        <f aca="false">'Source Data'!B187</f>
        <v>Pharmaceutical</v>
      </c>
      <c r="C190" s="6" t="n">
        <f aca="false">'Source Data'!C187</f>
        <v>14</v>
      </c>
      <c r="D190" s="6" t="n">
        <f aca="false">'Source Data'!E187</f>
        <v>8</v>
      </c>
      <c r="E190" s="6" t="n">
        <f aca="false">IFERROR(N(C190)-N(D190),"")</f>
        <v>6</v>
      </c>
      <c r="F190" s="7" t="str">
        <f aca="false">IF(E190&gt;0,"Yes",IF(E190&lt;0,"No (Paternity higher)","Equal"))</f>
        <v>Yes</v>
      </c>
    </row>
    <row r="191" customFormat="false" ht="15" hidden="false" customHeight="false" outlineLevel="0" collapsed="false">
      <c r="A191" s="5" t="str">
        <f aca="false">'Source Data'!A188</f>
        <v>McKesson</v>
      </c>
      <c r="B191" s="5" t="str">
        <f aca="false">'Source Data'!B188</f>
        <v>Pharmaceutical</v>
      </c>
      <c r="C191" s="6" t="n">
        <f aca="false">'Source Data'!C188</f>
        <v>6</v>
      </c>
      <c r="D191" s="6" t="n">
        <f aca="false">'Source Data'!E188</f>
        <v>6</v>
      </c>
      <c r="E191" s="6" t="n">
        <f aca="false">IFERROR(N(C191)-N(D191),"")</f>
        <v>0</v>
      </c>
      <c r="F191" s="7" t="str">
        <f aca="false">IF(E191&gt;0,"Yes",IF(E191&lt;0,"No (Paternity higher)","Equal"))</f>
        <v>Equal</v>
      </c>
    </row>
    <row r="192" customFormat="false" ht="15" hidden="false" customHeight="false" outlineLevel="0" collapsed="false">
      <c r="A192" s="5" t="str">
        <f aca="false">'Source Data'!A189</f>
        <v>Vertex Pharmaceuticals</v>
      </c>
      <c r="B192" s="5" t="str">
        <f aca="false">'Source Data'!B189</f>
        <v>Pharmaceutical</v>
      </c>
      <c r="C192" s="6" t="n">
        <f aca="false">'Source Data'!C189</f>
        <v>16</v>
      </c>
      <c r="D192" s="6" t="n">
        <f aca="false">'Source Data'!E189</f>
        <v>8</v>
      </c>
      <c r="E192" s="6" t="n">
        <f aca="false">IFERROR(N(C192)-N(D192),"")</f>
        <v>8</v>
      </c>
      <c r="F192" s="7" t="str">
        <f aca="false">IF(E192&gt;0,"Yes",IF(E192&lt;0,"No (Paternity higher)","Equal"))</f>
        <v>Yes</v>
      </c>
    </row>
    <row r="193" customFormat="false" ht="15" hidden="false" customHeight="false" outlineLevel="0" collapsed="false">
      <c r="A193" s="5" t="str">
        <f aca="false">'Source Data'!A190</f>
        <v>Bill and Melinda Gates Foundation</v>
      </c>
      <c r="B193" s="5" t="str">
        <f aca="false">'Source Data'!B190</f>
        <v>Philanthropy</v>
      </c>
      <c r="C193" s="6" t="n">
        <f aca="false">'Source Data'!C190</f>
        <v>26</v>
      </c>
      <c r="D193" s="6" t="n">
        <f aca="false">'Source Data'!E190</f>
        <v>26</v>
      </c>
      <c r="E193" s="6" t="n">
        <f aca="false">IFERROR(N(C193)-N(D193),"")</f>
        <v>0</v>
      </c>
      <c r="F193" s="7" t="str">
        <f aca="false">IF(E193&gt;0,"Yes",IF(E193&lt;0,"No (Paternity higher)","Equal"))</f>
        <v>Equal</v>
      </c>
    </row>
    <row r="194" customFormat="false" ht="15" hidden="false" customHeight="false" outlineLevel="0" collapsed="false">
      <c r="A194" s="5" t="str">
        <f aca="false">'Source Data'!A191</f>
        <v>MOO</v>
      </c>
      <c r="B194" s="5" t="str">
        <f aca="false">'Source Data'!B191</f>
        <v>Printing</v>
      </c>
      <c r="C194" s="6" t="n">
        <f aca="false">'Source Data'!C191</f>
        <v>2</v>
      </c>
      <c r="D194" s="6" t="n">
        <f aca="false">'Source Data'!E191</f>
        <v>2</v>
      </c>
      <c r="E194" s="6" t="n">
        <f aca="false">IFERROR(N(C194)-N(D194),"")</f>
        <v>0</v>
      </c>
      <c r="F194" s="7" t="str">
        <f aca="false">IF(E194&gt;0,"Yes",IF(E194&lt;0,"No (Paternity higher)","Equal"))</f>
        <v>Equal</v>
      </c>
    </row>
    <row r="195" customFormat="false" ht="15" hidden="false" customHeight="false" outlineLevel="0" collapsed="false">
      <c r="A195" s="5" t="str">
        <f aca="false">'Source Data'!A192</f>
        <v>Elsevier</v>
      </c>
      <c r="B195" s="5" t="str">
        <f aca="false">'Source Data'!B192</f>
        <v>Publishing</v>
      </c>
      <c r="C195" s="6" t="n">
        <f aca="false">'Source Data'!C192</f>
        <v>39</v>
      </c>
      <c r="D195" s="6" t="n">
        <f aca="false">'Source Data'!E192</f>
        <v>1</v>
      </c>
      <c r="E195" s="6" t="n">
        <f aca="false">IFERROR(N(C195)-N(D195),"")</f>
        <v>38</v>
      </c>
      <c r="F195" s="7" t="str">
        <f aca="false">IF(E195&gt;0,"Yes",IF(E195&lt;0,"No (Paternity higher)","Equal"))</f>
        <v>Yes</v>
      </c>
    </row>
    <row r="196" customFormat="false" ht="15" hidden="false" customHeight="false" outlineLevel="0" collapsed="false">
      <c r="A196" s="5" t="str">
        <f aca="false">'Source Data'!A193</f>
        <v>Wiley Publishing</v>
      </c>
      <c r="B196" s="5" t="str">
        <f aca="false">'Source Data'!B193</f>
        <v>Publishing</v>
      </c>
      <c r="C196" s="6" t="n">
        <f aca="false">'Source Data'!C193</f>
        <v>6</v>
      </c>
      <c r="D196" s="6" t="n">
        <f aca="false">'Source Data'!E193</f>
        <v>4</v>
      </c>
      <c r="E196" s="6" t="n">
        <f aca="false">IFERROR(N(C196)-N(D196),"")</f>
        <v>2</v>
      </c>
      <c r="F196" s="7" t="str">
        <f aca="false">IF(E196&gt;0,"Yes",IF(E196&lt;0,"No (Paternity higher)","Equal"))</f>
        <v>Yes</v>
      </c>
    </row>
    <row r="197" customFormat="false" ht="15" hidden="false" customHeight="false" outlineLevel="0" collapsed="false">
      <c r="A197" s="5" t="str">
        <f aca="false">'Source Data'!A194</f>
        <v>Bidwells LLP</v>
      </c>
      <c r="B197" s="5" t="str">
        <f aca="false">'Source Data'!B194</f>
        <v>Real Estate: Other</v>
      </c>
      <c r="C197" s="6" t="n">
        <f aca="false">'Source Data'!C194</f>
        <v>14</v>
      </c>
      <c r="D197" s="6" t="n">
        <f aca="false">'Source Data'!E194</f>
        <v>2</v>
      </c>
      <c r="E197" s="6" t="n">
        <f aca="false">IFERROR(N(C197)-N(D197),"")</f>
        <v>12</v>
      </c>
      <c r="F197" s="7" t="str">
        <f aca="false">IF(E197&gt;0,"Yes",IF(E197&lt;0,"No (Paternity higher)","Equal"))</f>
        <v>Yes</v>
      </c>
    </row>
    <row r="198" customFormat="false" ht="15" hidden="false" customHeight="false" outlineLevel="0" collapsed="false">
      <c r="A198" s="5" t="str">
        <f aca="false">'Source Data'!A195</f>
        <v>Realtor.com</v>
      </c>
      <c r="B198" s="5" t="str">
        <f aca="false">'Source Data'!B195</f>
        <v>Real Estate: Other</v>
      </c>
      <c r="C198" s="6" t="n">
        <f aca="false">'Source Data'!C195</f>
        <v>20</v>
      </c>
      <c r="D198" s="6" t="n">
        <f aca="false">'Source Data'!E195</f>
        <v>4</v>
      </c>
      <c r="E198" s="6" t="n">
        <f aca="false">IFERROR(N(C198)-N(D198),"")</f>
        <v>16</v>
      </c>
      <c r="F198" s="7" t="str">
        <f aca="false">IF(E198&gt;0,"Yes",IF(E198&lt;0,"No (Paternity higher)","Equal"))</f>
        <v>Yes</v>
      </c>
    </row>
    <row r="199" customFormat="false" ht="15" hidden="false" customHeight="false" outlineLevel="0" collapsed="false">
      <c r="A199" s="5" t="str">
        <f aca="false">'Source Data'!A196</f>
        <v>Kohl's</v>
      </c>
      <c r="B199" s="5" t="str">
        <f aca="false">'Source Data'!B196</f>
        <v>Retail: Department Store</v>
      </c>
      <c r="C199" s="6" t="n">
        <f aca="false">'Source Data'!C196</f>
        <v>6</v>
      </c>
      <c r="D199" s="6" t="n">
        <f aca="false">'Source Data'!E196</f>
        <v>4</v>
      </c>
      <c r="E199" s="6" t="n">
        <f aca="false">IFERROR(N(C199)-N(D199),"")</f>
        <v>2</v>
      </c>
      <c r="F199" s="7" t="str">
        <f aca="false">IF(E199&gt;0,"Yes",IF(E199&lt;0,"No (Paternity higher)","Equal"))</f>
        <v>Yes</v>
      </c>
    </row>
    <row r="200" customFormat="false" ht="15" hidden="false" customHeight="false" outlineLevel="0" collapsed="false">
      <c r="A200" s="5" t="str">
        <f aca="false">'Source Data'!A197</f>
        <v>Home Depot</v>
      </c>
      <c r="B200" s="5" t="str">
        <f aca="false">'Source Data'!B197</f>
        <v>Retail: Furniture &amp; Home Improvement</v>
      </c>
      <c r="C200" s="6" t="n">
        <f aca="false">'Source Data'!C197</f>
        <v>6</v>
      </c>
      <c r="D200" s="6" t="n">
        <f aca="false">'Source Data'!E197</f>
        <v>6</v>
      </c>
      <c r="E200" s="6" t="n">
        <f aca="false">IFERROR(N(C200)-N(D200),"")</f>
        <v>0</v>
      </c>
      <c r="F200" s="7" t="str">
        <f aca="false">IF(E200&gt;0,"Yes",IF(E200&lt;0,"No (Paternity higher)","Equal"))</f>
        <v>Equal</v>
      </c>
    </row>
    <row r="201" customFormat="false" ht="15" hidden="false" customHeight="false" outlineLevel="0" collapsed="false">
      <c r="A201" s="5" t="str">
        <f aca="false">'Source Data'!A198</f>
        <v>Wayfair</v>
      </c>
      <c r="B201" s="5" t="str">
        <f aca="false">'Source Data'!B198</f>
        <v>Retail: Furniture &amp; Home Improvement</v>
      </c>
      <c r="C201" s="6" t="n">
        <f aca="false">'Source Data'!C198</f>
        <v>12</v>
      </c>
      <c r="D201" s="6" t="n">
        <f aca="false">'Source Data'!E198</f>
        <v>4</v>
      </c>
      <c r="E201" s="6" t="n">
        <f aca="false">IFERROR(N(C201)-N(D201),"")</f>
        <v>8</v>
      </c>
      <c r="F201" s="7" t="str">
        <f aca="false">IF(E201&gt;0,"Yes",IF(E201&lt;0,"No (Paternity higher)","Equal"))</f>
        <v>Yes</v>
      </c>
    </row>
    <row r="202" customFormat="false" ht="15" hidden="false" customHeight="false" outlineLevel="0" collapsed="false">
      <c r="A202" s="5" t="str">
        <f aca="false">'Source Data'!A199</f>
        <v>Columbia Sportswear</v>
      </c>
      <c r="B202" s="5" t="str">
        <f aca="false">'Source Data'!B199</f>
        <v>Retail: Shoes, Accessories and Apparel</v>
      </c>
      <c r="C202" s="6" t="n">
        <f aca="false">'Source Data'!C199</f>
        <v>4</v>
      </c>
      <c r="D202" s="6" t="n">
        <f aca="false">'Source Data'!E199</f>
        <v>6</v>
      </c>
      <c r="E202" s="6" t="n">
        <f aca="false">IFERROR(N(C202)-N(D202),"")</f>
        <v>-2</v>
      </c>
      <c r="F202" s="7" t="str">
        <f aca="false">IF(E202&gt;0,"Yes",IF(E202&lt;0,"No (Paternity higher)","Equal"))</f>
        <v>No (Paternity higher)</v>
      </c>
    </row>
    <row r="203" customFormat="false" ht="15" hidden="false" customHeight="false" outlineLevel="0" collapsed="false">
      <c r="A203" s="5" t="str">
        <f aca="false">'Source Data'!A200</f>
        <v>Luxottica Group SpA</v>
      </c>
      <c r="B203" s="5" t="str">
        <f aca="false">'Source Data'!B200</f>
        <v>Retail: Shoes, Accessories and Apparel</v>
      </c>
      <c r="C203" s="6" t="n">
        <f aca="false">'Source Data'!C200</f>
        <v>8.5</v>
      </c>
      <c r="D203" s="6" t="n">
        <f aca="false">'Source Data'!E200</f>
        <v>2</v>
      </c>
      <c r="E203" s="6" t="n">
        <f aca="false">IFERROR(N(C203)-N(D203),"")</f>
        <v>6.5</v>
      </c>
      <c r="F203" s="7" t="str">
        <f aca="false">IF(E203&gt;0,"Yes",IF(E203&lt;0,"No (Paternity higher)","Equal"))</f>
        <v>Yes</v>
      </c>
    </row>
    <row r="204" customFormat="false" ht="15" hidden="false" customHeight="false" outlineLevel="0" collapsed="false">
      <c r="A204" s="5" t="str">
        <f aca="false">'Source Data'!A201</f>
        <v>Target</v>
      </c>
      <c r="B204" s="5" t="str">
        <f aca="false">'Source Data'!B201</f>
        <v>Retail: Shoes, Accessories and Apparel</v>
      </c>
      <c r="C204" s="6" t="n">
        <f aca="false">'Source Data'!C201</f>
        <v>6</v>
      </c>
      <c r="D204" s="6" t="n">
        <f aca="false">'Source Data'!E201</f>
        <v>4</v>
      </c>
      <c r="E204" s="6" t="n">
        <f aca="false">IFERROR(N(C204)-N(D204),"")</f>
        <v>2</v>
      </c>
      <c r="F204" s="7" t="str">
        <f aca="false">IF(E204&gt;0,"Yes",IF(E204&lt;0,"No (Paternity higher)","Equal"))</f>
        <v>Yes</v>
      </c>
    </row>
    <row r="205" customFormat="false" ht="15" hidden="false" customHeight="false" outlineLevel="0" collapsed="false">
      <c r="A205" s="5" t="str">
        <f aca="false">'Source Data'!A202</f>
        <v>Meijer</v>
      </c>
      <c r="B205" s="5" t="str">
        <f aca="false">'Source Data'!B202</f>
        <v>Retail: Supermarket Company</v>
      </c>
      <c r="C205" s="6" t="n">
        <f aca="false">'Source Data'!C202</f>
        <v>5</v>
      </c>
      <c r="D205" s="6" t="n">
        <f aca="false">'Source Data'!E202</f>
        <v>4</v>
      </c>
      <c r="E205" s="6" t="n">
        <f aca="false">IFERROR(N(C205)-N(D205),"")</f>
        <v>1</v>
      </c>
      <c r="F205" s="7" t="str">
        <f aca="false">IF(E205&gt;0,"Yes",IF(E205&lt;0,"No (Paternity higher)","Equal"))</f>
        <v>Yes</v>
      </c>
    </row>
    <row r="206" customFormat="false" ht="15" hidden="false" customHeight="false" outlineLevel="0" collapsed="false">
      <c r="A206" s="5" t="str">
        <f aca="false">'Source Data'!A203</f>
        <v>Publix Super Markets</v>
      </c>
      <c r="B206" s="5" t="str">
        <f aca="false">'Source Data'!B203</f>
        <v>Retail: Supermarket Company</v>
      </c>
      <c r="C206" s="6" t="n">
        <f aca="false">'Source Data'!C203</f>
        <v>2</v>
      </c>
      <c r="D206" s="6" t="n">
        <f aca="false">'Source Data'!E203</f>
        <v>0</v>
      </c>
      <c r="E206" s="6" t="n">
        <f aca="false">IFERROR(N(C206)-N(D206),"")</f>
        <v>2</v>
      </c>
      <c r="F206" s="7" t="str">
        <f aca="false">IF(E206&gt;0,"Yes",IF(E206&lt;0,"No (Paternity higher)","Equal"))</f>
        <v>Yes</v>
      </c>
    </row>
    <row r="207" customFormat="false" ht="15" hidden="false" customHeight="false" outlineLevel="0" collapsed="false">
      <c r="A207" s="5" t="str">
        <f aca="false">'Source Data'!A204</f>
        <v>Athenahealth</v>
      </c>
      <c r="B207" s="5" t="str">
        <f aca="false">'Source Data'!B204</f>
        <v>Technology: B2B Tech Services</v>
      </c>
      <c r="C207" s="6" t="n">
        <f aca="false">'Source Data'!C204</f>
        <v>12</v>
      </c>
      <c r="D207" s="6" t="n">
        <f aca="false">'Source Data'!E204</f>
        <v>6</v>
      </c>
      <c r="E207" s="6" t="n">
        <f aca="false">IFERROR(N(C207)-N(D207),"")</f>
        <v>6</v>
      </c>
      <c r="F207" s="7" t="str">
        <f aca="false">IF(E207&gt;0,"Yes",IF(E207&lt;0,"No (Paternity higher)","Equal"))</f>
        <v>Yes</v>
      </c>
    </row>
    <row r="208" customFormat="false" ht="15" hidden="false" customHeight="false" outlineLevel="0" collapsed="false">
      <c r="A208" s="5" t="str">
        <f aca="false">'Source Data'!A205</f>
        <v>CDW Corporation</v>
      </c>
      <c r="B208" s="5" t="str">
        <f aca="false">'Source Data'!B205</f>
        <v>Technology: B2B Tech Services</v>
      </c>
      <c r="C208" s="6" t="n">
        <f aca="false">'Source Data'!C205</f>
        <v>6</v>
      </c>
      <c r="D208" s="6" t="n">
        <f aca="false">'Source Data'!E205</f>
        <v>2</v>
      </c>
      <c r="E208" s="6" t="n">
        <f aca="false">IFERROR(N(C208)-N(D208),"")</f>
        <v>4</v>
      </c>
      <c r="F208" s="7" t="str">
        <f aca="false">IF(E208&gt;0,"Yes",IF(E208&lt;0,"No (Paternity higher)","Equal"))</f>
        <v>Yes</v>
      </c>
    </row>
    <row r="209" customFormat="false" ht="15" hidden="false" customHeight="false" outlineLevel="0" collapsed="false">
      <c r="A209" s="5" t="str">
        <f aca="false">'Source Data'!A206</f>
        <v>Cerner Corporation</v>
      </c>
      <c r="B209" s="5" t="str">
        <f aca="false">'Source Data'!B206</f>
        <v>Technology: B2B Tech Services</v>
      </c>
      <c r="C209" s="6" t="n">
        <f aca="false">'Source Data'!C206</f>
        <v>12</v>
      </c>
      <c r="D209" s="6" t="n">
        <f aca="false">'Source Data'!E206</f>
        <v>4</v>
      </c>
      <c r="E209" s="6" t="n">
        <f aca="false">IFERROR(N(C209)-N(D209),"")</f>
        <v>8</v>
      </c>
      <c r="F209" s="7" t="str">
        <f aca="false">IF(E209&gt;0,"Yes",IF(E209&lt;0,"No (Paternity higher)","Equal"))</f>
        <v>Yes</v>
      </c>
    </row>
    <row r="210" customFormat="false" ht="15" hidden="false" customHeight="false" outlineLevel="0" collapsed="false">
      <c r="A210" s="5" t="str">
        <f aca="false">'Source Data'!A207</f>
        <v>Elastic</v>
      </c>
      <c r="B210" s="5" t="str">
        <f aca="false">'Source Data'!B207</f>
        <v>Technology: B2B Tech Services</v>
      </c>
      <c r="C210" s="6" t="n">
        <f aca="false">'Source Data'!C207</f>
        <v>16</v>
      </c>
      <c r="D210" s="6" t="n">
        <f aca="false">'Source Data'!E207</f>
        <v>16</v>
      </c>
      <c r="E210" s="6" t="n">
        <f aca="false">IFERROR(N(C210)-N(D210),"")</f>
        <v>0</v>
      </c>
      <c r="F210" s="7" t="str">
        <f aca="false">IF(E210&gt;0,"Yes",IF(E210&lt;0,"No (Paternity higher)","Equal"))</f>
        <v>Equal</v>
      </c>
    </row>
    <row r="211" customFormat="false" ht="15" hidden="false" customHeight="false" outlineLevel="0" collapsed="false">
      <c r="A211" s="5" t="str">
        <f aca="false">'Source Data'!A208</f>
        <v>Equinix</v>
      </c>
      <c r="B211" s="5" t="str">
        <f aca="false">'Source Data'!B208</f>
        <v>Technology: B2B Tech Services</v>
      </c>
      <c r="C211" s="6" t="n">
        <f aca="false">'Source Data'!C208</f>
        <v>8</v>
      </c>
      <c r="D211" s="6" t="n">
        <f aca="false">'Source Data'!E208</f>
        <v>8</v>
      </c>
      <c r="E211" s="6" t="n">
        <f aca="false">IFERROR(N(C211)-N(D211),"")</f>
        <v>0</v>
      </c>
      <c r="F211" s="7" t="str">
        <f aca="false">IF(E211&gt;0,"Yes",IF(E211&lt;0,"No (Paternity higher)","Equal"))</f>
        <v>Equal</v>
      </c>
    </row>
    <row r="212" customFormat="false" ht="15" hidden="false" customHeight="false" outlineLevel="0" collapsed="false">
      <c r="A212" s="5" t="str">
        <f aca="false">'Source Data'!A209</f>
        <v>Hewlett Packard Enterprise</v>
      </c>
      <c r="B212" s="5" t="str">
        <f aca="false">'Source Data'!B209</f>
        <v>Technology: B2B Tech Services</v>
      </c>
      <c r="C212" s="6" t="n">
        <f aca="false">'Source Data'!C209</f>
        <v>26</v>
      </c>
      <c r="D212" s="6" t="n">
        <f aca="false">'Source Data'!E209</f>
        <v>26</v>
      </c>
      <c r="E212" s="6" t="n">
        <f aca="false">IFERROR(N(C212)-N(D212),"")</f>
        <v>0</v>
      </c>
      <c r="F212" s="7" t="str">
        <f aca="false">IF(E212&gt;0,"Yes",IF(E212&lt;0,"No (Paternity higher)","Equal"))</f>
        <v>Equal</v>
      </c>
    </row>
    <row r="213" customFormat="false" ht="15" hidden="false" customHeight="false" outlineLevel="0" collapsed="false">
      <c r="A213" s="5" t="str">
        <f aca="false">'Source Data'!A210</f>
        <v>Tata Consultancy Services</v>
      </c>
      <c r="B213" s="5" t="str">
        <f aca="false">'Source Data'!B210</f>
        <v>Technology: B2B Tech Services</v>
      </c>
      <c r="C213" s="6" t="n">
        <f aca="false">'Source Data'!C210</f>
        <v>24</v>
      </c>
      <c r="D213" s="6" t="n">
        <f aca="false">'Source Data'!E210</f>
        <v>1</v>
      </c>
      <c r="E213" s="6" t="n">
        <f aca="false">IFERROR(N(C213)-N(D213),"")</f>
        <v>23</v>
      </c>
      <c r="F213" s="7" t="str">
        <f aca="false">IF(E213&gt;0,"Yes",IF(E213&lt;0,"No (Paternity higher)","Equal"))</f>
        <v>Yes</v>
      </c>
    </row>
    <row r="214" customFormat="false" ht="15" hidden="false" customHeight="false" outlineLevel="0" collapsed="false">
      <c r="A214" s="5" t="str">
        <f aca="false">'Source Data'!A211</f>
        <v>Amazon</v>
      </c>
      <c r="B214" s="5" t="str">
        <f aca="false">'Source Data'!B211</f>
        <v>Technology: Consumer Internet</v>
      </c>
      <c r="C214" s="6" t="n">
        <f aca="false">'Source Data'!C211</f>
        <v>12</v>
      </c>
      <c r="D214" s="6" t="n">
        <f aca="false">'Source Data'!E211</f>
        <v>6</v>
      </c>
      <c r="E214" s="6" t="n">
        <f aca="false">IFERROR(N(C214)-N(D214),"")</f>
        <v>6</v>
      </c>
      <c r="F214" s="7" t="str">
        <f aca="false">IF(E214&gt;0,"Yes",IF(E214&lt;0,"No (Paternity higher)","Equal"))</f>
        <v>Yes</v>
      </c>
    </row>
    <row r="215" customFormat="false" ht="15" hidden="false" customHeight="false" outlineLevel="0" collapsed="false">
      <c r="A215" s="5" t="str">
        <f aca="false">'Source Data'!A212</f>
        <v>Angie's List</v>
      </c>
      <c r="B215" s="5" t="str">
        <f aca="false">'Source Data'!B212</f>
        <v>Technology: Consumer Internet</v>
      </c>
      <c r="C215" s="6" t="n">
        <f aca="false">'Source Data'!C212</f>
        <v>11</v>
      </c>
      <c r="D215" s="6" t="n">
        <f aca="false">'Source Data'!E212</f>
        <v>6</v>
      </c>
      <c r="E215" s="6" t="n">
        <f aca="false">IFERROR(N(C215)-N(D215),"")</f>
        <v>5</v>
      </c>
      <c r="F215" s="7" t="str">
        <f aca="false">IF(E215&gt;0,"Yes",IF(E215&lt;0,"No (Paternity higher)","Equal"))</f>
        <v>Yes</v>
      </c>
    </row>
    <row r="216" customFormat="false" ht="15" hidden="false" customHeight="false" outlineLevel="0" collapsed="false">
      <c r="A216" s="5" t="str">
        <f aca="false">'Source Data'!A213</f>
        <v>Birchbox</v>
      </c>
      <c r="B216" s="5" t="str">
        <f aca="false">'Source Data'!B213</f>
        <v>Technology: Consumer Internet</v>
      </c>
      <c r="C216" s="6" t="n">
        <f aca="false">'Source Data'!C213</f>
        <v>14</v>
      </c>
      <c r="D216" s="6" t="n">
        <f aca="false">'Source Data'!E213</f>
        <v>12</v>
      </c>
      <c r="E216" s="6" t="n">
        <f aca="false">IFERROR(N(C216)-N(D216),"")</f>
        <v>2</v>
      </c>
      <c r="F216" s="7" t="str">
        <f aca="false">IF(E216&gt;0,"Yes",IF(E216&lt;0,"No (Paternity higher)","Equal"))</f>
        <v>Yes</v>
      </c>
    </row>
    <row r="217" customFormat="false" ht="15" hidden="false" customHeight="false" outlineLevel="0" collapsed="false">
      <c r="A217" s="5" t="str">
        <f aca="false">'Source Data'!A214</f>
        <v>Box</v>
      </c>
      <c r="B217" s="5" t="str">
        <f aca="false">'Source Data'!B214</f>
        <v>Technology: Consumer Internet</v>
      </c>
      <c r="C217" s="6" t="n">
        <f aca="false">'Source Data'!C214</f>
        <v>18</v>
      </c>
      <c r="D217" s="6" t="n">
        <f aca="false">'Source Data'!E214</f>
        <v>12</v>
      </c>
      <c r="E217" s="6" t="n">
        <f aca="false">IFERROR(N(C217)-N(D217),"")</f>
        <v>6</v>
      </c>
      <c r="F217" s="7" t="str">
        <f aca="false">IF(E217&gt;0,"Yes",IF(E217&lt;0,"No (Paternity higher)","Equal"))</f>
        <v>Yes</v>
      </c>
    </row>
    <row r="218" customFormat="false" ht="15" hidden="false" customHeight="false" outlineLevel="0" collapsed="false">
      <c r="A218" s="5" t="str">
        <f aca="false">'Source Data'!A215</f>
        <v>eBay</v>
      </c>
      <c r="B218" s="5" t="str">
        <f aca="false">'Source Data'!B215</f>
        <v>Technology: Consumer Internet</v>
      </c>
      <c r="C218" s="6" t="n">
        <f aca="false">'Source Data'!C215</f>
        <v>12</v>
      </c>
      <c r="D218" s="6" t="n">
        <f aca="false">'Source Data'!E215</f>
        <v>12</v>
      </c>
      <c r="E218" s="6" t="n">
        <f aca="false">IFERROR(N(C218)-N(D218),"")</f>
        <v>0</v>
      </c>
      <c r="F218" s="7" t="str">
        <f aca="false">IF(E218&gt;0,"Yes",IF(E218&lt;0,"No (Paternity higher)","Equal"))</f>
        <v>Equal</v>
      </c>
    </row>
    <row r="219" customFormat="false" ht="15" hidden="false" customHeight="false" outlineLevel="0" collapsed="false">
      <c r="A219" s="5" t="str">
        <f aca="false">'Source Data'!A216</f>
        <v>Glassdoor</v>
      </c>
      <c r="B219" s="5" t="str">
        <f aca="false">'Source Data'!B216</f>
        <v>Technology: Consumer Internet</v>
      </c>
      <c r="C219" s="6" t="n">
        <f aca="false">'Source Data'!C216</f>
        <v>20</v>
      </c>
      <c r="D219" s="6" t="n">
        <f aca="false">'Source Data'!E216</f>
        <v>12</v>
      </c>
      <c r="E219" s="6" t="n">
        <f aca="false">IFERROR(N(C219)-N(D219),"")</f>
        <v>8</v>
      </c>
      <c r="F219" s="7" t="str">
        <f aca="false">IF(E219&gt;0,"Yes",IF(E219&lt;0,"No (Paternity higher)","Equal"))</f>
        <v>Yes</v>
      </c>
    </row>
    <row r="220" customFormat="false" ht="15" hidden="false" customHeight="false" outlineLevel="0" collapsed="false">
      <c r="A220" s="5" t="str">
        <f aca="false">'Source Data'!A217</f>
        <v>Google</v>
      </c>
      <c r="B220" s="5" t="str">
        <f aca="false">'Source Data'!B217</f>
        <v>Technology: Consumer Internet</v>
      </c>
      <c r="C220" s="6" t="n">
        <f aca="false">'Source Data'!C217</f>
        <v>24</v>
      </c>
      <c r="D220" s="6" t="n">
        <f aca="false">'Source Data'!E217</f>
        <v>18</v>
      </c>
      <c r="E220" s="6" t="n">
        <f aca="false">IFERROR(N(C220)-N(D220),"")</f>
        <v>6</v>
      </c>
      <c r="F220" s="7" t="str">
        <f aca="false">IF(E220&gt;0,"Yes",IF(E220&lt;0,"No (Paternity higher)","Equal"))</f>
        <v>Yes</v>
      </c>
    </row>
    <row r="221" customFormat="false" ht="15" hidden="false" customHeight="false" outlineLevel="0" collapsed="false">
      <c r="A221" s="5" t="str">
        <f aca="false">'Source Data'!A218</f>
        <v>Indeed</v>
      </c>
      <c r="B221" s="5" t="str">
        <f aca="false">'Source Data'!B218</f>
        <v>Technology: Consumer Internet</v>
      </c>
      <c r="C221" s="6" t="n">
        <f aca="false">'Source Data'!C218</f>
        <v>16</v>
      </c>
      <c r="D221" s="6" t="n">
        <f aca="false">'Source Data'!E218</f>
        <v>16</v>
      </c>
      <c r="E221" s="6" t="n">
        <f aca="false">IFERROR(N(C221)-N(D221),"")</f>
        <v>0</v>
      </c>
      <c r="F221" s="7" t="str">
        <f aca="false">IF(E221&gt;0,"Yes",IF(E221&lt;0,"No (Paternity higher)","Equal"))</f>
        <v>Equal</v>
      </c>
    </row>
    <row r="222" customFormat="false" ht="15" hidden="false" customHeight="false" outlineLevel="0" collapsed="false">
      <c r="A222" s="5" t="str">
        <f aca="false">'Source Data'!A219</f>
        <v>LinkedIn</v>
      </c>
      <c r="B222" s="5" t="str">
        <f aca="false">'Source Data'!B219</f>
        <v>Technology: Consumer Internet</v>
      </c>
      <c r="C222" s="6" t="n">
        <f aca="false">'Source Data'!C219</f>
        <v>20</v>
      </c>
      <c r="D222" s="6" t="n">
        <f aca="false">'Source Data'!E219</f>
        <v>12</v>
      </c>
      <c r="E222" s="6" t="n">
        <f aca="false">IFERROR(N(C222)-N(D222),"")</f>
        <v>8</v>
      </c>
      <c r="F222" s="7" t="str">
        <f aca="false">IF(E222&gt;0,"Yes",IF(E222&lt;0,"No (Paternity higher)","Equal"))</f>
        <v>Yes</v>
      </c>
    </row>
    <row r="223" customFormat="false" ht="15" hidden="false" customHeight="false" outlineLevel="0" collapsed="false">
      <c r="A223" s="5" t="str">
        <f aca="false">'Source Data'!A220</f>
        <v>Tinder</v>
      </c>
      <c r="B223" s="5" t="str">
        <f aca="false">'Source Data'!B220</f>
        <v>Technology: Consumer Internet</v>
      </c>
      <c r="C223" s="6" t="n">
        <f aca="false">'Source Data'!C220</f>
        <v>18</v>
      </c>
      <c r="D223" s="6" t="n">
        <f aca="false">'Source Data'!E220</f>
        <v>18</v>
      </c>
      <c r="E223" s="6" t="n">
        <f aca="false">IFERROR(N(C223)-N(D223),"")</f>
        <v>0</v>
      </c>
      <c r="F223" s="7" t="str">
        <f aca="false">IF(E223&gt;0,"Yes",IF(E223&lt;0,"No (Paternity higher)","Equal"))</f>
        <v>Equal</v>
      </c>
    </row>
    <row r="224" customFormat="false" ht="15" hidden="false" customHeight="false" outlineLevel="0" collapsed="false">
      <c r="A224" s="5" t="str">
        <f aca="false">'Source Data'!A221</f>
        <v>Uber</v>
      </c>
      <c r="B224" s="5" t="str">
        <f aca="false">'Source Data'!B221</f>
        <v>Technology: Consumer Internet</v>
      </c>
      <c r="C224" s="6" t="n">
        <f aca="false">'Source Data'!C221</f>
        <v>18</v>
      </c>
      <c r="D224" s="6" t="n">
        <f aca="false">'Source Data'!E221</f>
        <v>18</v>
      </c>
      <c r="E224" s="6" t="n">
        <f aca="false">IFERROR(N(C224)-N(D224),"")</f>
        <v>0</v>
      </c>
      <c r="F224" s="7" t="str">
        <f aca="false">IF(E224&gt;0,"Yes",IF(E224&lt;0,"No (Paternity higher)","Equal"))</f>
        <v>Equal</v>
      </c>
    </row>
    <row r="225" customFormat="false" ht="15" hidden="false" customHeight="false" outlineLevel="0" collapsed="false">
      <c r="A225" s="5" t="str">
        <f aca="false">'Source Data'!A222</f>
        <v>FIS Global</v>
      </c>
      <c r="B225" s="5" t="str">
        <f aca="false">'Source Data'!B222</f>
        <v>Technology: Financial Services</v>
      </c>
      <c r="C225" s="6" t="n">
        <f aca="false">'Source Data'!C222</f>
        <v>6</v>
      </c>
      <c r="D225" s="6" t="n">
        <f aca="false">'Source Data'!E222</f>
        <v>6</v>
      </c>
      <c r="E225" s="6" t="n">
        <f aca="false">IFERROR(N(C225)-N(D225),"")</f>
        <v>0</v>
      </c>
      <c r="F225" s="7" t="str">
        <f aca="false">IF(E225&gt;0,"Yes",IF(E225&lt;0,"No (Paternity higher)","Equal"))</f>
        <v>Equal</v>
      </c>
    </row>
    <row r="226" customFormat="false" ht="15" hidden="false" customHeight="false" outlineLevel="0" collapsed="false">
      <c r="A226" s="5" t="str">
        <f aca="false">'Source Data'!A223</f>
        <v>Jack Henry</v>
      </c>
      <c r="B226" s="5" t="str">
        <f aca="false">'Source Data'!B223</f>
        <v>Technology: Financial Services</v>
      </c>
      <c r="C226" s="6" t="n">
        <f aca="false">'Source Data'!C223</f>
        <v>8</v>
      </c>
      <c r="D226" s="6" t="n">
        <f aca="false">'Source Data'!E223</f>
        <v>2</v>
      </c>
      <c r="E226" s="6" t="n">
        <f aca="false">IFERROR(N(C226)-N(D226),"")</f>
        <v>6</v>
      </c>
      <c r="F226" s="7" t="str">
        <f aca="false">IF(E226&gt;0,"Yes",IF(E226&lt;0,"No (Paternity higher)","Equal"))</f>
        <v>Yes</v>
      </c>
    </row>
    <row r="227" customFormat="false" ht="15" hidden="false" customHeight="false" outlineLevel="0" collapsed="false">
      <c r="A227" s="5" t="str">
        <f aca="false">'Source Data'!A224</f>
        <v>Personal Capital</v>
      </c>
      <c r="B227" s="5" t="str">
        <f aca="false">'Source Data'!B224</f>
        <v>Technology: Financial Services</v>
      </c>
      <c r="C227" s="6" t="n">
        <f aca="false">'Source Data'!C224</f>
        <v>2</v>
      </c>
      <c r="D227" s="6" t="n">
        <f aca="false">'Source Data'!E224</f>
        <v>6</v>
      </c>
      <c r="E227" s="6" t="n">
        <f aca="false">IFERROR(N(C227)-N(D227),"")</f>
        <v>-4</v>
      </c>
      <c r="F227" s="7" t="str">
        <f aca="false">IF(E227&gt;0,"Yes",IF(E227&lt;0,"No (Paternity higher)","Equal"))</f>
        <v>No (Paternity higher)</v>
      </c>
    </row>
    <row r="228" customFormat="false" ht="15" hidden="false" customHeight="false" outlineLevel="0" collapsed="false">
      <c r="A228" s="5" t="str">
        <f aca="false">'Source Data'!A225</f>
        <v>Zwift</v>
      </c>
      <c r="B228" s="5" t="str">
        <f aca="false">'Source Data'!B225</f>
        <v>Technology: Gaming</v>
      </c>
      <c r="C228" s="6" t="n">
        <f aca="false">'Source Data'!C225</f>
        <v>12</v>
      </c>
      <c r="D228" s="6" t="n">
        <f aca="false">'Source Data'!E225</f>
        <v>12</v>
      </c>
      <c r="E228" s="6" t="n">
        <f aca="false">IFERROR(N(C228)-N(D228),"")</f>
        <v>0</v>
      </c>
      <c r="F228" s="7" t="str">
        <f aca="false">IF(E228&gt;0,"Yes",IF(E228&lt;0,"No (Paternity higher)","Equal"))</f>
        <v>Equal</v>
      </c>
    </row>
    <row r="229" customFormat="false" ht="15" hidden="false" customHeight="false" outlineLevel="0" collapsed="false">
      <c r="A229" s="5" t="str">
        <f aca="false">'Source Data'!A226</f>
        <v>Zynga</v>
      </c>
      <c r="B229" s="5" t="str">
        <f aca="false">'Source Data'!B226</f>
        <v>Technology: Gaming</v>
      </c>
      <c r="C229" s="6" t="n">
        <f aca="false">'Source Data'!C226</f>
        <v>26</v>
      </c>
      <c r="D229" s="6" t="n">
        <f aca="false">'Source Data'!E226</f>
        <v>18</v>
      </c>
      <c r="E229" s="6" t="n">
        <f aca="false">IFERROR(N(C229)-N(D229),"")</f>
        <v>8</v>
      </c>
      <c r="F229" s="7" t="str">
        <f aca="false">IF(E229&gt;0,"Yes",IF(E229&lt;0,"No (Paternity higher)","Equal"))</f>
        <v>Yes</v>
      </c>
    </row>
    <row r="230" customFormat="false" ht="15" hidden="false" customHeight="false" outlineLevel="0" collapsed="false">
      <c r="A230" s="5" t="str">
        <f aca="false">'Source Data'!A227</f>
        <v>Apple</v>
      </c>
      <c r="B230" s="5" t="str">
        <f aca="false">'Source Data'!B227</f>
        <v>Technology: Manufacturing</v>
      </c>
      <c r="C230" s="6" t="n">
        <f aca="false">'Source Data'!C227</f>
        <v>14</v>
      </c>
      <c r="D230" s="6" t="n">
        <f aca="false">'Source Data'!E227</f>
        <v>4</v>
      </c>
      <c r="E230" s="6" t="n">
        <f aca="false">IFERROR(N(C230)-N(D230),"")</f>
        <v>10</v>
      </c>
      <c r="F230" s="7" t="str">
        <f aca="false">IF(E230&gt;0,"Yes",IF(E230&lt;0,"No (Paternity higher)","Equal"))</f>
        <v>Yes</v>
      </c>
    </row>
    <row r="231" customFormat="false" ht="15" hidden="false" customHeight="false" outlineLevel="0" collapsed="false">
      <c r="A231" s="5" t="str">
        <f aca="false">'Source Data'!A228</f>
        <v>Cisco</v>
      </c>
      <c r="B231" s="5" t="str">
        <f aca="false">'Source Data'!B228</f>
        <v>Technology: Manufacturing</v>
      </c>
      <c r="C231" s="6" t="n">
        <f aca="false">'Source Data'!C228</f>
        <v>13</v>
      </c>
      <c r="D231" s="6" t="n">
        <f aca="false">'Source Data'!E228</f>
        <v>0</v>
      </c>
      <c r="E231" s="6" t="n">
        <f aca="false">IFERROR(N(C231)-N(D231),"")</f>
        <v>13</v>
      </c>
      <c r="F231" s="7" t="str">
        <f aca="false">IF(E231&gt;0,"Yes",IF(E231&lt;0,"No (Paternity higher)","Equal"))</f>
        <v>Yes</v>
      </c>
    </row>
    <row r="232" customFormat="false" ht="15" hidden="false" customHeight="false" outlineLevel="0" collapsed="false">
      <c r="A232" s="5" t="str">
        <f aca="false">'Source Data'!A229</f>
        <v>Dell Technologies</v>
      </c>
      <c r="B232" s="5" t="str">
        <f aca="false">'Source Data'!B229</f>
        <v>Technology: Manufacturing</v>
      </c>
      <c r="C232" s="6" t="n">
        <f aca="false">'Source Data'!C229</f>
        <v>12</v>
      </c>
      <c r="D232" s="6" t="n">
        <f aca="false">'Source Data'!E229</f>
        <v>12</v>
      </c>
      <c r="E232" s="6" t="n">
        <f aca="false">IFERROR(N(C232)-N(D232),"")</f>
        <v>0</v>
      </c>
      <c r="F232" s="7" t="str">
        <f aca="false">IF(E232&gt;0,"Yes",IF(E232&lt;0,"No (Paternity higher)","Equal"))</f>
        <v>Equal</v>
      </c>
    </row>
    <row r="233" customFormat="false" ht="15" hidden="false" customHeight="false" outlineLevel="0" collapsed="false">
      <c r="A233" s="5" t="str">
        <f aca="false">'Source Data'!A230</f>
        <v>Garmin</v>
      </c>
      <c r="B233" s="5" t="str">
        <f aca="false">'Source Data'!B230</f>
        <v>Technology: Manufacturing</v>
      </c>
      <c r="C233" s="6" t="n">
        <f aca="false">'Source Data'!C230</f>
        <v>2</v>
      </c>
      <c r="D233" s="6" t="n">
        <f aca="false">'Source Data'!E230</f>
        <v>0</v>
      </c>
      <c r="E233" s="6" t="n">
        <f aca="false">IFERROR(N(C233)-N(D233),"")</f>
        <v>2</v>
      </c>
      <c r="F233" s="7" t="str">
        <f aca="false">IF(E233&gt;0,"Yes",IF(E233&lt;0,"No (Paternity higher)","Equal"))</f>
        <v>Yes</v>
      </c>
    </row>
    <row r="234" customFormat="false" ht="15" hidden="false" customHeight="false" outlineLevel="0" collapsed="false">
      <c r="A234" s="5" t="str">
        <f aca="false">'Source Data'!A231</f>
        <v>IBM</v>
      </c>
      <c r="B234" s="5" t="str">
        <f aca="false">'Source Data'!B231</f>
        <v>Technology: Manufacturing</v>
      </c>
      <c r="C234" s="6" t="n">
        <f aca="false">'Source Data'!C231</f>
        <v>12</v>
      </c>
      <c r="D234" s="6" t="n">
        <f aca="false">'Source Data'!E231</f>
        <v>12</v>
      </c>
      <c r="E234" s="6" t="n">
        <f aca="false">IFERROR(N(C234)-N(D234),"")</f>
        <v>0</v>
      </c>
      <c r="F234" s="7" t="str">
        <f aca="false">IF(E234&gt;0,"Yes",IF(E234&lt;0,"No (Paternity higher)","Equal"))</f>
        <v>Equal</v>
      </c>
    </row>
    <row r="235" customFormat="false" ht="15" hidden="false" customHeight="false" outlineLevel="0" collapsed="false">
      <c r="A235" s="5" t="str">
        <f aca="false">'Source Data'!A232</f>
        <v>Intel Corporation</v>
      </c>
      <c r="B235" s="5" t="str">
        <f aca="false">'Source Data'!B232</f>
        <v>Technology: Manufacturing</v>
      </c>
      <c r="C235" s="6" t="n">
        <f aca="false">'Source Data'!C232</f>
        <v>8</v>
      </c>
      <c r="D235" s="6" t="n">
        <f aca="false">'Source Data'!E232</f>
        <v>7.5</v>
      </c>
      <c r="E235" s="6" t="n">
        <f aca="false">IFERROR(N(C235)-N(D235),"")</f>
        <v>0.5</v>
      </c>
      <c r="F235" s="7" t="str">
        <f aca="false">IF(E235&gt;0,"Yes",IF(E235&lt;0,"No (Paternity higher)","Equal"))</f>
        <v>Yes</v>
      </c>
    </row>
    <row r="236" customFormat="false" ht="15" hidden="false" customHeight="false" outlineLevel="0" collapsed="false">
      <c r="A236" s="5" t="str">
        <f aca="false">'Source Data'!A233</f>
        <v>Western Digital</v>
      </c>
      <c r="B236" s="5" t="str">
        <f aca="false">'Source Data'!B233</f>
        <v>Technology: Manufacturing</v>
      </c>
      <c r="C236" s="6" t="n">
        <f aca="false">'Source Data'!C233</f>
        <v>8</v>
      </c>
      <c r="D236" s="6" t="n">
        <f aca="false">'Source Data'!E233</f>
        <v>12</v>
      </c>
      <c r="E236" s="6" t="n">
        <f aca="false">IFERROR(N(C236)-N(D236),"")</f>
        <v>-4</v>
      </c>
      <c r="F236" s="7" t="str">
        <f aca="false">IF(E236&gt;0,"Yes",IF(E236&lt;0,"No (Paternity higher)","Equal"))</f>
        <v>No (Paternity higher)</v>
      </c>
    </row>
    <row r="237" customFormat="false" ht="15" hidden="false" customHeight="false" outlineLevel="0" collapsed="false">
      <c r="A237" s="5" t="str">
        <f aca="false">'Source Data'!A234</f>
        <v>VISA</v>
      </c>
      <c r="B237" s="5" t="str">
        <f aca="false">'Source Data'!B234</f>
        <v>Technology: Payments</v>
      </c>
      <c r="C237" s="6" t="n">
        <f aca="false">'Source Data'!C234</f>
        <v>13</v>
      </c>
      <c r="D237" s="6" t="n">
        <f aca="false">'Source Data'!E234</f>
        <v>10</v>
      </c>
      <c r="E237" s="6" t="n">
        <f aca="false">IFERROR(N(C237)-N(D237),"")</f>
        <v>3</v>
      </c>
      <c r="F237" s="7" t="str">
        <f aca="false">IF(E237&gt;0,"Yes",IF(E237&lt;0,"No (Paternity higher)","Equal"))</f>
        <v>Yes</v>
      </c>
    </row>
    <row r="238" customFormat="false" ht="15" hidden="false" customHeight="false" outlineLevel="0" collapsed="false">
      <c r="A238" s="5" t="str">
        <f aca="false">'Source Data'!A235</f>
        <v>Waters Corporation</v>
      </c>
      <c r="B238" s="5" t="str">
        <f aca="false">'Source Data'!B235</f>
        <v>Technology: Research</v>
      </c>
      <c r="C238" s="6" t="n">
        <f aca="false">'Source Data'!C235</f>
        <v>8</v>
      </c>
      <c r="D238" s="6" t="n">
        <f aca="false">'Source Data'!E235</f>
        <v>1</v>
      </c>
      <c r="E238" s="6" t="n">
        <f aca="false">IFERROR(N(C238)-N(D238),"")</f>
        <v>7</v>
      </c>
      <c r="F238" s="7" t="str">
        <f aca="false">IF(E238&gt;0,"Yes",IF(E238&lt;0,"No (Paternity higher)","Equal"))</f>
        <v>Yes</v>
      </c>
    </row>
    <row r="239" customFormat="false" ht="15" hidden="false" customHeight="false" outlineLevel="0" collapsed="false">
      <c r="A239" s="5" t="str">
        <f aca="false">'Source Data'!A236</f>
        <v>Forcepoint</v>
      </c>
      <c r="B239" s="5" t="str">
        <f aca="false">'Source Data'!B236</f>
        <v>Technology: Security</v>
      </c>
      <c r="C239" s="6" t="n">
        <f aca="false">'Source Data'!C236</f>
        <v>12</v>
      </c>
      <c r="D239" s="6" t="n">
        <f aca="false">'Source Data'!E236</f>
        <v>6</v>
      </c>
      <c r="E239" s="6" t="n">
        <f aca="false">IFERROR(N(C239)-N(D239),"")</f>
        <v>6</v>
      </c>
      <c r="F239" s="7" t="str">
        <f aca="false">IF(E239&gt;0,"Yes",IF(E239&lt;0,"No (Paternity higher)","Equal"))</f>
        <v>Yes</v>
      </c>
    </row>
    <row r="240" customFormat="false" ht="15" hidden="false" customHeight="false" outlineLevel="0" collapsed="false">
      <c r="A240" s="5" t="str">
        <f aca="false">'Source Data'!A237</f>
        <v>Tanium</v>
      </c>
      <c r="B240" s="5" t="str">
        <f aca="false">'Source Data'!B237</f>
        <v>Technology: Security</v>
      </c>
      <c r="C240" s="6" t="n">
        <f aca="false">'Source Data'!C237</f>
        <v>16</v>
      </c>
      <c r="D240" s="6" t="n">
        <f aca="false">'Source Data'!E237</f>
        <v>8</v>
      </c>
      <c r="E240" s="6" t="n">
        <f aca="false">IFERROR(N(C240)-N(D240),"")</f>
        <v>8</v>
      </c>
      <c r="F240" s="7" t="str">
        <f aca="false">IF(E240&gt;0,"Yes",IF(E240&lt;0,"No (Paternity higher)","Equal"))</f>
        <v>Yes</v>
      </c>
    </row>
    <row r="241" customFormat="false" ht="15" hidden="false" customHeight="false" outlineLevel="0" collapsed="false">
      <c r="A241" s="5" t="str">
        <f aca="false">'Source Data'!A238</f>
        <v>Addepar</v>
      </c>
      <c r="B241" s="5" t="str">
        <f aca="false">'Source Data'!B238</f>
        <v>Technology: Software</v>
      </c>
      <c r="C241" s="6" t="n">
        <f aca="false">'Source Data'!C238</f>
        <v>19</v>
      </c>
      <c r="D241" s="6" t="n">
        <f aca="false">'Source Data'!E238</f>
        <v>10</v>
      </c>
      <c r="E241" s="6" t="n">
        <f aca="false">IFERROR(N(C241)-N(D241),"")</f>
        <v>9</v>
      </c>
      <c r="F241" s="7" t="str">
        <f aca="false">IF(E241&gt;0,"Yes",IF(E241&lt;0,"No (Paternity higher)","Equal"))</f>
        <v>Yes</v>
      </c>
    </row>
    <row r="242" customFormat="false" ht="15" hidden="false" customHeight="false" outlineLevel="0" collapsed="false">
      <c r="A242" s="5" t="str">
        <f aca="false">'Source Data'!A239</f>
        <v>Adobe Systems</v>
      </c>
      <c r="B242" s="5" t="str">
        <f aca="false">'Source Data'!B239</f>
        <v>Technology: Software</v>
      </c>
      <c r="C242" s="6" t="n">
        <f aca="false">'Source Data'!C239</f>
        <v>17</v>
      </c>
      <c r="D242" s="6" t="n">
        <f aca="false">'Source Data'!E239</f>
        <v>16</v>
      </c>
      <c r="E242" s="6" t="n">
        <f aca="false">IFERROR(N(C242)-N(D242),"")</f>
        <v>1</v>
      </c>
      <c r="F242" s="7" t="str">
        <f aca="false">IF(E242&gt;0,"Yes",IF(E242&lt;0,"No (Paternity higher)","Equal"))</f>
        <v>Yes</v>
      </c>
    </row>
    <row r="243" customFormat="false" ht="15" hidden="false" customHeight="false" outlineLevel="0" collapsed="false">
      <c r="A243" s="5" t="str">
        <f aca="false">'Source Data'!A240</f>
        <v>Appian</v>
      </c>
      <c r="B243" s="5" t="str">
        <f aca="false">'Source Data'!B240</f>
        <v>Technology: Software</v>
      </c>
      <c r="C243" s="6" t="n">
        <f aca="false">'Source Data'!C240</f>
        <v>16</v>
      </c>
      <c r="D243" s="6" t="n">
        <f aca="false">'Source Data'!E240</f>
        <v>12</v>
      </c>
      <c r="E243" s="6" t="n">
        <f aca="false">IFERROR(N(C243)-N(D243),"")</f>
        <v>4</v>
      </c>
      <c r="F243" s="7" t="str">
        <f aca="false">IF(E243&gt;0,"Yes",IF(E243&lt;0,"No (Paternity higher)","Equal"))</f>
        <v>Yes</v>
      </c>
    </row>
    <row r="244" customFormat="false" ht="15" hidden="false" customHeight="false" outlineLevel="0" collapsed="false">
      <c r="A244" s="5" t="str">
        <f aca="false">'Source Data'!A241</f>
        <v>Calabrio, Inc.</v>
      </c>
      <c r="B244" s="5" t="str">
        <f aca="false">'Source Data'!B241</f>
        <v>Technology: Software</v>
      </c>
      <c r="C244" s="6" t="n">
        <f aca="false">'Source Data'!C241</f>
        <v>3</v>
      </c>
      <c r="D244" s="6" t="n">
        <f aca="false">'Source Data'!E241</f>
        <v>0</v>
      </c>
      <c r="E244" s="6" t="n">
        <f aca="false">IFERROR(N(C244)-N(D244),"")</f>
        <v>3</v>
      </c>
      <c r="F244" s="7" t="str">
        <f aca="false">IF(E244&gt;0,"Yes",IF(E244&lt;0,"No (Paternity higher)","Equal"))</f>
        <v>Yes</v>
      </c>
    </row>
    <row r="245" customFormat="false" ht="15" hidden="false" customHeight="false" outlineLevel="0" collapsed="false">
      <c r="A245" s="5" t="str">
        <f aca="false">'Source Data'!A242</f>
        <v>Epic Systems</v>
      </c>
      <c r="B245" s="5" t="str">
        <f aca="false">'Source Data'!B242</f>
        <v>Technology: Software</v>
      </c>
      <c r="C245" s="6" t="n">
        <f aca="false">'Source Data'!C242</f>
        <v>2</v>
      </c>
      <c r="D245" s="6" t="n">
        <f aca="false">'Source Data'!E242</f>
        <v>2</v>
      </c>
      <c r="E245" s="6" t="n">
        <f aca="false">IFERROR(N(C245)-N(D245),"")</f>
        <v>0</v>
      </c>
      <c r="F245" s="7" t="str">
        <f aca="false">IF(E245&gt;0,"Yes",IF(E245&lt;0,"No (Paternity higher)","Equal"))</f>
        <v>Equal</v>
      </c>
    </row>
    <row r="246" customFormat="false" ht="15" hidden="false" customHeight="false" outlineLevel="0" collapsed="false">
      <c r="A246" s="5" t="str">
        <f aca="false">'Source Data'!A243</f>
        <v>FactSet</v>
      </c>
      <c r="B246" s="5" t="str">
        <f aca="false">'Source Data'!B243</f>
        <v>Technology: Software</v>
      </c>
      <c r="C246" s="6" t="n">
        <f aca="false">'Source Data'!C243</f>
        <v>16</v>
      </c>
      <c r="D246" s="6" t="n">
        <f aca="false">'Source Data'!E243</f>
        <v>4</v>
      </c>
      <c r="E246" s="6" t="n">
        <f aca="false">IFERROR(N(C246)-N(D246),"")</f>
        <v>12</v>
      </c>
      <c r="F246" s="7" t="str">
        <f aca="false">IF(E246&gt;0,"Yes",IF(E246&lt;0,"No (Paternity higher)","Equal"))</f>
        <v>Yes</v>
      </c>
    </row>
    <row r="247" customFormat="false" ht="15" hidden="false" customHeight="false" outlineLevel="0" collapsed="false">
      <c r="A247" s="5" t="str">
        <f aca="false">'Source Data'!A244</f>
        <v>GitHub</v>
      </c>
      <c r="B247" s="5" t="str">
        <f aca="false">'Source Data'!B244</f>
        <v>Technology: Software</v>
      </c>
      <c r="C247" s="6" t="n">
        <f aca="false">'Source Data'!C244</f>
        <v>20</v>
      </c>
      <c r="D247" s="6" t="n">
        <f aca="false">'Source Data'!E244</f>
        <v>20</v>
      </c>
      <c r="E247" s="6" t="n">
        <f aca="false">IFERROR(N(C247)-N(D247),"")</f>
        <v>0</v>
      </c>
      <c r="F247" s="7" t="str">
        <f aca="false">IF(E247&gt;0,"Yes",IF(E247&lt;0,"No (Paternity higher)","Equal"))</f>
        <v>Equal</v>
      </c>
    </row>
    <row r="248" customFormat="false" ht="15" hidden="false" customHeight="false" outlineLevel="0" collapsed="false">
      <c r="A248" s="5" t="str">
        <f aca="false">'Source Data'!A245</f>
        <v>Klaviyo</v>
      </c>
      <c r="B248" s="5" t="str">
        <f aca="false">'Source Data'!B245</f>
        <v>Technology: Software</v>
      </c>
      <c r="C248" s="6" t="n">
        <f aca="false">'Source Data'!C245</f>
        <v>16</v>
      </c>
      <c r="D248" s="6" t="n">
        <f aca="false">'Source Data'!E245</f>
        <v>16</v>
      </c>
      <c r="E248" s="6" t="n">
        <f aca="false">IFERROR(N(C248)-N(D248),"")</f>
        <v>0</v>
      </c>
      <c r="F248" s="7" t="str">
        <f aca="false">IF(E248&gt;0,"Yes",IF(E248&lt;0,"No (Paternity higher)","Equal"))</f>
        <v>Equal</v>
      </c>
    </row>
    <row r="249" customFormat="false" ht="15" hidden="false" customHeight="false" outlineLevel="0" collapsed="false">
      <c r="A249" s="5" t="str">
        <f aca="false">'Source Data'!A246</f>
        <v>Mindbody</v>
      </c>
      <c r="B249" s="5" t="str">
        <f aca="false">'Source Data'!B246</f>
        <v>Technology: Software</v>
      </c>
      <c r="C249" s="6" t="n">
        <f aca="false">'Source Data'!C246</f>
        <v>12</v>
      </c>
      <c r="D249" s="6" t="n">
        <f aca="false">'Source Data'!E246</f>
        <v>0</v>
      </c>
      <c r="E249" s="6" t="n">
        <f aca="false">IFERROR(N(C249)-N(D249),"")</f>
        <v>12</v>
      </c>
      <c r="F249" s="7" t="str">
        <f aca="false">IF(E249&gt;0,"Yes",IF(E249&lt;0,"No (Paternity higher)","Equal"))</f>
        <v>Yes</v>
      </c>
    </row>
    <row r="250" customFormat="false" ht="15" hidden="false" customHeight="false" outlineLevel="0" collapsed="false">
      <c r="A250" s="5" t="str">
        <f aca="false">'Source Data'!A247</f>
        <v>NexJ Systems Inc.</v>
      </c>
      <c r="B250" s="5" t="str">
        <f aca="false">'Source Data'!B247</f>
        <v>Technology: Software</v>
      </c>
      <c r="C250" s="6" t="n">
        <f aca="false">'Source Data'!C247</f>
        <v>13</v>
      </c>
      <c r="D250" s="6" t="n">
        <f aca="false">'Source Data'!E247</f>
        <v>13</v>
      </c>
      <c r="E250" s="6" t="n">
        <f aca="false">IFERROR(N(C250)-N(D250),"")</f>
        <v>0</v>
      </c>
      <c r="F250" s="7" t="str">
        <f aca="false">IF(E250&gt;0,"Yes",IF(E250&lt;0,"No (Paternity higher)","Equal"))</f>
        <v>Equal</v>
      </c>
    </row>
    <row r="251" customFormat="false" ht="15" hidden="false" customHeight="false" outlineLevel="0" collapsed="false">
      <c r="A251" s="5" t="str">
        <f aca="false">'Source Data'!A248</f>
        <v>Pegasystems Inc.</v>
      </c>
      <c r="B251" s="5" t="str">
        <f aca="false">'Source Data'!B248</f>
        <v>Technology: Software</v>
      </c>
      <c r="C251" s="6" t="n">
        <f aca="false">'Source Data'!C248</f>
        <v>12</v>
      </c>
      <c r="D251" s="6" t="n">
        <f aca="false">'Source Data'!E248</f>
        <v>4</v>
      </c>
      <c r="E251" s="6" t="n">
        <f aca="false">IFERROR(N(C251)-N(D251),"")</f>
        <v>8</v>
      </c>
      <c r="F251" s="7" t="str">
        <f aca="false">IF(E251&gt;0,"Yes",IF(E251&lt;0,"No (Paternity higher)","Equal"))</f>
        <v>Yes</v>
      </c>
    </row>
    <row r="252" customFormat="false" ht="15" hidden="false" customHeight="false" outlineLevel="0" collapsed="false">
      <c r="A252" s="5" t="str">
        <f aca="false">'Source Data'!A249</f>
        <v>Qualitest Group</v>
      </c>
      <c r="B252" s="5" t="str">
        <f aca="false">'Source Data'!B249</f>
        <v>Technology: Software</v>
      </c>
      <c r="C252" s="6" t="n">
        <f aca="false">'Source Data'!C249</f>
        <v>26</v>
      </c>
      <c r="D252" s="6" t="n">
        <f aca="false">'Source Data'!E249</f>
        <v>0</v>
      </c>
      <c r="E252" s="6" t="n">
        <f aca="false">IFERROR(N(C252)-N(D252),"")</f>
        <v>26</v>
      </c>
      <c r="F252" s="7" t="str">
        <f aca="false">IF(E252&gt;0,"Yes",IF(E252&lt;0,"No (Paternity higher)","Equal"))</f>
        <v>Yes</v>
      </c>
    </row>
    <row r="253" customFormat="false" ht="15" hidden="false" customHeight="false" outlineLevel="0" collapsed="false">
      <c r="A253" s="5" t="str">
        <f aca="false">'Source Data'!A250</f>
        <v>Salesforce</v>
      </c>
      <c r="B253" s="5" t="str">
        <f aca="false">'Source Data'!B250</f>
        <v>Technology: Software</v>
      </c>
      <c r="C253" s="6" t="n">
        <f aca="false">'Source Data'!C250</f>
        <v>26</v>
      </c>
      <c r="D253" s="6" t="n">
        <f aca="false">'Source Data'!E250</f>
        <v>26</v>
      </c>
      <c r="E253" s="6" t="n">
        <f aca="false">IFERROR(N(C253)-N(D253),"")</f>
        <v>0</v>
      </c>
      <c r="F253" s="7" t="str">
        <f aca="false">IF(E253&gt;0,"Yes",IF(E253&lt;0,"No (Paternity higher)","Equal"))</f>
        <v>Equal</v>
      </c>
    </row>
    <row r="254" customFormat="false" ht="15" hidden="false" customHeight="false" outlineLevel="0" collapsed="false">
      <c r="A254" s="5" t="str">
        <f aca="false">'Source Data'!A251</f>
        <v>ServiceNow</v>
      </c>
      <c r="B254" s="5" t="str">
        <f aca="false">'Source Data'!B251</f>
        <v>Technology: Software</v>
      </c>
      <c r="C254" s="6" t="n">
        <f aca="false">'Source Data'!C251</f>
        <v>20</v>
      </c>
      <c r="D254" s="6" t="n">
        <f aca="false">'Source Data'!E251</f>
        <v>12</v>
      </c>
      <c r="E254" s="6" t="n">
        <f aca="false">IFERROR(N(C254)-N(D254),"")</f>
        <v>8</v>
      </c>
      <c r="F254" s="7" t="str">
        <f aca="false">IF(E254&gt;0,"Yes",IF(E254&lt;0,"No (Paternity higher)","Equal"))</f>
        <v>Yes</v>
      </c>
    </row>
    <row r="255" customFormat="false" ht="15" hidden="false" customHeight="false" outlineLevel="0" collapsed="false">
      <c r="A255" s="5" t="str">
        <f aca="false">'Source Data'!A252</f>
        <v>Slack Technologies</v>
      </c>
      <c r="B255" s="5" t="str">
        <f aca="false">'Source Data'!B252</f>
        <v>Technology: Software</v>
      </c>
      <c r="C255" s="6" t="n">
        <f aca="false">'Source Data'!C252</f>
        <v>20</v>
      </c>
      <c r="D255" s="6" t="n">
        <f aca="false">'Source Data'!E252</f>
        <v>12</v>
      </c>
      <c r="E255" s="6" t="n">
        <f aca="false">IFERROR(N(C255)-N(D255),"")</f>
        <v>8</v>
      </c>
      <c r="F255" s="7" t="str">
        <f aca="false">IF(E255&gt;0,"Yes",IF(E255&lt;0,"No (Paternity higher)","Equal"))</f>
        <v>Yes</v>
      </c>
    </row>
    <row r="256" customFormat="false" ht="15" hidden="false" customHeight="false" outlineLevel="0" collapsed="false">
      <c r="A256" s="5" t="str">
        <f aca="false">'Source Data'!A253</f>
        <v>UKG</v>
      </c>
      <c r="B256" s="5" t="str">
        <f aca="false">'Source Data'!B253</f>
        <v>Technology: Software</v>
      </c>
      <c r="C256" s="6" t="n">
        <f aca="false">'Source Data'!C253</f>
        <v>12</v>
      </c>
      <c r="D256" s="6" t="n">
        <f aca="false">'Source Data'!E253</f>
        <v>4</v>
      </c>
      <c r="E256" s="6" t="n">
        <f aca="false">IFERROR(N(C256)-N(D256),"")</f>
        <v>8</v>
      </c>
      <c r="F256" s="7" t="str">
        <f aca="false">IF(E256&gt;0,"Yes",IF(E256&lt;0,"No (Paternity higher)","Equal"))</f>
        <v>Yes</v>
      </c>
    </row>
    <row r="257" customFormat="false" ht="15" hidden="false" customHeight="false" outlineLevel="0" collapsed="false">
      <c r="A257" s="5" t="str">
        <f aca="false">'Source Data'!A254</f>
        <v>Workiva</v>
      </c>
      <c r="B257" s="5" t="str">
        <f aca="false">'Source Data'!B254</f>
        <v>Technology: Software</v>
      </c>
      <c r="C257" s="6" t="n">
        <f aca="false">'Source Data'!C254</f>
        <v>12</v>
      </c>
      <c r="D257" s="6" t="n">
        <f aca="false">'Source Data'!E254</f>
        <v>12</v>
      </c>
      <c r="E257" s="6" t="n">
        <f aca="false">IFERROR(N(C257)-N(D257),"")</f>
        <v>0</v>
      </c>
      <c r="F257" s="7" t="str">
        <f aca="false">IF(E257&gt;0,"Yes",IF(E257&lt;0,"No (Paternity higher)","Equal"))</f>
        <v>Equal</v>
      </c>
    </row>
    <row r="258" customFormat="false" ht="15" hidden="false" customHeight="false" outlineLevel="0" collapsed="false">
      <c r="A258" s="5" t="str">
        <f aca="false">'Source Data'!A255</f>
        <v>Zendesk, Inc</v>
      </c>
      <c r="B258" s="5" t="str">
        <f aca="false">'Source Data'!B255</f>
        <v>Technology: Software</v>
      </c>
      <c r="C258" s="6" t="n">
        <f aca="false">'Source Data'!C255</f>
        <v>11</v>
      </c>
      <c r="D258" s="6" t="n">
        <f aca="false">'Source Data'!E255</f>
        <v>10.5</v>
      </c>
      <c r="E258" s="6" t="n">
        <f aca="false">IFERROR(N(C258)-N(D258),"")</f>
        <v>0.5</v>
      </c>
      <c r="F258" s="7" t="str">
        <f aca="false">IF(E258&gt;0,"Yes",IF(E258&lt;0,"No (Paternity higher)","Equal"))</f>
        <v>Yes</v>
      </c>
    </row>
    <row r="259" customFormat="false" ht="15" hidden="false" customHeight="false" outlineLevel="0" collapsed="false">
      <c r="A259" s="5" t="str">
        <f aca="false">'Source Data'!A256</f>
        <v>DISH</v>
      </c>
      <c r="B259" s="5" t="str">
        <f aca="false">'Source Data'!B256</f>
        <v>Telecommunications</v>
      </c>
      <c r="C259" s="6" t="n">
        <f aca="false">'Source Data'!C256</f>
        <v>0</v>
      </c>
      <c r="D259" s="6" t="n">
        <f aca="false">'Source Data'!E256</f>
        <v>0</v>
      </c>
      <c r="E259" s="6" t="n">
        <f aca="false">IFERROR(N(C259)-N(D259),"")</f>
        <v>0</v>
      </c>
      <c r="F259" s="7" t="str">
        <f aca="false">IF(E259&gt;0,"Yes",IF(E259&lt;0,"No (Paternity higher)","Equal"))</f>
        <v>Equal</v>
      </c>
    </row>
    <row r="260" customFormat="false" ht="15" hidden="false" customHeight="false" outlineLevel="0" collapsed="false">
      <c r="A260" s="5" t="str">
        <f aca="false">'Source Data'!A257</f>
        <v>Lumen</v>
      </c>
      <c r="B260" s="5" t="str">
        <f aca="false">'Source Data'!B257</f>
        <v>Telecommunications</v>
      </c>
      <c r="C260" s="6" t="n">
        <f aca="false">'Source Data'!C257</f>
        <v>12</v>
      </c>
      <c r="D260" s="6" t="n">
        <f aca="false">'Source Data'!E257</f>
        <v>6</v>
      </c>
      <c r="E260" s="6" t="n">
        <f aca="false">IFERROR(N(C260)-N(D260),"")</f>
        <v>6</v>
      </c>
      <c r="F260" s="7" t="str">
        <f aca="false">IF(E260&gt;0,"Yes",IF(E260&lt;0,"No (Paternity higher)","Equal"))</f>
        <v>Yes</v>
      </c>
    </row>
    <row r="261" customFormat="false" ht="15" hidden="false" customHeight="false" outlineLevel="0" collapsed="false">
      <c r="A261" s="5" t="str">
        <f aca="false">'Source Data'!A258</f>
        <v>Spectrum</v>
      </c>
      <c r="B261" s="5" t="str">
        <f aca="false">'Source Data'!B258</f>
        <v>Telecommunications</v>
      </c>
      <c r="C261" s="6" t="n">
        <f aca="false">'Source Data'!C258</f>
        <v>6</v>
      </c>
      <c r="D261" s="6" t="n">
        <f aca="false">'Source Data'!E258</f>
        <v>2</v>
      </c>
      <c r="E261" s="6" t="n">
        <f aca="false">IFERROR(N(C261)-N(D261),"")</f>
        <v>4</v>
      </c>
      <c r="F261" s="7" t="str">
        <f aca="false">IF(E261&gt;0,"Yes",IF(E261&lt;0,"No (Paternity higher)","Equal"))</f>
        <v>Yes</v>
      </c>
    </row>
    <row r="262" customFormat="false" ht="15" hidden="false" customHeight="false" outlineLevel="0" collapsed="false">
      <c r="A262" s="5" t="str">
        <f aca="false">'Source Data'!A259</f>
        <v>Verizon</v>
      </c>
      <c r="B262" s="5" t="str">
        <f aca="false">'Source Data'!B259</f>
        <v>Telecommunications</v>
      </c>
      <c r="C262" s="6" t="n">
        <f aca="false">'Source Data'!C259</f>
        <v>8</v>
      </c>
      <c r="D262" s="6" t="n">
        <f aca="false">'Source Data'!E259</f>
        <v>8</v>
      </c>
      <c r="E262" s="6" t="n">
        <f aca="false">IFERROR(N(C262)-N(D262),"")</f>
        <v>0</v>
      </c>
      <c r="F262" s="7" t="str">
        <f aca="false">IF(E262&gt;0,"Yes",IF(E262&lt;0,"No (Paternity higher)","Equal"))</f>
        <v>Equal</v>
      </c>
    </row>
    <row r="263" customFormat="false" ht="15" hidden="false" customHeight="false" outlineLevel="0" collapsed="false">
      <c r="A263" s="5" t="str">
        <f aca="false">'Source Data'!A260</f>
        <v>Viasat</v>
      </c>
      <c r="B263" s="5" t="str">
        <f aca="false">'Source Data'!B260</f>
        <v>Telecommunications</v>
      </c>
      <c r="C263" s="6" t="n">
        <f aca="false">'Source Data'!C260</f>
        <v>16</v>
      </c>
      <c r="D263" s="6" t="n">
        <f aca="false">'Source Data'!E260</f>
        <v>9</v>
      </c>
      <c r="E263" s="6" t="n">
        <f aca="false">IFERROR(N(C263)-N(D263),"")</f>
        <v>7</v>
      </c>
      <c r="F263" s="7" t="str">
        <f aca="false">IF(E263&gt;0,"Yes",IF(E263&lt;0,"No (Paternity higher)","Equal"))</f>
        <v>Yes</v>
      </c>
    </row>
    <row r="264" customFormat="false" ht="15" hidden="false" customHeight="false" outlineLevel="0" collapsed="false">
      <c r="A264" s="5" t="str">
        <f aca="false">'Source Data'!A261</f>
        <v>Zoom</v>
      </c>
      <c r="B264" s="5" t="str">
        <f aca="false">'Source Data'!B261</f>
        <v>Telecommunications</v>
      </c>
      <c r="C264" s="6" t="n">
        <f aca="false">'Source Data'!C261</f>
        <v>11</v>
      </c>
      <c r="D264" s="6" t="n">
        <f aca="false">'Source Data'!E261</f>
        <v>16</v>
      </c>
      <c r="E264" s="6" t="n">
        <f aca="false">IFERROR(N(C264)-N(D264),"")</f>
        <v>-5</v>
      </c>
      <c r="F264" s="7" t="str">
        <f aca="false">IF(E264&gt;0,"Yes",IF(E264&lt;0,"No (Paternity higher)","Equal"))</f>
        <v>No (Paternity higher)</v>
      </c>
    </row>
    <row r="265" customFormat="false" ht="15" hidden="false" customHeight="false" outlineLevel="0" collapsed="false">
      <c r="A265" s="5" t="str">
        <f aca="false">'Source Data'!A262</f>
        <v>FedEx</v>
      </c>
      <c r="B265" s="5" t="str">
        <f aca="false">'Source Data'!B262</f>
        <v>Transportation: Couriers &amp; Delivery</v>
      </c>
      <c r="C265" s="6" t="n">
        <f aca="false">'Source Data'!C262</f>
        <v>2</v>
      </c>
      <c r="D265" s="6" t="n">
        <f aca="false">'Source Data'!E262</f>
        <v>2</v>
      </c>
      <c r="E265" s="6" t="n">
        <f aca="false">IFERROR(N(C265)-N(D265),"")</f>
        <v>0</v>
      </c>
      <c r="F265" s="7" t="str">
        <f aca="false">IF(E265&gt;0,"Yes",IF(E265&lt;0,"No (Paternity higher)","Equal"))</f>
        <v>Equal</v>
      </c>
    </row>
    <row r="266" customFormat="false" ht="15" hidden="false" customHeight="false" outlineLevel="0" collapsed="false">
      <c r="A266" s="5" t="str">
        <f aca="false">'Source Data'!A263</f>
        <v>Instacart</v>
      </c>
      <c r="B266" s="5" t="str">
        <f aca="false">'Source Data'!B263</f>
        <v>Transportation: Couriers &amp; Delivery</v>
      </c>
      <c r="C266" s="6" t="n">
        <f aca="false">'Source Data'!C263</f>
        <v>16</v>
      </c>
      <c r="D266" s="6" t="n">
        <f aca="false">'Source Data'!E263</f>
        <v>12</v>
      </c>
      <c r="E266" s="6" t="n">
        <f aca="false">IFERROR(N(C266)-N(D266),"")</f>
        <v>4</v>
      </c>
      <c r="F266" s="7" t="str">
        <f aca="false">IF(E266&gt;0,"Yes",IF(E266&lt;0,"No (Paternity higher)","Equal"))</f>
        <v>Yes</v>
      </c>
    </row>
    <row r="267" customFormat="false" ht="15" hidden="false" customHeight="false" outlineLevel="0" collapsed="false">
      <c r="A267" s="5" t="str">
        <f aca="false">'Source Data'!A264</f>
        <v>C.H. Robinson</v>
      </c>
      <c r="B267" s="5" t="str">
        <f aca="false">'Source Data'!B264</f>
        <v>Transportation: Freight &amp; Logistics</v>
      </c>
      <c r="C267" s="6" t="n">
        <f aca="false">'Source Data'!C264</f>
        <v>2</v>
      </c>
      <c r="D267" s="6" t="n">
        <f aca="false">'Source Data'!E264</f>
        <v>2</v>
      </c>
      <c r="E267" s="6" t="n">
        <f aca="false">IFERROR(N(C267)-N(D267),"")</f>
        <v>0</v>
      </c>
      <c r="F267" s="7" t="str">
        <f aca="false">IF(E267&gt;0,"Yes",IF(E267&lt;0,"No (Paternity higher)","Equal"))</f>
        <v>Equal</v>
      </c>
    </row>
    <row r="268" customFormat="false" ht="15" hidden="false" customHeight="false" outlineLevel="0" collapsed="false">
      <c r="A268" s="5" t="str">
        <f aca="false">'Source Data'!A265</f>
        <v>Virgin Hyperloop One</v>
      </c>
      <c r="B268" s="5" t="str">
        <f aca="false">'Source Data'!B265</f>
        <v>Transportation: Rail</v>
      </c>
      <c r="C268" s="6" t="n">
        <f aca="false">'Source Data'!C265</f>
        <v>16</v>
      </c>
      <c r="D268" s="6" t="n">
        <f aca="false">'Source Data'!E265</f>
        <v>16</v>
      </c>
      <c r="E268" s="6" t="n">
        <f aca="false">IFERROR(N(C268)-N(D268),"")</f>
        <v>0</v>
      </c>
      <c r="F268" s="7" t="str">
        <f aca="false">IF(E268&gt;0,"Yes",IF(E268&lt;0,"No (Paternity higher)","Equal"))</f>
        <v>Equal</v>
      </c>
    </row>
    <row r="269" customFormat="false" ht="15" hidden="false" customHeight="false" outlineLevel="0" collapsed="false">
      <c r="A269" s="5" t="str">
        <f aca="false">'Source Data'!A266</f>
        <v>ClassPass</v>
      </c>
      <c r="B269" s="5" t="str">
        <f aca="false">'Source Data'!B266</f>
        <v>Wellness &amp; Fitness</v>
      </c>
      <c r="C269" s="6" t="n">
        <f aca="false">'Source Data'!C266</f>
        <v>14</v>
      </c>
      <c r="D269" s="6" t="n">
        <f aca="false">'Source Data'!E266</f>
        <v>4</v>
      </c>
      <c r="E269" s="6" t="n">
        <f aca="false">IFERROR(N(C269)-N(D269),"")</f>
        <v>10</v>
      </c>
      <c r="F269" s="7" t="str">
        <f aca="false">IF(E269&gt;0,"Yes",IF(E269&lt;0,"No (Paternity higher)","Equal"))</f>
        <v>Yes</v>
      </c>
    </row>
    <row r="270" customFormat="false" ht="15" hidden="false" customHeight="false" outlineLevel="0" collapsed="false">
      <c r="A270" s="5" t="str">
        <f aca="false">'Source Data'!A267</f>
        <v>Sysco</v>
      </c>
      <c r="B270" s="5" t="str">
        <f aca="false">'Source Data'!B267</f>
        <v>Wholesale</v>
      </c>
      <c r="C270" s="6" t="n">
        <f aca="false">'Source Data'!C267</f>
        <v>6</v>
      </c>
      <c r="D270" s="6" t="n">
        <f aca="false">'Source Data'!E267</f>
        <v>0</v>
      </c>
      <c r="E270" s="6" t="n">
        <f aca="false">IFERROR(N(C270)-N(D270),"")</f>
        <v>6</v>
      </c>
      <c r="F270" s="7" t="str">
        <f aca="false">IF(E270&gt;0,"Yes",IF(E270&lt;0,"No (Paternity higher)","Equal"))</f>
        <v>Yes</v>
      </c>
    </row>
    <row r="271" customFormat="false" ht="15" hidden="false" customHeight="false" outlineLevel="0" collapsed="false">
      <c r="A271" s="5" t="str">
        <f aca="false">'Source Data'!A268</f>
        <v>US Foods</v>
      </c>
      <c r="B271" s="5" t="str">
        <f aca="false">'Source Data'!B268</f>
        <v>Wholesale</v>
      </c>
      <c r="C271" s="6" t="n">
        <f aca="false">'Source Data'!C268</f>
        <v>6</v>
      </c>
      <c r="D271" s="6" t="n">
        <f aca="false">'Source Data'!E268</f>
        <v>2</v>
      </c>
      <c r="E271" s="6" t="n">
        <f aca="false">IFERROR(N(C271)-N(D271),"")</f>
        <v>4</v>
      </c>
      <c r="F271" s="7" t="str">
        <f aca="false">IF(E271&gt;0,"Yes",IF(E271&lt;0,"No (Paternity higher)","Equal"))</f>
        <v>Yes</v>
      </c>
    </row>
    <row r="272" customFormat="false" ht="15" hidden="false" customHeight="false" outlineLevel="0" collapsed="false">
      <c r="A272" s="5" t="str">
        <f aca="false">'Source Data'!A269</f>
        <v>BerryDunn</v>
      </c>
      <c r="B272" s="5" t="str">
        <f aca="false">'Source Data'!B269</f>
        <v>Accounting Services</v>
      </c>
      <c r="C272" s="6" t="n">
        <f aca="false">'Source Data'!C269</f>
        <v>6</v>
      </c>
      <c r="D272" s="6" t="n">
        <f aca="false">'Source Data'!E269</f>
        <v>0</v>
      </c>
      <c r="E272" s="6" t="n">
        <f aca="false">IFERROR(N(C272)-N(D272),"")</f>
        <v>6</v>
      </c>
      <c r="F272" s="7" t="str">
        <f aca="false">IF(E272&gt;0,"Yes",IF(E272&lt;0,"No (Paternity higher)","Equal"))</f>
        <v>Yes</v>
      </c>
    </row>
    <row r="273" customFormat="false" ht="15" hidden="false" customHeight="false" outlineLevel="0" collapsed="false">
      <c r="A273" s="5" t="str">
        <f aca="false">'Source Data'!A270</f>
        <v>Crowe</v>
      </c>
      <c r="B273" s="5" t="str">
        <f aca="false">'Source Data'!B270</f>
        <v>Accounting Services</v>
      </c>
      <c r="C273" s="6" t="n">
        <f aca="false">'Source Data'!C270</f>
        <v>6</v>
      </c>
      <c r="D273" s="6" t="n">
        <f aca="false">'Source Data'!E270</f>
        <v>0</v>
      </c>
      <c r="E273" s="6" t="n">
        <f aca="false">IFERROR(N(C273)-N(D273),"")</f>
        <v>6</v>
      </c>
      <c r="F273" s="7" t="str">
        <f aca="false">IF(E273&gt;0,"Yes",IF(E273&lt;0,"No (Paternity higher)","Equal"))</f>
        <v>Yes</v>
      </c>
    </row>
    <row r="274" customFormat="false" ht="15" hidden="false" customHeight="false" outlineLevel="0" collapsed="false">
      <c r="A274" s="5" t="str">
        <f aca="false">'Source Data'!A271</f>
        <v>Eisneramper</v>
      </c>
      <c r="B274" s="5" t="str">
        <f aca="false">'Source Data'!B271</f>
        <v>Accounting Services</v>
      </c>
      <c r="C274" s="6" t="n">
        <f aca="false">'Source Data'!C271</f>
        <v>8</v>
      </c>
      <c r="D274" s="6" t="n">
        <f aca="false">'Source Data'!E271</f>
        <v>0</v>
      </c>
      <c r="E274" s="6" t="n">
        <f aca="false">IFERROR(N(C274)-N(D274),"")</f>
        <v>8</v>
      </c>
      <c r="F274" s="7" t="str">
        <f aca="false">IF(E274&gt;0,"Yes",IF(E274&lt;0,"No (Paternity higher)","Equal"))</f>
        <v>Yes</v>
      </c>
    </row>
    <row r="275" customFormat="false" ht="15" hidden="false" customHeight="false" outlineLevel="0" collapsed="false">
      <c r="A275" s="5" t="str">
        <f aca="false">'Source Data'!A272</f>
        <v>Fathom</v>
      </c>
      <c r="B275" s="5" t="str">
        <f aca="false">'Source Data'!B272</f>
        <v>Accounting Services</v>
      </c>
      <c r="C275" s="6" t="n">
        <f aca="false">'Source Data'!C272</f>
        <v>12</v>
      </c>
      <c r="D275" s="6" t="n">
        <f aca="false">'Source Data'!E272</f>
        <v>0</v>
      </c>
      <c r="E275" s="6" t="n">
        <f aca="false">IFERROR(N(C275)-N(D275),"")</f>
        <v>12</v>
      </c>
      <c r="F275" s="7" t="str">
        <f aca="false">IF(E275&gt;0,"Yes",IF(E275&lt;0,"No (Paternity higher)","Equal"))</f>
        <v>Yes</v>
      </c>
    </row>
    <row r="276" customFormat="false" ht="15" hidden="false" customHeight="false" outlineLevel="0" collapsed="false">
      <c r="A276" s="5" t="str">
        <f aca="false">'Source Data'!A273</f>
        <v>Kearney &amp; Company</v>
      </c>
      <c r="B276" s="5" t="str">
        <f aca="false">'Source Data'!B273</f>
        <v>Accounting Services</v>
      </c>
      <c r="C276" s="6" t="n">
        <f aca="false">'Source Data'!C273</f>
        <v>4</v>
      </c>
      <c r="D276" s="6" t="n">
        <f aca="false">'Source Data'!E273</f>
        <v>0</v>
      </c>
      <c r="E276" s="6" t="n">
        <f aca="false">IFERROR(N(C276)-N(D276),"")</f>
        <v>4</v>
      </c>
      <c r="F276" s="7" t="str">
        <f aca="false">IF(E276&gt;0,"Yes",IF(E276&lt;0,"No (Paternity higher)","Equal"))</f>
        <v>Yes</v>
      </c>
    </row>
    <row r="277" customFormat="false" ht="15" hidden="false" customHeight="false" outlineLevel="0" collapsed="false">
      <c r="A277" s="5" t="str">
        <f aca="false">'Source Data'!A274</f>
        <v>Marcum LLP</v>
      </c>
      <c r="B277" s="5" t="str">
        <f aca="false">'Source Data'!B274</f>
        <v>Accounting Services</v>
      </c>
      <c r="C277" s="6" t="n">
        <f aca="false">'Source Data'!C274</f>
        <v>8</v>
      </c>
      <c r="D277" s="6" t="n">
        <f aca="false">'Source Data'!E274</f>
        <v>0</v>
      </c>
      <c r="E277" s="6" t="n">
        <f aca="false">IFERROR(N(C277)-N(D277),"")</f>
        <v>8</v>
      </c>
      <c r="F277" s="7" t="str">
        <f aca="false">IF(E277&gt;0,"Yes",IF(E277&lt;0,"No (Paternity higher)","Equal"))</f>
        <v>Yes</v>
      </c>
    </row>
    <row r="278" customFormat="false" ht="15" hidden="false" customHeight="false" outlineLevel="0" collapsed="false">
      <c r="A278" s="5" t="str">
        <f aca="false">'Source Data'!A275</f>
        <v>Myers &amp; Stauffer LC</v>
      </c>
      <c r="B278" s="5" t="str">
        <f aca="false">'Source Data'!B275</f>
        <v>Accounting Services</v>
      </c>
      <c r="C278" s="6" t="n">
        <f aca="false">'Source Data'!C275</f>
        <v>8</v>
      </c>
      <c r="D278" s="6" t="n">
        <f aca="false">'Source Data'!E275</f>
        <v>0</v>
      </c>
      <c r="E278" s="6" t="n">
        <f aca="false">IFERROR(N(C278)-N(D278),"")</f>
        <v>8</v>
      </c>
      <c r="F278" s="7" t="str">
        <f aca="false">IF(E278&gt;0,"Yes",IF(E278&lt;0,"No (Paternity higher)","Equal"))</f>
        <v>Yes</v>
      </c>
    </row>
    <row r="279" customFormat="false" ht="15" hidden="false" customHeight="false" outlineLevel="0" collapsed="false">
      <c r="A279" s="5" t="str">
        <f aca="false">'Source Data'!A276</f>
        <v>Ryan LLC</v>
      </c>
      <c r="B279" s="5" t="str">
        <f aca="false">'Source Data'!B276</f>
        <v>Accounting Services</v>
      </c>
      <c r="C279" s="6" t="n">
        <f aca="false">'Source Data'!C276</f>
        <v>14</v>
      </c>
      <c r="D279" s="6" t="n">
        <f aca="false">'Source Data'!E276</f>
        <v>0</v>
      </c>
      <c r="E279" s="6" t="n">
        <f aca="false">IFERROR(N(C279)-N(D279),"")</f>
        <v>14</v>
      </c>
      <c r="F279" s="7" t="str">
        <f aca="false">IF(E279&gt;0,"Yes",IF(E279&lt;0,"No (Paternity higher)","Equal"))</f>
        <v>Yes</v>
      </c>
    </row>
    <row r="280" customFormat="false" ht="15" hidden="false" customHeight="false" outlineLevel="0" collapsed="false">
      <c r="A280" s="5" t="str">
        <f aca="false">'Source Data'!A277</f>
        <v>Acceleration Partners</v>
      </c>
      <c r="B280" s="5" t="str">
        <f aca="false">'Source Data'!B277</f>
        <v>Advertising</v>
      </c>
      <c r="C280" s="6" t="n">
        <f aca="false">'Source Data'!C277</f>
        <v>6</v>
      </c>
      <c r="D280" s="6" t="n">
        <f aca="false">'Source Data'!E277</f>
        <v>0</v>
      </c>
      <c r="E280" s="6" t="n">
        <f aca="false">IFERROR(N(C280)-N(D280),"")</f>
        <v>6</v>
      </c>
      <c r="F280" s="7" t="str">
        <f aca="false">IF(E280&gt;0,"Yes",IF(E280&lt;0,"No (Paternity higher)","Equal"))</f>
        <v>Yes</v>
      </c>
    </row>
    <row r="281" customFormat="false" ht="15" hidden="false" customHeight="false" outlineLevel="0" collapsed="false">
      <c r="A281" s="5" t="str">
        <f aca="false">'Source Data'!A278</f>
        <v>AdTheorent</v>
      </c>
      <c r="B281" s="5" t="str">
        <f aca="false">'Source Data'!B278</f>
        <v>Advertising</v>
      </c>
      <c r="C281" s="6" t="n">
        <f aca="false">'Source Data'!C278</f>
        <v>6</v>
      </c>
      <c r="D281" s="6" t="n">
        <f aca="false">'Source Data'!E278</f>
        <v>0</v>
      </c>
      <c r="E281" s="6" t="n">
        <f aca="false">IFERROR(N(C281)-N(D281),"")</f>
        <v>6</v>
      </c>
      <c r="F281" s="7" t="str">
        <f aca="false">IF(E281&gt;0,"Yes",IF(E281&lt;0,"No (Paternity higher)","Equal"))</f>
        <v>Yes</v>
      </c>
    </row>
    <row r="282" customFormat="false" ht="15" hidden="false" customHeight="false" outlineLevel="0" collapsed="false">
      <c r="A282" s="5" t="str">
        <f aca="false">'Source Data'!A279</f>
        <v>Affinion Group</v>
      </c>
      <c r="B282" s="5" t="str">
        <f aca="false">'Source Data'!B279</f>
        <v>Advertising</v>
      </c>
      <c r="C282" s="6" t="n">
        <f aca="false">'Source Data'!C279</f>
        <v>4</v>
      </c>
      <c r="D282" s="6" t="n">
        <f aca="false">'Source Data'!E279</f>
        <v>0</v>
      </c>
      <c r="E282" s="6" t="n">
        <f aca="false">IFERROR(N(C282)-N(D282),"")</f>
        <v>4</v>
      </c>
      <c r="F282" s="7" t="str">
        <f aca="false">IF(E282&gt;0,"Yes",IF(E282&lt;0,"No (Paternity higher)","Equal"))</f>
        <v>Yes</v>
      </c>
    </row>
    <row r="283" customFormat="false" ht="15" hidden="false" customHeight="false" outlineLevel="0" collapsed="false">
      <c r="A283" s="5" t="str">
        <f aca="false">'Source Data'!A280</f>
        <v>Ampersand</v>
      </c>
      <c r="B283" s="5" t="str">
        <f aca="false">'Source Data'!B280</f>
        <v>Advertising</v>
      </c>
      <c r="C283" s="6" t="n">
        <f aca="false">'Source Data'!C280</f>
        <v>12</v>
      </c>
      <c r="D283" s="6" t="n">
        <f aca="false">'Source Data'!E280</f>
        <v>0</v>
      </c>
      <c r="E283" s="6" t="n">
        <f aca="false">IFERROR(N(C283)-N(D283),"")</f>
        <v>12</v>
      </c>
      <c r="F283" s="7" t="str">
        <f aca="false">IF(E283&gt;0,"Yes",IF(E283&lt;0,"No (Paternity higher)","Equal"))</f>
        <v>Yes</v>
      </c>
    </row>
    <row r="284" customFormat="false" ht="15" hidden="false" customHeight="false" outlineLevel="0" collapsed="false">
      <c r="A284" s="5" t="str">
        <f aca="false">'Source Data'!A281</f>
        <v>Ansira</v>
      </c>
      <c r="B284" s="5" t="str">
        <f aca="false">'Source Data'!B281</f>
        <v>Advertising</v>
      </c>
      <c r="C284" s="6" t="n">
        <f aca="false">'Source Data'!C281</f>
        <v>12</v>
      </c>
      <c r="D284" s="6" t="n">
        <f aca="false">'Source Data'!E281</f>
        <v>0</v>
      </c>
      <c r="E284" s="6" t="n">
        <f aca="false">IFERROR(N(C284)-N(D284),"")</f>
        <v>12</v>
      </c>
      <c r="F284" s="7" t="str">
        <f aca="false">IF(E284&gt;0,"Yes",IF(E284&lt;0,"No (Paternity higher)","Equal"))</f>
        <v>Yes</v>
      </c>
    </row>
    <row r="285" customFormat="false" ht="15" hidden="false" customHeight="false" outlineLevel="0" collapsed="false">
      <c r="A285" s="5" t="str">
        <f aca="false">'Source Data'!A282</f>
        <v>BBDO</v>
      </c>
      <c r="B285" s="5" t="str">
        <f aca="false">'Source Data'!B282</f>
        <v>Advertising</v>
      </c>
      <c r="C285" s="6" t="n">
        <f aca="false">'Source Data'!C282</f>
        <v>3</v>
      </c>
      <c r="D285" s="6" t="n">
        <f aca="false">'Source Data'!E282</f>
        <v>0</v>
      </c>
      <c r="E285" s="6" t="n">
        <f aca="false">IFERROR(N(C285)-N(D285),"")</f>
        <v>3</v>
      </c>
      <c r="F285" s="7" t="str">
        <f aca="false">IF(E285&gt;0,"Yes",IF(E285&lt;0,"No (Paternity higher)","Equal"))</f>
        <v>Yes</v>
      </c>
    </row>
    <row r="286" customFormat="false" ht="15" hidden="false" customHeight="false" outlineLevel="0" collapsed="false">
      <c r="A286" s="5" t="str">
        <f aca="false">'Source Data'!A283</f>
        <v>Cares Pro LLC</v>
      </c>
      <c r="B286" s="5" t="str">
        <f aca="false">'Source Data'!B283</f>
        <v>Advertising</v>
      </c>
      <c r="C286" s="6" t="n">
        <f aca="false">'Source Data'!C283</f>
        <v>10</v>
      </c>
      <c r="D286" s="6" t="n">
        <f aca="false">'Source Data'!E283</f>
        <v>0</v>
      </c>
      <c r="E286" s="6" t="n">
        <f aca="false">IFERROR(N(C286)-N(D286),"")</f>
        <v>10</v>
      </c>
      <c r="F286" s="7" t="str">
        <f aca="false">IF(E286&gt;0,"Yes",IF(E286&lt;0,"No (Paternity higher)","Equal"))</f>
        <v>Yes</v>
      </c>
    </row>
    <row r="287" customFormat="false" ht="15" hidden="false" customHeight="false" outlineLevel="0" collapsed="false">
      <c r="A287" s="5" t="str">
        <f aca="false">'Source Data'!A284</f>
        <v>Code And Theory</v>
      </c>
      <c r="B287" s="5" t="str">
        <f aca="false">'Source Data'!B284</f>
        <v>Advertising</v>
      </c>
      <c r="C287" s="6" t="n">
        <f aca="false">'Source Data'!C284</f>
        <v>4</v>
      </c>
      <c r="D287" s="6" t="n">
        <f aca="false">'Source Data'!E284</f>
        <v>0</v>
      </c>
      <c r="E287" s="6" t="n">
        <f aca="false">IFERROR(N(C287)-N(D287),"")</f>
        <v>4</v>
      </c>
      <c r="F287" s="7" t="str">
        <f aca="false">IF(E287&gt;0,"Yes",IF(E287&lt;0,"No (Paternity higher)","Equal"))</f>
        <v>Yes</v>
      </c>
    </row>
    <row r="288" customFormat="false" ht="15" hidden="false" customHeight="false" outlineLevel="0" collapsed="false">
      <c r="A288" s="5" t="str">
        <f aca="false">'Source Data'!A285</f>
        <v>Constant Contact</v>
      </c>
      <c r="B288" s="5" t="str">
        <f aca="false">'Source Data'!B285</f>
        <v>Advertising</v>
      </c>
      <c r="C288" s="6" t="n">
        <f aca="false">'Source Data'!C285</f>
        <v>12</v>
      </c>
      <c r="D288" s="6" t="n">
        <f aca="false">'Source Data'!E285</f>
        <v>0</v>
      </c>
      <c r="E288" s="6" t="n">
        <f aca="false">IFERROR(N(C288)-N(D288),"")</f>
        <v>12</v>
      </c>
      <c r="F288" s="7" t="str">
        <f aca="false">IF(E288&gt;0,"Yes",IF(E288&lt;0,"No (Paternity higher)","Equal"))</f>
        <v>Yes</v>
      </c>
    </row>
    <row r="289" customFormat="false" ht="15" hidden="false" customHeight="false" outlineLevel="0" collapsed="false">
      <c r="A289" s="5" t="str">
        <f aca="false">'Source Data'!A286</f>
        <v>Conversant Media</v>
      </c>
      <c r="B289" s="5" t="str">
        <f aca="false">'Source Data'!B286</f>
        <v>Advertising</v>
      </c>
      <c r="C289" s="6" t="n">
        <f aca="false">'Source Data'!C286</f>
        <v>12</v>
      </c>
      <c r="D289" s="6" t="n">
        <f aca="false">'Source Data'!E286</f>
        <v>0</v>
      </c>
      <c r="E289" s="6" t="n">
        <f aca="false">IFERROR(N(C289)-N(D289),"")</f>
        <v>12</v>
      </c>
      <c r="F289" s="7" t="str">
        <f aca="false">IF(E289&gt;0,"Yes",IF(E289&lt;0,"No (Paternity higher)","Equal"))</f>
        <v>Yes</v>
      </c>
    </row>
    <row r="290" customFormat="false" ht="15" hidden="false" customHeight="false" outlineLevel="0" collapsed="false">
      <c r="A290" s="5" t="str">
        <f aca="false">'Source Data'!A287</f>
        <v>Create NYC</v>
      </c>
      <c r="B290" s="5" t="str">
        <f aca="false">'Source Data'!B287</f>
        <v>Advertising</v>
      </c>
      <c r="C290" s="6" t="n">
        <f aca="false">'Source Data'!C287</f>
        <v>8</v>
      </c>
      <c r="D290" s="6" t="n">
        <f aca="false">'Source Data'!E287</f>
        <v>0</v>
      </c>
      <c r="E290" s="6" t="n">
        <f aca="false">IFERROR(N(C290)-N(D290),"")</f>
        <v>8</v>
      </c>
      <c r="F290" s="7" t="str">
        <f aca="false">IF(E290&gt;0,"Yes",IF(E290&lt;0,"No (Paternity higher)","Equal"))</f>
        <v>Yes</v>
      </c>
    </row>
    <row r="291" customFormat="false" ht="15" hidden="false" customHeight="false" outlineLevel="0" collapsed="false">
      <c r="A291" s="5" t="str">
        <f aca="false">'Source Data'!A288</f>
        <v>DIGO</v>
      </c>
      <c r="B291" s="5" t="str">
        <f aca="false">'Source Data'!B288</f>
        <v>Advertising</v>
      </c>
      <c r="C291" s="6" t="n">
        <f aca="false">'Source Data'!C288</f>
        <v>6</v>
      </c>
      <c r="D291" s="6" t="n">
        <f aca="false">'Source Data'!E288</f>
        <v>0</v>
      </c>
      <c r="E291" s="6" t="n">
        <f aca="false">IFERROR(N(C291)-N(D291),"")</f>
        <v>6</v>
      </c>
      <c r="F291" s="7" t="str">
        <f aca="false">IF(E291&gt;0,"Yes",IF(E291&lt;0,"No (Paternity higher)","Equal"))</f>
        <v>Yes</v>
      </c>
    </row>
    <row r="292" customFormat="false" ht="15" hidden="false" customHeight="false" outlineLevel="0" collapsed="false">
      <c r="A292" s="5" t="str">
        <f aca="false">'Source Data'!A289</f>
        <v>Essence Digital</v>
      </c>
      <c r="B292" s="5" t="str">
        <f aca="false">'Source Data'!B289</f>
        <v>Advertising</v>
      </c>
      <c r="C292" s="6" t="n">
        <f aca="false">'Source Data'!C289</f>
        <v>1</v>
      </c>
      <c r="D292" s="6" t="n">
        <f aca="false">'Source Data'!E289</f>
        <v>0</v>
      </c>
      <c r="E292" s="6" t="n">
        <f aca="false">IFERROR(N(C292)-N(D292),"")</f>
        <v>1</v>
      </c>
      <c r="F292" s="7" t="str">
        <f aca="false">IF(E292&gt;0,"Yes",IF(E292&lt;0,"No (Paternity higher)","Equal"))</f>
        <v>Yes</v>
      </c>
    </row>
    <row r="293" customFormat="false" ht="15" hidden="false" customHeight="false" outlineLevel="0" collapsed="false">
      <c r="A293" s="5" t="str">
        <f aca="false">'Source Data'!A290</f>
        <v>Goodway Group</v>
      </c>
      <c r="B293" s="5" t="str">
        <f aca="false">'Source Data'!B290</f>
        <v>Advertising</v>
      </c>
      <c r="C293" s="6" t="n">
        <f aca="false">'Source Data'!C290</f>
        <v>12</v>
      </c>
      <c r="D293" s="6" t="n">
        <f aca="false">'Source Data'!E290</f>
        <v>0</v>
      </c>
      <c r="E293" s="6" t="n">
        <f aca="false">IFERROR(N(C293)-N(D293),"")</f>
        <v>12</v>
      </c>
      <c r="F293" s="7" t="str">
        <f aca="false">IF(E293&gt;0,"Yes",IF(E293&lt;0,"No (Paternity higher)","Equal"))</f>
        <v>Yes</v>
      </c>
    </row>
    <row r="294" customFormat="false" ht="15" hidden="false" customHeight="false" outlineLevel="0" collapsed="false">
      <c r="A294" s="5" t="str">
        <f aca="false">'Source Data'!A291</f>
        <v>Hawkeye Agency</v>
      </c>
      <c r="B294" s="5" t="str">
        <f aca="false">'Source Data'!B291</f>
        <v>Advertising</v>
      </c>
      <c r="C294" s="6" t="n">
        <f aca="false">'Source Data'!C291</f>
        <v>11</v>
      </c>
      <c r="D294" s="6" t="n">
        <f aca="false">'Source Data'!E291</f>
        <v>0</v>
      </c>
      <c r="E294" s="6" t="n">
        <f aca="false">IFERROR(N(C294)-N(D294),"")</f>
        <v>11</v>
      </c>
      <c r="F294" s="7" t="str">
        <f aca="false">IF(E294&gt;0,"Yes",IF(E294&lt;0,"No (Paternity higher)","Equal"))</f>
        <v>Yes</v>
      </c>
    </row>
    <row r="295" customFormat="false" ht="15" hidden="false" customHeight="false" outlineLevel="0" collapsed="false">
      <c r="A295" s="5" t="str">
        <f aca="false">'Source Data'!A292</f>
        <v>Hill Holliday</v>
      </c>
      <c r="B295" s="5" t="str">
        <f aca="false">'Source Data'!B292</f>
        <v>Advertising</v>
      </c>
      <c r="C295" s="6" t="n">
        <f aca="false">'Source Data'!C292</f>
        <v>12</v>
      </c>
      <c r="D295" s="6" t="n">
        <f aca="false">'Source Data'!E292</f>
        <v>0</v>
      </c>
      <c r="E295" s="6" t="n">
        <f aca="false">IFERROR(N(C295)-N(D295),"")</f>
        <v>12</v>
      </c>
      <c r="F295" s="7" t="str">
        <f aca="false">IF(E295&gt;0,"Yes",IF(E295&lt;0,"No (Paternity higher)","Equal"))</f>
        <v>Yes</v>
      </c>
    </row>
    <row r="296" customFormat="false" ht="15" hidden="false" customHeight="false" outlineLevel="0" collapsed="false">
      <c r="A296" s="5" t="str">
        <f aca="false">'Source Data'!A293</f>
        <v>Hirshorn Zuckerman Design Group</v>
      </c>
      <c r="B296" s="5" t="str">
        <f aca="false">'Source Data'!B293</f>
        <v>Advertising</v>
      </c>
      <c r="C296" s="6" t="n">
        <f aca="false">'Source Data'!C293</f>
        <v>2</v>
      </c>
      <c r="D296" s="6" t="n">
        <f aca="false">'Source Data'!E293</f>
        <v>0</v>
      </c>
      <c r="E296" s="6" t="n">
        <f aca="false">IFERROR(N(C296)-N(D296),"")</f>
        <v>2</v>
      </c>
      <c r="F296" s="7" t="str">
        <f aca="false">IF(E296&gt;0,"Yes",IF(E296&lt;0,"No (Paternity higher)","Equal"))</f>
        <v>Yes</v>
      </c>
    </row>
    <row r="297" customFormat="false" ht="15" hidden="false" customHeight="false" outlineLevel="0" collapsed="false">
      <c r="A297" s="5" t="str">
        <f aca="false">'Source Data'!A294</f>
        <v>Hootsuite</v>
      </c>
      <c r="B297" s="5" t="str">
        <f aca="false">'Source Data'!B294</f>
        <v>Advertising</v>
      </c>
      <c r="C297" s="6" t="n">
        <f aca="false">'Source Data'!C294</f>
        <v>36</v>
      </c>
      <c r="D297" s="6" t="n">
        <f aca="false">'Source Data'!E294</f>
        <v>0</v>
      </c>
      <c r="E297" s="6" t="n">
        <f aca="false">IFERROR(N(C297)-N(D297),"")</f>
        <v>36</v>
      </c>
      <c r="F297" s="7" t="str">
        <f aca="false">IF(E297&gt;0,"Yes",IF(E297&lt;0,"No (Paternity higher)","Equal"))</f>
        <v>Yes</v>
      </c>
    </row>
    <row r="298" customFormat="false" ht="15" hidden="false" customHeight="false" outlineLevel="0" collapsed="false">
      <c r="A298" s="5" t="str">
        <f aca="false">'Source Data'!A295</f>
        <v>Huge Inc</v>
      </c>
      <c r="B298" s="5" t="str">
        <f aca="false">'Source Data'!B295</f>
        <v>Advertising</v>
      </c>
      <c r="C298" s="6" t="n">
        <f aca="false">'Source Data'!C295</f>
        <v>12</v>
      </c>
      <c r="D298" s="6" t="n">
        <f aca="false">'Source Data'!E295</f>
        <v>0</v>
      </c>
      <c r="E298" s="6" t="n">
        <f aca="false">IFERROR(N(C298)-N(D298),"")</f>
        <v>12</v>
      </c>
      <c r="F298" s="7" t="str">
        <f aca="false">IF(E298&gt;0,"Yes",IF(E298&lt;0,"No (Paternity higher)","Equal"))</f>
        <v>Yes</v>
      </c>
    </row>
    <row r="299" customFormat="false" ht="15" hidden="false" customHeight="false" outlineLevel="0" collapsed="false">
      <c r="A299" s="5" t="str">
        <f aca="false">'Source Data'!A296</f>
        <v>Launch Potato</v>
      </c>
      <c r="B299" s="5" t="str">
        <f aca="false">'Source Data'!B296</f>
        <v>Advertising</v>
      </c>
      <c r="C299" s="6" t="n">
        <f aca="false">'Source Data'!C296</f>
        <v>8</v>
      </c>
      <c r="D299" s="6" t="n">
        <f aca="false">'Source Data'!E296</f>
        <v>0</v>
      </c>
      <c r="E299" s="6" t="n">
        <f aca="false">IFERROR(N(C299)-N(D299),"")</f>
        <v>8</v>
      </c>
      <c r="F299" s="7" t="str">
        <f aca="false">IF(E299&gt;0,"Yes",IF(E299&lt;0,"No (Paternity higher)","Equal"))</f>
        <v>Yes</v>
      </c>
    </row>
    <row r="300" customFormat="false" ht="15" hidden="false" customHeight="false" outlineLevel="0" collapsed="false">
      <c r="A300" s="5" t="str">
        <f aca="false">'Source Data'!A297</f>
        <v>Media Directions Advertising</v>
      </c>
      <c r="B300" s="5" t="str">
        <f aca="false">'Source Data'!B297</f>
        <v>Advertising</v>
      </c>
      <c r="C300" s="6" t="n">
        <f aca="false">'Source Data'!C297</f>
        <v>1</v>
      </c>
      <c r="D300" s="6" t="n">
        <f aca="false">'Source Data'!E297</f>
        <v>0</v>
      </c>
      <c r="E300" s="6" t="n">
        <f aca="false">IFERROR(N(C300)-N(D300),"")</f>
        <v>1</v>
      </c>
      <c r="F300" s="7" t="str">
        <f aca="false">IF(E300&gt;0,"Yes",IF(E300&lt;0,"No (Paternity higher)","Equal"))</f>
        <v>Yes</v>
      </c>
    </row>
    <row r="301" customFormat="false" ht="15" hidden="false" customHeight="false" outlineLevel="0" collapsed="false">
      <c r="A301" s="5" t="str">
        <f aca="false">'Source Data'!A298</f>
        <v>MediaCom</v>
      </c>
      <c r="B301" s="5" t="str">
        <f aca="false">'Source Data'!B298</f>
        <v>Advertising</v>
      </c>
      <c r="C301" s="6" t="n">
        <f aca="false">'Source Data'!C298</f>
        <v>12</v>
      </c>
      <c r="D301" s="6" t="n">
        <f aca="false">'Source Data'!E298</f>
        <v>0</v>
      </c>
      <c r="E301" s="6" t="n">
        <f aca="false">IFERROR(N(C301)-N(D301),"")</f>
        <v>12</v>
      </c>
      <c r="F301" s="7" t="str">
        <f aca="false">IF(E301&gt;0,"Yes",IF(E301&lt;0,"No (Paternity higher)","Equal"))</f>
        <v>Yes</v>
      </c>
    </row>
    <row r="302" customFormat="false" ht="15" hidden="false" customHeight="false" outlineLevel="0" collapsed="false">
      <c r="A302" s="5" t="str">
        <f aca="false">'Source Data'!A299</f>
        <v>Monigle</v>
      </c>
      <c r="B302" s="5" t="str">
        <f aca="false">'Source Data'!B299</f>
        <v>Advertising</v>
      </c>
      <c r="C302" s="6" t="n">
        <f aca="false">'Source Data'!C299</f>
        <v>6</v>
      </c>
      <c r="D302" s="6" t="n">
        <f aca="false">'Source Data'!E299</f>
        <v>0</v>
      </c>
      <c r="E302" s="6" t="n">
        <f aca="false">IFERROR(N(C302)-N(D302),"")</f>
        <v>6</v>
      </c>
      <c r="F302" s="7" t="str">
        <f aca="false">IF(E302&gt;0,"Yes",IF(E302&lt;0,"No (Paternity higher)","Equal"))</f>
        <v>Yes</v>
      </c>
    </row>
    <row r="303" customFormat="false" ht="15" hidden="false" customHeight="false" outlineLevel="0" collapsed="false">
      <c r="A303" s="5" t="str">
        <f aca="false">'Source Data'!A300</f>
        <v>National Cinemedia</v>
      </c>
      <c r="B303" s="5" t="str">
        <f aca="false">'Source Data'!B300</f>
        <v>Advertising</v>
      </c>
      <c r="C303" s="6" t="n">
        <f aca="false">'Source Data'!C300</f>
        <v>4</v>
      </c>
      <c r="D303" s="6" t="n">
        <f aca="false">'Source Data'!E300</f>
        <v>0</v>
      </c>
      <c r="E303" s="6" t="n">
        <f aca="false">IFERROR(N(C303)-N(D303),"")</f>
        <v>4</v>
      </c>
      <c r="F303" s="7" t="str">
        <f aca="false">IF(E303&gt;0,"Yes",IF(E303&lt;0,"No (Paternity higher)","Equal"))</f>
        <v>Yes</v>
      </c>
    </row>
    <row r="304" customFormat="false" ht="15" hidden="false" customHeight="false" outlineLevel="0" collapsed="false">
      <c r="A304" s="5" t="str">
        <f aca="false">'Source Data'!A301</f>
        <v>News America Marketing</v>
      </c>
      <c r="B304" s="5" t="str">
        <f aca="false">'Source Data'!B301</f>
        <v>Advertising</v>
      </c>
      <c r="C304" s="6" t="n">
        <f aca="false">'Source Data'!C301</f>
        <v>12</v>
      </c>
      <c r="D304" s="6" t="n">
        <f aca="false">'Source Data'!E301</f>
        <v>0</v>
      </c>
      <c r="E304" s="6" t="n">
        <f aca="false">IFERROR(N(C304)-N(D304),"")</f>
        <v>12</v>
      </c>
      <c r="F304" s="7" t="str">
        <f aca="false">IF(E304&gt;0,"Yes",IF(E304&lt;0,"No (Paternity higher)","Equal"))</f>
        <v>Yes</v>
      </c>
    </row>
    <row r="305" customFormat="false" ht="15" hidden="false" customHeight="false" outlineLevel="0" collapsed="false">
      <c r="A305" s="5" t="str">
        <f aca="false">'Source Data'!A302</f>
        <v>Ogilvy</v>
      </c>
      <c r="B305" s="5" t="str">
        <f aca="false">'Source Data'!B302</f>
        <v>Advertising</v>
      </c>
      <c r="C305" s="6" t="n">
        <f aca="false">'Source Data'!C302</f>
        <v>48</v>
      </c>
      <c r="D305" s="6" t="n">
        <f aca="false">'Source Data'!E302</f>
        <v>0</v>
      </c>
      <c r="E305" s="6" t="n">
        <f aca="false">IFERROR(N(C305)-N(D305),"")</f>
        <v>48</v>
      </c>
      <c r="F305" s="7" t="str">
        <f aca="false">IF(E305&gt;0,"Yes",IF(E305&lt;0,"No (Paternity higher)","Equal"))</f>
        <v>Yes</v>
      </c>
    </row>
    <row r="306" customFormat="false" ht="15" hidden="false" customHeight="false" outlineLevel="0" collapsed="false">
      <c r="A306" s="5" t="str">
        <f aca="false">'Source Data'!A303</f>
        <v>Omnicom Media Group</v>
      </c>
      <c r="B306" s="5" t="str">
        <f aca="false">'Source Data'!B303</f>
        <v>Advertising</v>
      </c>
      <c r="C306" s="6" t="n">
        <f aca="false">'Source Data'!C303</f>
        <v>2</v>
      </c>
      <c r="D306" s="6" t="n">
        <f aca="false">'Source Data'!E303</f>
        <v>0</v>
      </c>
      <c r="E306" s="6" t="n">
        <f aca="false">IFERROR(N(C306)-N(D306),"")</f>
        <v>2</v>
      </c>
      <c r="F306" s="7" t="str">
        <f aca="false">IF(E306&gt;0,"Yes",IF(E306&lt;0,"No (Paternity higher)","Equal"))</f>
        <v>Yes</v>
      </c>
    </row>
    <row r="307" customFormat="false" ht="15" hidden="false" customHeight="false" outlineLevel="0" collapsed="false">
      <c r="A307" s="5" t="str">
        <f aca="false">'Source Data'!A304</f>
        <v>PGR Media</v>
      </c>
      <c r="B307" s="5" t="str">
        <f aca="false">'Source Data'!B304</f>
        <v>Advertising</v>
      </c>
      <c r="C307" s="6" t="n">
        <f aca="false">'Source Data'!C304</f>
        <v>12</v>
      </c>
      <c r="D307" s="6" t="n">
        <f aca="false">'Source Data'!E304</f>
        <v>0</v>
      </c>
      <c r="E307" s="6" t="n">
        <f aca="false">IFERROR(N(C307)-N(D307),"")</f>
        <v>12</v>
      </c>
      <c r="F307" s="7" t="str">
        <f aca="false">IF(E307&gt;0,"Yes",IF(E307&lt;0,"No (Paternity higher)","Equal"))</f>
        <v>Yes</v>
      </c>
    </row>
    <row r="308" customFormat="false" ht="15" hidden="false" customHeight="false" outlineLevel="0" collapsed="false">
      <c r="A308" s="5" t="str">
        <f aca="false">'Source Data'!A305</f>
        <v>Pico</v>
      </c>
      <c r="B308" s="5" t="str">
        <f aca="false">'Source Data'!B305</f>
        <v>Advertising</v>
      </c>
      <c r="C308" s="6" t="n">
        <f aca="false">'Source Data'!C305</f>
        <v>13</v>
      </c>
      <c r="D308" s="6" t="n">
        <f aca="false">'Source Data'!E305</f>
        <v>0</v>
      </c>
      <c r="E308" s="6" t="n">
        <f aca="false">IFERROR(N(C308)-N(D308),"")</f>
        <v>13</v>
      </c>
      <c r="F308" s="7" t="str">
        <f aca="false">IF(E308&gt;0,"Yes",IF(E308&lt;0,"No (Paternity higher)","Equal"))</f>
        <v>Yes</v>
      </c>
    </row>
    <row r="309" customFormat="false" ht="15" hidden="false" customHeight="false" outlineLevel="0" collapsed="false">
      <c r="A309" s="5" t="str">
        <f aca="false">'Source Data'!A306</f>
        <v>R/GA</v>
      </c>
      <c r="B309" s="5" t="str">
        <f aca="false">'Source Data'!B306</f>
        <v>Advertising</v>
      </c>
      <c r="C309" s="6" t="n">
        <f aca="false">'Source Data'!C306</f>
        <v>12</v>
      </c>
      <c r="D309" s="6" t="n">
        <f aca="false">'Source Data'!E306</f>
        <v>0</v>
      </c>
      <c r="E309" s="6" t="n">
        <f aca="false">IFERROR(N(C309)-N(D309),"")</f>
        <v>12</v>
      </c>
      <c r="F309" s="7" t="str">
        <f aca="false">IF(E309&gt;0,"Yes",IF(E309&lt;0,"No (Paternity higher)","Equal"))</f>
        <v>Yes</v>
      </c>
    </row>
    <row r="310" customFormat="false" ht="15" hidden="false" customHeight="false" outlineLevel="0" collapsed="false">
      <c r="A310" s="5" t="str">
        <f aca="false">'Source Data'!A307</f>
        <v>Radancy</v>
      </c>
      <c r="B310" s="5" t="str">
        <f aca="false">'Source Data'!B307</f>
        <v>Advertising</v>
      </c>
      <c r="C310" s="6" t="n">
        <f aca="false">'Source Data'!C307</f>
        <v>3</v>
      </c>
      <c r="D310" s="6" t="n">
        <f aca="false">'Source Data'!E307</f>
        <v>0</v>
      </c>
      <c r="E310" s="6" t="n">
        <f aca="false">IFERROR(N(C310)-N(D310),"")</f>
        <v>3</v>
      </c>
      <c r="F310" s="7" t="str">
        <f aca="false">IF(E310&gt;0,"Yes",IF(E310&lt;0,"No (Paternity higher)","Equal"))</f>
        <v>Yes</v>
      </c>
    </row>
    <row r="311" customFormat="false" ht="15" hidden="false" customHeight="false" outlineLevel="0" collapsed="false">
      <c r="A311" s="5" t="str">
        <f aca="false">'Source Data'!A308</f>
        <v>Radius Intelligence</v>
      </c>
      <c r="B311" s="5" t="str">
        <f aca="false">'Source Data'!B308</f>
        <v>Advertising</v>
      </c>
      <c r="C311" s="6" t="n">
        <f aca="false">'Source Data'!C308</f>
        <v>12</v>
      </c>
      <c r="D311" s="6" t="n">
        <f aca="false">'Source Data'!E308</f>
        <v>0</v>
      </c>
      <c r="E311" s="6" t="n">
        <f aca="false">IFERROR(N(C311)-N(D311),"")</f>
        <v>12</v>
      </c>
      <c r="F311" s="7" t="str">
        <f aca="false">IF(E311&gt;0,"Yes",IF(E311&lt;0,"No (Paternity higher)","Equal"))</f>
        <v>Yes</v>
      </c>
    </row>
    <row r="312" customFormat="false" ht="15" hidden="false" customHeight="false" outlineLevel="0" collapsed="false">
      <c r="A312" s="5" t="str">
        <f aca="false">'Source Data'!A309</f>
        <v>ReachLocal</v>
      </c>
      <c r="B312" s="5" t="str">
        <f aca="false">'Source Data'!B309</f>
        <v>Advertising</v>
      </c>
      <c r="C312" s="6" t="n">
        <f aca="false">'Source Data'!C309</f>
        <v>6</v>
      </c>
      <c r="D312" s="6" t="n">
        <f aca="false">'Source Data'!E309</f>
        <v>0</v>
      </c>
      <c r="E312" s="6" t="n">
        <f aca="false">IFERROR(N(C312)-N(D312),"")</f>
        <v>6</v>
      </c>
      <c r="F312" s="7" t="str">
        <f aca="false">IF(E312&gt;0,"Yes",IF(E312&lt;0,"No (Paternity higher)","Equal"))</f>
        <v>Yes</v>
      </c>
    </row>
    <row r="313" customFormat="false" ht="15" hidden="false" customHeight="false" outlineLevel="0" collapsed="false">
      <c r="A313" s="5" t="str">
        <f aca="false">'Source Data'!A310</f>
        <v>Saatchi &amp; Saatchi</v>
      </c>
      <c r="B313" s="5" t="str">
        <f aca="false">'Source Data'!B310</f>
        <v>Advertising</v>
      </c>
      <c r="C313" s="6" t="n">
        <f aca="false">'Source Data'!C310</f>
        <v>4.5</v>
      </c>
      <c r="D313" s="6" t="n">
        <f aca="false">'Source Data'!E310</f>
        <v>0</v>
      </c>
      <c r="E313" s="6" t="n">
        <f aca="false">IFERROR(N(C313)-N(D313),"")</f>
        <v>4.5</v>
      </c>
      <c r="F313" s="7" t="str">
        <f aca="false">IF(E313&gt;0,"Yes",IF(E313&lt;0,"No (Paternity higher)","Equal"))</f>
        <v>Yes</v>
      </c>
    </row>
    <row r="314" customFormat="false" ht="15" hidden="false" customHeight="false" outlineLevel="0" collapsed="false">
      <c r="A314" s="5" t="str">
        <f aca="false">'Source Data'!A311</f>
        <v>SapientRazorfish</v>
      </c>
      <c r="B314" s="5" t="str">
        <f aca="false">'Source Data'!B311</f>
        <v>Advertising</v>
      </c>
      <c r="C314" s="6" t="n">
        <f aca="false">'Source Data'!C311</f>
        <v>6</v>
      </c>
      <c r="D314" s="6" t="n">
        <f aca="false">'Source Data'!E311</f>
        <v>0</v>
      </c>
      <c r="E314" s="6" t="n">
        <f aca="false">IFERROR(N(C314)-N(D314),"")</f>
        <v>6</v>
      </c>
      <c r="F314" s="7" t="str">
        <f aca="false">IF(E314&gt;0,"Yes",IF(E314&lt;0,"No (Paternity higher)","Equal"))</f>
        <v>Yes</v>
      </c>
    </row>
    <row r="315" customFormat="false" ht="15" hidden="false" customHeight="false" outlineLevel="0" collapsed="false">
      <c r="A315" s="5" t="str">
        <f aca="false">'Source Data'!A312</f>
        <v>SmartBug Media</v>
      </c>
      <c r="B315" s="5" t="str">
        <f aca="false">'Source Data'!B312</f>
        <v>Advertising</v>
      </c>
      <c r="C315" s="6" t="n">
        <f aca="false">'Source Data'!C312</f>
        <v>4</v>
      </c>
      <c r="D315" s="6" t="n">
        <f aca="false">'Source Data'!E312</f>
        <v>0</v>
      </c>
      <c r="E315" s="6" t="n">
        <f aca="false">IFERROR(N(C315)-N(D315),"")</f>
        <v>4</v>
      </c>
      <c r="F315" s="7" t="str">
        <f aca="false">IF(E315&gt;0,"Yes",IF(E315&lt;0,"No (Paternity higher)","Equal"))</f>
        <v>Yes</v>
      </c>
    </row>
    <row r="316" customFormat="false" ht="15" hidden="false" customHeight="false" outlineLevel="0" collapsed="false">
      <c r="A316" s="5" t="str">
        <f aca="false">'Source Data'!A313</f>
        <v>Spectrum Science</v>
      </c>
      <c r="B316" s="5" t="str">
        <f aca="false">'Source Data'!B313</f>
        <v>Advertising</v>
      </c>
      <c r="C316" s="6" t="n">
        <f aca="false">'Source Data'!C313</f>
        <v>13</v>
      </c>
      <c r="D316" s="6" t="n">
        <f aca="false">'Source Data'!E313</f>
        <v>0</v>
      </c>
      <c r="E316" s="6" t="n">
        <f aca="false">IFERROR(N(C316)-N(D316),"")</f>
        <v>13</v>
      </c>
      <c r="F316" s="7" t="str">
        <f aca="false">IF(E316&gt;0,"Yes",IF(E316&lt;0,"No (Paternity higher)","Equal"))</f>
        <v>Yes</v>
      </c>
    </row>
    <row r="317" customFormat="false" ht="15" hidden="false" customHeight="false" outlineLevel="0" collapsed="false">
      <c r="A317" s="5" t="str">
        <f aca="false">'Source Data'!A314</f>
        <v>Stage Marketing</v>
      </c>
      <c r="B317" s="5" t="str">
        <f aca="false">'Source Data'!B314</f>
        <v>Advertising</v>
      </c>
      <c r="C317" s="6" t="n">
        <f aca="false">'Source Data'!C314</f>
        <v>4</v>
      </c>
      <c r="D317" s="6" t="n">
        <f aca="false">'Source Data'!E314</f>
        <v>0</v>
      </c>
      <c r="E317" s="6" t="n">
        <f aca="false">IFERROR(N(C317)-N(D317),"")</f>
        <v>4</v>
      </c>
      <c r="F317" s="7" t="str">
        <f aca="false">IF(E317&gt;0,"Yes",IF(E317&lt;0,"No (Paternity higher)","Equal"))</f>
        <v>Yes</v>
      </c>
    </row>
    <row r="318" customFormat="false" ht="15" hidden="false" customHeight="false" outlineLevel="0" collapsed="false">
      <c r="A318" s="5" t="str">
        <f aca="false">'Source Data'!A315</f>
        <v>Tag Worldwide</v>
      </c>
      <c r="B318" s="5" t="str">
        <f aca="false">'Source Data'!B315</f>
        <v>Advertising</v>
      </c>
      <c r="C318" s="6" t="n">
        <f aca="false">'Source Data'!C315</f>
        <v>6</v>
      </c>
      <c r="D318" s="6" t="n">
        <f aca="false">'Source Data'!E315</f>
        <v>0</v>
      </c>
      <c r="E318" s="6" t="n">
        <f aca="false">IFERROR(N(C318)-N(D318),"")</f>
        <v>6</v>
      </c>
      <c r="F318" s="7" t="str">
        <f aca="false">IF(E318&gt;0,"Yes",IF(E318&lt;0,"No (Paternity higher)","Equal"))</f>
        <v>Yes</v>
      </c>
    </row>
    <row r="319" customFormat="false" ht="15" hidden="false" customHeight="false" outlineLevel="0" collapsed="false">
      <c r="A319" s="5" t="str">
        <f aca="false">'Source Data'!A316</f>
        <v>The Richards Group</v>
      </c>
      <c r="B319" s="5" t="str">
        <f aca="false">'Source Data'!B316</f>
        <v>Advertising</v>
      </c>
      <c r="C319" s="6" t="n">
        <f aca="false">'Source Data'!C316</f>
        <v>12</v>
      </c>
      <c r="D319" s="6" t="n">
        <f aca="false">'Source Data'!E316</f>
        <v>0</v>
      </c>
      <c r="E319" s="6" t="n">
        <f aca="false">IFERROR(N(C319)-N(D319),"")</f>
        <v>12</v>
      </c>
      <c r="F319" s="7" t="str">
        <f aca="false">IF(E319&gt;0,"Yes",IF(E319&lt;0,"No (Paternity higher)","Equal"))</f>
        <v>Yes</v>
      </c>
    </row>
    <row r="320" customFormat="false" ht="15" hidden="false" customHeight="false" outlineLevel="0" collapsed="false">
      <c r="A320" s="5" t="str">
        <f aca="false">'Source Data'!A317</f>
        <v>UNiDAYS</v>
      </c>
      <c r="B320" s="5" t="str">
        <f aca="false">'Source Data'!B317</f>
        <v>Advertising</v>
      </c>
      <c r="C320" s="6" t="n">
        <f aca="false">'Source Data'!C317</f>
        <v>20</v>
      </c>
      <c r="D320" s="6" t="n">
        <f aca="false">'Source Data'!E317</f>
        <v>0</v>
      </c>
      <c r="E320" s="6" t="n">
        <f aca="false">IFERROR(N(C320)-N(D320),"")</f>
        <v>20</v>
      </c>
      <c r="F320" s="7" t="str">
        <f aca="false">IF(E320&gt;0,"Yes",IF(E320&lt;0,"No (Paternity higher)","Equal"))</f>
        <v>Yes</v>
      </c>
    </row>
    <row r="321" customFormat="false" ht="15" hidden="false" customHeight="false" outlineLevel="0" collapsed="false">
      <c r="A321" s="5" t="str">
        <f aca="false">'Source Data'!A318</f>
        <v>VaynerMedia</v>
      </c>
      <c r="B321" s="5" t="str">
        <f aca="false">'Source Data'!B318</f>
        <v>Advertising</v>
      </c>
      <c r="C321" s="6" t="n">
        <f aca="false">'Source Data'!C318</f>
        <v>7</v>
      </c>
      <c r="D321" s="6" t="n">
        <f aca="false">'Source Data'!E318</f>
        <v>0</v>
      </c>
      <c r="E321" s="6" t="n">
        <f aca="false">IFERROR(N(C321)-N(D321),"")</f>
        <v>7</v>
      </c>
      <c r="F321" s="7" t="str">
        <f aca="false">IF(E321&gt;0,"Yes",IF(E321&lt;0,"No (Paternity higher)","Equal"))</f>
        <v>Yes</v>
      </c>
    </row>
    <row r="322" customFormat="false" ht="15" hidden="false" customHeight="false" outlineLevel="0" collapsed="false">
      <c r="A322" s="5" t="str">
        <f aca="false">'Source Data'!A319</f>
        <v>Wavemaker</v>
      </c>
      <c r="B322" s="5" t="str">
        <f aca="false">'Source Data'!B319</f>
        <v>Advertising</v>
      </c>
      <c r="C322" s="6" t="n">
        <f aca="false">'Source Data'!C319</f>
        <v>9</v>
      </c>
      <c r="D322" s="6" t="n">
        <f aca="false">'Source Data'!E319</f>
        <v>0</v>
      </c>
      <c r="E322" s="6" t="n">
        <f aca="false">IFERROR(N(C322)-N(D322),"")</f>
        <v>9</v>
      </c>
      <c r="F322" s="7" t="str">
        <f aca="false">IF(E322&gt;0,"Yes",IF(E322&lt;0,"No (Paternity higher)","Equal"))</f>
        <v>Yes</v>
      </c>
    </row>
    <row r="323" customFormat="false" ht="15" hidden="false" customHeight="false" outlineLevel="0" collapsed="false">
      <c r="A323" s="5" t="str">
        <f aca="false">'Source Data'!A320</f>
        <v>Wunderman DC</v>
      </c>
      <c r="B323" s="5" t="str">
        <f aca="false">'Source Data'!B320</f>
        <v>Advertising</v>
      </c>
      <c r="C323" s="6" t="n">
        <f aca="false">'Source Data'!C320</f>
        <v>24</v>
      </c>
      <c r="D323" s="6" t="n">
        <f aca="false">'Source Data'!E320</f>
        <v>0</v>
      </c>
      <c r="E323" s="6" t="n">
        <f aca="false">IFERROR(N(C323)-N(D323),"")</f>
        <v>24</v>
      </c>
      <c r="F323" s="7" t="str">
        <f aca="false">IF(E323&gt;0,"Yes",IF(E323&lt;0,"No (Paternity higher)","Equal"))</f>
        <v>Yes</v>
      </c>
    </row>
    <row r="324" customFormat="false" ht="15" hidden="false" customHeight="false" outlineLevel="0" collapsed="false">
      <c r="A324" s="5" t="str">
        <f aca="false">'Source Data'!A321</f>
        <v>Zenith Media</v>
      </c>
      <c r="B324" s="5" t="str">
        <f aca="false">'Source Data'!B321</f>
        <v>Advertising</v>
      </c>
      <c r="C324" s="6" t="n">
        <f aca="false">'Source Data'!C321</f>
        <v>3</v>
      </c>
      <c r="D324" s="6" t="n">
        <f aca="false">'Source Data'!E321</f>
        <v>0</v>
      </c>
      <c r="E324" s="6" t="n">
        <f aca="false">IFERROR(N(C324)-N(D324),"")</f>
        <v>3</v>
      </c>
      <c r="F324" s="7" t="str">
        <f aca="false">IF(E324&gt;0,"Yes",IF(E324&lt;0,"No (Paternity higher)","Equal"))</f>
        <v>Yes</v>
      </c>
    </row>
    <row r="325" customFormat="false" ht="15" hidden="false" customHeight="false" outlineLevel="0" collapsed="false">
      <c r="A325" s="5" t="str">
        <f aca="false">'Source Data'!A322</f>
        <v>AMG Research</v>
      </c>
      <c r="B325" s="5" t="str">
        <f aca="false">'Source Data'!B322</f>
        <v>Advertising: Market Research</v>
      </c>
      <c r="C325" s="6" t="n">
        <f aca="false">'Source Data'!C322</f>
        <v>4</v>
      </c>
      <c r="D325" s="6" t="n">
        <f aca="false">'Source Data'!E322</f>
        <v>0</v>
      </c>
      <c r="E325" s="6" t="n">
        <f aca="false">IFERROR(N(C325)-N(D325),"")</f>
        <v>4</v>
      </c>
      <c r="F325" s="7" t="str">
        <f aca="false">IF(E325&gt;0,"Yes",IF(E325&lt;0,"No (Paternity higher)","Equal"))</f>
        <v>Yes</v>
      </c>
    </row>
    <row r="326" customFormat="false" ht="15" hidden="false" customHeight="false" outlineLevel="0" collapsed="false">
      <c r="A326" s="5" t="str">
        <f aca="false">'Source Data'!A323</f>
        <v>eMarketer</v>
      </c>
      <c r="B326" s="5" t="str">
        <f aca="false">'Source Data'!B323</f>
        <v>Advertising: Market Research</v>
      </c>
      <c r="C326" s="6" t="n">
        <f aca="false">'Source Data'!C323</f>
        <v>12</v>
      </c>
      <c r="D326" s="6" t="n">
        <f aca="false">'Source Data'!E323</f>
        <v>0</v>
      </c>
      <c r="E326" s="6" t="n">
        <f aca="false">IFERROR(N(C326)-N(D326),"")</f>
        <v>12</v>
      </c>
      <c r="F326" s="7" t="str">
        <f aca="false">IF(E326&gt;0,"Yes",IF(E326&lt;0,"No (Paternity higher)","Equal"))</f>
        <v>Yes</v>
      </c>
    </row>
    <row r="327" customFormat="false" ht="15" hidden="false" customHeight="false" outlineLevel="0" collapsed="false">
      <c r="A327" s="5" t="str">
        <f aca="false">'Source Data'!A324</f>
        <v>Hanover Research</v>
      </c>
      <c r="B327" s="5" t="str">
        <f aca="false">'Source Data'!B324</f>
        <v>Advertising: Market Research</v>
      </c>
      <c r="C327" s="6" t="n">
        <f aca="false">'Source Data'!C324</f>
        <v>12</v>
      </c>
      <c r="D327" s="6" t="n">
        <f aca="false">'Source Data'!E324</f>
        <v>0</v>
      </c>
      <c r="E327" s="6" t="n">
        <f aca="false">IFERROR(N(C327)-N(D327),"")</f>
        <v>12</v>
      </c>
      <c r="F327" s="7" t="str">
        <f aca="false">IF(E327&gt;0,"Yes",IF(E327&lt;0,"No (Paternity higher)","Equal"))</f>
        <v>Yes</v>
      </c>
    </row>
    <row r="328" customFormat="false" ht="15" hidden="false" customHeight="false" outlineLevel="0" collapsed="false">
      <c r="A328" s="5" t="str">
        <f aca="false">'Source Data'!A325</f>
        <v>Acubed</v>
      </c>
      <c r="B328" s="5" t="str">
        <f aca="false">'Source Data'!B325</f>
        <v>Aerospace</v>
      </c>
      <c r="C328" s="6" t="n">
        <f aca="false">'Source Data'!C325</f>
        <v>12</v>
      </c>
      <c r="D328" s="6" t="n">
        <f aca="false">'Source Data'!E325</f>
        <v>0</v>
      </c>
      <c r="E328" s="6" t="n">
        <f aca="false">IFERROR(N(C328)-N(D328),"")</f>
        <v>12</v>
      </c>
      <c r="F328" s="7" t="str">
        <f aca="false">IF(E328&gt;0,"Yes",IF(E328&lt;0,"No (Paternity higher)","Equal"))</f>
        <v>Yes</v>
      </c>
    </row>
    <row r="329" customFormat="false" ht="15" hidden="false" customHeight="false" outlineLevel="0" collapsed="false">
      <c r="A329" s="5" t="str">
        <f aca="false">'Source Data'!A326</f>
        <v>Honeywell Aerospace</v>
      </c>
      <c r="B329" s="5" t="str">
        <f aca="false">'Source Data'!B326</f>
        <v>Aerospace</v>
      </c>
      <c r="C329" s="6" t="n">
        <f aca="false">'Source Data'!C326</f>
        <v>16</v>
      </c>
      <c r="D329" s="6" t="n">
        <f aca="false">'Source Data'!E326</f>
        <v>0</v>
      </c>
      <c r="E329" s="6" t="n">
        <f aca="false">IFERROR(N(C329)-N(D329),"")</f>
        <v>16</v>
      </c>
      <c r="F329" s="7" t="str">
        <f aca="false">IF(E329&gt;0,"Yes",IF(E329&lt;0,"No (Paternity higher)","Equal"))</f>
        <v>Yes</v>
      </c>
    </row>
    <row r="330" customFormat="false" ht="15" hidden="false" customHeight="false" outlineLevel="0" collapsed="false">
      <c r="A330" s="5" t="str">
        <f aca="false">'Source Data'!A327</f>
        <v>Pratt &amp; Whitney</v>
      </c>
      <c r="B330" s="5" t="str">
        <f aca="false">'Source Data'!B327</f>
        <v>Aerospace</v>
      </c>
      <c r="C330" s="6" t="n">
        <f aca="false">'Source Data'!C327</f>
        <v>12</v>
      </c>
      <c r="D330" s="6" t="n">
        <f aca="false">'Source Data'!E327</f>
        <v>0</v>
      </c>
      <c r="E330" s="6" t="n">
        <f aca="false">IFERROR(N(C330)-N(D330),"")</f>
        <v>12</v>
      </c>
      <c r="F330" s="7" t="str">
        <f aca="false">IF(E330&gt;0,"Yes",IF(E330&lt;0,"No (Paternity higher)","Equal"))</f>
        <v>Yes</v>
      </c>
    </row>
    <row r="331" customFormat="false" ht="15" hidden="false" customHeight="false" outlineLevel="0" collapsed="false">
      <c r="A331" s="5" t="str">
        <f aca="false">'Source Data'!A328</f>
        <v>SpaceX</v>
      </c>
      <c r="B331" s="5" t="str">
        <f aca="false">'Source Data'!B328</f>
        <v>Aerospace</v>
      </c>
      <c r="C331" s="6" t="n">
        <f aca="false">'Source Data'!C328</f>
        <v>8</v>
      </c>
      <c r="D331" s="6" t="n">
        <f aca="false">'Source Data'!E328</f>
        <v>0</v>
      </c>
      <c r="E331" s="6" t="n">
        <f aca="false">IFERROR(N(C331)-N(D331),"")</f>
        <v>8</v>
      </c>
      <c r="F331" s="7" t="str">
        <f aca="false">IF(E331&gt;0,"Yes",IF(E331&lt;0,"No (Paternity higher)","Equal"))</f>
        <v>Yes</v>
      </c>
    </row>
    <row r="332" customFormat="false" ht="15" hidden="false" customHeight="false" outlineLevel="0" collapsed="false">
      <c r="A332" s="5" t="str">
        <f aca="false">'Source Data'!A329</f>
        <v>Boston Ballet</v>
      </c>
      <c r="B332" s="5" t="str">
        <f aca="false">'Source Data'!B329</f>
        <v>Arts &amp; Entertainment</v>
      </c>
      <c r="C332" s="6" t="n">
        <f aca="false">'Source Data'!C329</f>
        <v>12</v>
      </c>
      <c r="D332" s="6" t="n">
        <f aca="false">'Source Data'!E329</f>
        <v>0</v>
      </c>
      <c r="E332" s="6" t="n">
        <f aca="false">IFERROR(N(C332)-N(D332),"")</f>
        <v>12</v>
      </c>
      <c r="F332" s="7" t="str">
        <f aca="false">IF(E332&gt;0,"Yes",IF(E332&lt;0,"No (Paternity higher)","Equal"))</f>
        <v>Yes</v>
      </c>
    </row>
    <row r="333" customFormat="false" ht="15" hidden="false" customHeight="false" outlineLevel="0" collapsed="false">
      <c r="A333" s="5" t="str">
        <f aca="false">'Source Data'!A330</f>
        <v>Creative Artists Agency</v>
      </c>
      <c r="B333" s="5" t="str">
        <f aca="false">'Source Data'!B330</f>
        <v>Arts &amp; Entertainment</v>
      </c>
      <c r="C333" s="6" t="n">
        <f aca="false">'Source Data'!C330</f>
        <v>12</v>
      </c>
      <c r="D333" s="6" t="n">
        <f aca="false">'Source Data'!E330</f>
        <v>12</v>
      </c>
      <c r="E333" s="6" t="n">
        <f aca="false">IFERROR(N(C333)-N(D333),"")</f>
        <v>0</v>
      </c>
      <c r="F333" s="7" t="str">
        <f aca="false">IF(E333&gt;0,"Yes",IF(E333&lt;0,"No (Paternity higher)","Equal"))</f>
        <v>Equal</v>
      </c>
    </row>
    <row r="334" customFormat="false" ht="15" hidden="false" customHeight="false" outlineLevel="0" collapsed="false">
      <c r="A334" s="5" t="str">
        <f aca="false">'Source Data'!A331</f>
        <v>Disney Streaming Services</v>
      </c>
      <c r="B334" s="5" t="str">
        <f aca="false">'Source Data'!B331</f>
        <v>Arts &amp; Entertainment</v>
      </c>
      <c r="C334" s="6" t="n">
        <f aca="false">'Source Data'!C331</f>
        <v>12</v>
      </c>
      <c r="D334" s="6" t="n">
        <f aca="false">'Source Data'!E331</f>
        <v>0</v>
      </c>
      <c r="E334" s="6" t="n">
        <f aca="false">IFERROR(N(C334)-N(D334),"")</f>
        <v>12</v>
      </c>
      <c r="F334" s="7" t="str">
        <f aca="false">IF(E334&gt;0,"Yes",IF(E334&lt;0,"No (Paternity higher)","Equal"))</f>
        <v>Yes</v>
      </c>
    </row>
    <row r="335" customFormat="false" ht="15" hidden="false" customHeight="false" outlineLevel="0" collapsed="false">
      <c r="A335" s="5" t="str">
        <f aca="false">'Source Data'!A332</f>
        <v>GoDigital Media Group</v>
      </c>
      <c r="B335" s="5" t="str">
        <f aca="false">'Source Data'!B332</f>
        <v>Arts &amp; Entertainment</v>
      </c>
      <c r="C335" s="6" t="n">
        <f aca="false">'Source Data'!C332</f>
        <v>0</v>
      </c>
      <c r="D335" s="6" t="n">
        <f aca="false">'Source Data'!E332</f>
        <v>0</v>
      </c>
      <c r="E335" s="6" t="n">
        <f aca="false">IFERROR(N(C335)-N(D335),"")</f>
        <v>0</v>
      </c>
      <c r="F335" s="7" t="str">
        <f aca="false">IF(E335&gt;0,"Yes",IF(E335&lt;0,"No (Paternity higher)","Equal"))</f>
        <v>Equal</v>
      </c>
    </row>
    <row r="336" customFormat="false" ht="15" hidden="false" customHeight="false" outlineLevel="0" collapsed="false">
      <c r="A336" s="5" t="str">
        <f aca="false">'Source Data'!A333</f>
        <v>LaneOne</v>
      </c>
      <c r="B336" s="5" t="str">
        <f aca="false">'Source Data'!B333</f>
        <v>Arts &amp; Entertainment</v>
      </c>
      <c r="C336" s="6" t="n">
        <f aca="false">'Source Data'!C333</f>
        <v>6</v>
      </c>
      <c r="D336" s="6" t="n">
        <f aca="false">'Source Data'!E333</f>
        <v>0</v>
      </c>
      <c r="E336" s="6" t="n">
        <f aca="false">IFERROR(N(C336)-N(D336),"")</f>
        <v>6</v>
      </c>
      <c r="F336" s="7" t="str">
        <f aca="false">IF(E336&gt;0,"Yes",IF(E336&lt;0,"No (Paternity higher)","Equal"))</f>
        <v>Yes</v>
      </c>
    </row>
    <row r="337" customFormat="false" ht="15" hidden="false" customHeight="false" outlineLevel="0" collapsed="false">
      <c r="A337" s="5" t="str">
        <f aca="false">'Source Data'!A334</f>
        <v>Live Nation</v>
      </c>
      <c r="B337" s="5" t="str">
        <f aca="false">'Source Data'!B334</f>
        <v>Arts &amp; Entertainment</v>
      </c>
      <c r="C337" s="6" t="n">
        <f aca="false">'Source Data'!C334</f>
        <v>24</v>
      </c>
      <c r="D337" s="6" t="n">
        <f aca="false">'Source Data'!E334</f>
        <v>0</v>
      </c>
      <c r="E337" s="6" t="n">
        <f aca="false">IFERROR(N(C337)-N(D337),"")</f>
        <v>24</v>
      </c>
      <c r="F337" s="7" t="str">
        <f aca="false">IF(E337&gt;0,"Yes",IF(E337&lt;0,"No (Paternity higher)","Equal"))</f>
        <v>Yes</v>
      </c>
    </row>
    <row r="338" customFormat="false" ht="15" hidden="false" customHeight="false" outlineLevel="0" collapsed="false">
      <c r="A338" s="5" t="str">
        <f aca="false">'Source Data'!A335</f>
        <v>Camping World</v>
      </c>
      <c r="B338" s="5" t="str">
        <f aca="false">'Source Data'!B335</f>
        <v>Automotive: Dealers</v>
      </c>
      <c r="C338" s="6" t="n">
        <f aca="false">'Source Data'!C335</f>
        <v>8</v>
      </c>
      <c r="D338" s="6" t="n">
        <f aca="false">'Source Data'!E335</f>
        <v>0</v>
      </c>
      <c r="E338" s="6" t="n">
        <f aca="false">IFERROR(N(C338)-N(D338),"")</f>
        <v>8</v>
      </c>
      <c r="F338" s="7" t="str">
        <f aca="false">IF(E338&gt;0,"Yes",IF(E338&lt;0,"No (Paternity higher)","Equal"))</f>
        <v>Yes</v>
      </c>
    </row>
    <row r="339" customFormat="false" ht="15" hidden="false" customHeight="false" outlineLevel="0" collapsed="false">
      <c r="A339" s="5" t="str">
        <f aca="false">'Source Data'!A336</f>
        <v>Young Automotive Group</v>
      </c>
      <c r="B339" s="5" t="str">
        <f aca="false">'Source Data'!B336</f>
        <v>Automotive: Dealers</v>
      </c>
      <c r="C339" s="6" t="n">
        <f aca="false">'Source Data'!C336</f>
        <v>3</v>
      </c>
      <c r="D339" s="6" t="n">
        <f aca="false">'Source Data'!E336</f>
        <v>0</v>
      </c>
      <c r="E339" s="6" t="n">
        <f aca="false">IFERROR(N(C339)-N(D339),"")</f>
        <v>3</v>
      </c>
      <c r="F339" s="7" t="str">
        <f aca="false">IF(E339&gt;0,"Yes",IF(E339&lt;0,"No (Paternity higher)","Equal"))</f>
        <v>Yes</v>
      </c>
    </row>
    <row r="340" customFormat="false" ht="15" hidden="false" customHeight="false" outlineLevel="0" collapsed="false">
      <c r="A340" s="5" t="str">
        <f aca="false">'Source Data'!A337</f>
        <v>Aptiv PLC</v>
      </c>
      <c r="B340" s="5" t="str">
        <f aca="false">'Source Data'!B337</f>
        <v>Automotive: Manufacturers</v>
      </c>
      <c r="C340" s="6" t="n">
        <f aca="false">'Source Data'!C337</f>
        <v>6</v>
      </c>
      <c r="D340" s="6" t="n">
        <f aca="false">'Source Data'!E337</f>
        <v>0</v>
      </c>
      <c r="E340" s="6" t="n">
        <f aca="false">IFERROR(N(C340)-N(D340),"")</f>
        <v>6</v>
      </c>
      <c r="F340" s="7" t="str">
        <f aca="false">IF(E340&gt;0,"Yes",IF(E340&lt;0,"No (Paternity higher)","Equal"))</f>
        <v>Yes</v>
      </c>
    </row>
    <row r="341" customFormat="false" ht="15" hidden="false" customHeight="false" outlineLevel="0" collapsed="false">
      <c r="A341" s="5" t="str">
        <f aca="false">'Source Data'!A338</f>
        <v>Mercedes-Benz Research &amp; Development North America</v>
      </c>
      <c r="B341" s="5" t="str">
        <f aca="false">'Source Data'!B338</f>
        <v>Automotive: Manufacturers</v>
      </c>
      <c r="C341" s="6" t="n">
        <f aca="false">'Source Data'!C338</f>
        <v>24</v>
      </c>
      <c r="D341" s="6" t="n">
        <f aca="false">'Source Data'!E338</f>
        <v>0</v>
      </c>
      <c r="E341" s="6" t="n">
        <f aca="false">IFERROR(N(C341)-N(D341),"")</f>
        <v>24</v>
      </c>
      <c r="F341" s="7" t="str">
        <f aca="false">IF(E341&gt;0,"Yes",IF(E341&lt;0,"No (Paternity higher)","Equal"))</f>
        <v>Yes</v>
      </c>
    </row>
    <row r="342" customFormat="false" ht="15" hidden="false" customHeight="false" outlineLevel="0" collapsed="false">
      <c r="A342" s="5" t="str">
        <f aca="false">'Source Data'!A339</f>
        <v>Advance Auto Parts</v>
      </c>
      <c r="B342" s="5" t="str">
        <f aca="false">'Source Data'!B339</f>
        <v>Automotive: Parts</v>
      </c>
      <c r="C342" s="6" t="n">
        <f aca="false">'Source Data'!C339</f>
        <v>8</v>
      </c>
      <c r="D342" s="6" t="n">
        <f aca="false">'Source Data'!E339</f>
        <v>0</v>
      </c>
      <c r="E342" s="6" t="n">
        <f aca="false">IFERROR(N(C342)-N(D342),"")</f>
        <v>8</v>
      </c>
      <c r="F342" s="7" t="str">
        <f aca="false">IF(E342&gt;0,"Yes",IF(E342&lt;0,"No (Paternity higher)","Equal"))</f>
        <v>Yes</v>
      </c>
    </row>
    <row r="343" customFormat="false" ht="15" hidden="false" customHeight="false" outlineLevel="0" collapsed="false">
      <c r="A343" s="5" t="str">
        <f aca="false">'Source Data'!A340</f>
        <v>Bendix Commercial Vehicle Systems</v>
      </c>
      <c r="B343" s="5" t="str">
        <f aca="false">'Source Data'!B340</f>
        <v>Automotive: Parts Manufacturing</v>
      </c>
      <c r="C343" s="6" t="n">
        <f aca="false">'Source Data'!C340</f>
        <v>6</v>
      </c>
      <c r="D343" s="6" t="n">
        <f aca="false">'Source Data'!E340</f>
        <v>0</v>
      </c>
      <c r="E343" s="6" t="n">
        <f aca="false">IFERROR(N(C343)-N(D343),"")</f>
        <v>6</v>
      </c>
      <c r="F343" s="7" t="str">
        <f aca="false">IF(E343&gt;0,"Yes",IF(E343&lt;0,"No (Paternity higher)","Equal"))</f>
        <v>Yes</v>
      </c>
    </row>
    <row r="344" customFormat="false" ht="15" hidden="false" customHeight="false" outlineLevel="0" collapsed="false">
      <c r="A344" s="5" t="str">
        <f aca="false">'Source Data'!A341</f>
        <v>Bridgestone Corporation</v>
      </c>
      <c r="B344" s="5" t="str">
        <f aca="false">'Source Data'!B341</f>
        <v>Automotive: Parts Manufacturing</v>
      </c>
      <c r="C344" s="6" t="n">
        <f aca="false">'Source Data'!C341</f>
        <v>8</v>
      </c>
      <c r="D344" s="6" t="n">
        <f aca="false">'Source Data'!E341</f>
        <v>0</v>
      </c>
      <c r="E344" s="6" t="n">
        <f aca="false">IFERROR(N(C344)-N(D344),"")</f>
        <v>8</v>
      </c>
      <c r="F344" s="7" t="str">
        <f aca="false">IF(E344&gt;0,"Yes",IF(E344&lt;0,"No (Paternity higher)","Equal"))</f>
        <v>Yes</v>
      </c>
    </row>
    <row r="345" customFormat="false" ht="15" hidden="false" customHeight="false" outlineLevel="0" collapsed="false">
      <c r="A345" s="5" t="str">
        <f aca="false">'Source Data'!A342</f>
        <v>Continental</v>
      </c>
      <c r="B345" s="5" t="str">
        <f aca="false">'Source Data'!B342</f>
        <v>Automotive: Parts Manufacturing</v>
      </c>
      <c r="C345" s="6" t="n">
        <f aca="false">'Source Data'!C342</f>
        <v>4</v>
      </c>
      <c r="D345" s="6" t="n">
        <f aca="false">'Source Data'!E342</f>
        <v>0</v>
      </c>
      <c r="E345" s="6" t="n">
        <f aca="false">IFERROR(N(C345)-N(D345),"")</f>
        <v>4</v>
      </c>
      <c r="F345" s="7" t="str">
        <f aca="false">IF(E345&gt;0,"Yes",IF(E345&lt;0,"No (Paternity higher)","Equal"))</f>
        <v>Yes</v>
      </c>
    </row>
    <row r="346" customFormat="false" ht="15" hidden="false" customHeight="false" outlineLevel="0" collapsed="false">
      <c r="A346" s="5" t="str">
        <f aca="false">'Source Data'!A343</f>
        <v>Donaldson Company, Inc.</v>
      </c>
      <c r="B346" s="5" t="str">
        <f aca="false">'Source Data'!B343</f>
        <v>Automotive: Parts Manufacturing</v>
      </c>
      <c r="C346" s="6" t="n">
        <f aca="false">'Source Data'!C343</f>
        <v>0</v>
      </c>
      <c r="D346" s="6" t="n">
        <f aca="false">'Source Data'!E343</f>
        <v>0</v>
      </c>
      <c r="E346" s="6" t="n">
        <f aca="false">IFERROR(N(C346)-N(D346),"")</f>
        <v>0</v>
      </c>
      <c r="F346" s="7" t="str">
        <f aca="false">IF(E346&gt;0,"Yes",IF(E346&lt;0,"No (Paternity higher)","Equal"))</f>
        <v>Equal</v>
      </c>
    </row>
    <row r="347" customFormat="false" ht="15" hidden="false" customHeight="false" outlineLevel="0" collapsed="false">
      <c r="A347" s="5" t="str">
        <f aca="false">'Source Data'!A344</f>
        <v>Michelin</v>
      </c>
      <c r="B347" s="5" t="str">
        <f aca="false">'Source Data'!B344</f>
        <v>Automotive: Parts Manufacturing</v>
      </c>
      <c r="C347" s="6" t="n">
        <f aca="false">'Source Data'!C344</f>
        <v>12</v>
      </c>
      <c r="D347" s="6" t="n">
        <f aca="false">'Source Data'!E344</f>
        <v>0</v>
      </c>
      <c r="E347" s="6" t="n">
        <f aca="false">IFERROR(N(C347)-N(D347),"")</f>
        <v>12</v>
      </c>
      <c r="F347" s="7" t="str">
        <f aca="false">IF(E347&gt;0,"Yes",IF(E347&lt;0,"No (Paternity higher)","Equal"))</f>
        <v>Yes</v>
      </c>
    </row>
    <row r="348" customFormat="false" ht="15" hidden="false" customHeight="false" outlineLevel="0" collapsed="false">
      <c r="A348" s="5" t="str">
        <f aca="false">'Source Data'!A345</f>
        <v>Valvoline</v>
      </c>
      <c r="B348" s="5" t="str">
        <f aca="false">'Source Data'!B345</f>
        <v>Automotive: Products &amp; Services</v>
      </c>
      <c r="C348" s="6" t="n">
        <f aca="false">'Source Data'!C345</f>
        <v>4</v>
      </c>
      <c r="D348" s="6" t="n">
        <f aca="false">'Source Data'!E345</f>
        <v>0</v>
      </c>
      <c r="E348" s="6" t="n">
        <f aca="false">IFERROR(N(C348)-N(D348),"")</f>
        <v>4</v>
      </c>
      <c r="F348" s="7" t="str">
        <f aca="false">IF(E348&gt;0,"Yes",IF(E348&lt;0,"No (Paternity higher)","Equal"))</f>
        <v>Yes</v>
      </c>
    </row>
    <row r="349" customFormat="false" ht="15" hidden="false" customHeight="false" outlineLevel="0" collapsed="false">
      <c r="A349" s="5" t="str">
        <f aca="false">'Source Data'!A346</f>
        <v>Aramark</v>
      </c>
      <c r="B349" s="5" t="str">
        <f aca="false">'Source Data'!B346</f>
        <v>Business Services: Food &amp; Hospitality</v>
      </c>
      <c r="C349" s="6" t="n">
        <f aca="false">'Source Data'!C346</f>
        <v>2</v>
      </c>
      <c r="D349" s="6" t="n">
        <f aca="false">'Source Data'!E346</f>
        <v>0</v>
      </c>
      <c r="E349" s="6" t="n">
        <f aca="false">IFERROR(N(C349)-N(D349),"")</f>
        <v>2</v>
      </c>
      <c r="F349" s="7" t="str">
        <f aca="false">IF(E349&gt;0,"Yes",IF(E349&lt;0,"No (Paternity higher)","Equal"))</f>
        <v>Yes</v>
      </c>
    </row>
    <row r="350" customFormat="false" ht="15" hidden="false" customHeight="false" outlineLevel="0" collapsed="false">
      <c r="A350" s="5" t="str">
        <f aca="false">'Source Data'!A347</f>
        <v>Cintas Corporation</v>
      </c>
      <c r="B350" s="5" t="str">
        <f aca="false">'Source Data'!B347</f>
        <v>Business Services: Food &amp; Hospitality</v>
      </c>
      <c r="C350" s="6" t="n">
        <f aca="false">'Source Data'!C347</f>
        <v>12</v>
      </c>
      <c r="D350" s="6" t="n">
        <f aca="false">'Source Data'!E347</f>
        <v>0</v>
      </c>
      <c r="E350" s="6" t="n">
        <f aca="false">IFERROR(N(C350)-N(D350),"")</f>
        <v>12</v>
      </c>
      <c r="F350" s="7" t="str">
        <f aca="false">IF(E350&gt;0,"Yes",IF(E350&lt;0,"No (Paternity higher)","Equal"))</f>
        <v>Yes</v>
      </c>
    </row>
    <row r="351" customFormat="false" ht="15" hidden="false" customHeight="false" outlineLevel="0" collapsed="false">
      <c r="A351" s="5" t="str">
        <f aca="false">'Source Data'!A348</f>
        <v>ADP Canada Inc</v>
      </c>
      <c r="B351" s="5" t="str">
        <f aca="false">'Source Data'!B348</f>
        <v>Business Services: Human Resources</v>
      </c>
      <c r="C351" s="6" t="n">
        <f aca="false">'Source Data'!C348</f>
        <v>26</v>
      </c>
      <c r="D351" s="6" t="n">
        <f aca="false">'Source Data'!E348</f>
        <v>0</v>
      </c>
      <c r="E351" s="6" t="n">
        <f aca="false">IFERROR(N(C351)-N(D351),"")</f>
        <v>26</v>
      </c>
      <c r="F351" s="7" t="str">
        <f aca="false">IF(E351&gt;0,"Yes",IF(E351&lt;0,"No (Paternity higher)","Equal"))</f>
        <v>Yes</v>
      </c>
    </row>
    <row r="352" customFormat="false" ht="15" hidden="false" customHeight="false" outlineLevel="0" collapsed="false">
      <c r="A352" s="5" t="str">
        <f aca="false">'Source Data'!A349</f>
        <v>ADP India</v>
      </c>
      <c r="B352" s="5" t="str">
        <f aca="false">'Source Data'!B349</f>
        <v>Business Services: Human Resources</v>
      </c>
      <c r="C352" s="6" t="n">
        <f aca="false">'Source Data'!C349</f>
        <v>25</v>
      </c>
      <c r="D352" s="6" t="n">
        <f aca="false">'Source Data'!E349</f>
        <v>0</v>
      </c>
      <c r="E352" s="6" t="n">
        <f aca="false">IFERROR(N(C352)-N(D352),"")</f>
        <v>25</v>
      </c>
      <c r="F352" s="7" t="str">
        <f aca="false">IF(E352&gt;0,"Yes",IF(E352&lt;0,"No (Paternity higher)","Equal"))</f>
        <v>Yes</v>
      </c>
    </row>
    <row r="353" customFormat="false" ht="15" hidden="false" customHeight="false" outlineLevel="0" collapsed="false">
      <c r="A353" s="5" t="str">
        <f aca="false">'Source Data'!A350</f>
        <v>ADP Philippines</v>
      </c>
      <c r="B353" s="5" t="str">
        <f aca="false">'Source Data'!B350</f>
        <v>Business Services: Human Resources</v>
      </c>
      <c r="C353" s="6" t="n">
        <f aca="false">'Source Data'!C350</f>
        <v>6.5</v>
      </c>
      <c r="D353" s="6" t="n">
        <f aca="false">'Source Data'!E350</f>
        <v>0</v>
      </c>
      <c r="E353" s="6" t="n">
        <f aca="false">IFERROR(N(C353)-N(D353),"")</f>
        <v>6.5</v>
      </c>
      <c r="F353" s="7" t="str">
        <f aca="false">IF(E353&gt;0,"Yes",IF(E353&lt;0,"No (Paternity higher)","Equal"))</f>
        <v>Yes</v>
      </c>
    </row>
    <row r="354" customFormat="false" ht="15" hidden="false" customHeight="false" outlineLevel="0" collapsed="false">
      <c r="A354" s="5" t="str">
        <f aca="false">'Source Data'!A351</f>
        <v>ADP UK</v>
      </c>
      <c r="B354" s="5" t="str">
        <f aca="false">'Source Data'!B351</f>
        <v>Business Services: Human Resources</v>
      </c>
      <c r="C354" s="6" t="n">
        <f aca="false">'Source Data'!C351</f>
        <v>36</v>
      </c>
      <c r="D354" s="6" t="n">
        <f aca="false">'Source Data'!E351</f>
        <v>0</v>
      </c>
      <c r="E354" s="6" t="n">
        <f aca="false">IFERROR(N(C354)-N(D354),"")</f>
        <v>36</v>
      </c>
      <c r="F354" s="7" t="str">
        <f aca="false">IF(E354&gt;0,"Yes",IF(E354&lt;0,"No (Paternity higher)","Equal"))</f>
        <v>Yes</v>
      </c>
    </row>
    <row r="355" customFormat="false" ht="15" hidden="false" customHeight="false" outlineLevel="0" collapsed="false">
      <c r="A355" s="5" t="str">
        <f aca="false">'Source Data'!A352</f>
        <v>ACA Compliance Group</v>
      </c>
      <c r="B355" s="5" t="str">
        <f aca="false">'Source Data'!B352</f>
        <v>Business Services: Other</v>
      </c>
      <c r="C355" s="6" t="n">
        <f aca="false">'Source Data'!C352</f>
        <v>4</v>
      </c>
      <c r="D355" s="6" t="n">
        <f aca="false">'Source Data'!E352</f>
        <v>0</v>
      </c>
      <c r="E355" s="6" t="n">
        <f aca="false">IFERROR(N(C355)-N(D355),"")</f>
        <v>4</v>
      </c>
      <c r="F355" s="7" t="str">
        <f aca="false">IF(E355&gt;0,"Yes",IF(E355&lt;0,"No (Paternity higher)","Equal"))</f>
        <v>Yes</v>
      </c>
    </row>
    <row r="356" customFormat="false" ht="15" hidden="false" customHeight="false" outlineLevel="0" collapsed="false">
      <c r="A356" s="5" t="str">
        <f aca="false">'Source Data'!A353</f>
        <v>BDO USA, LLP</v>
      </c>
      <c r="B356" s="5" t="str">
        <f aca="false">'Source Data'!B353</f>
        <v>Business Services: Other</v>
      </c>
      <c r="C356" s="6" t="n">
        <f aca="false">'Source Data'!C353</f>
        <v>9</v>
      </c>
      <c r="D356" s="6" t="n">
        <f aca="false">'Source Data'!E353</f>
        <v>0</v>
      </c>
      <c r="E356" s="6" t="n">
        <f aca="false">IFERROR(N(C356)-N(D356),"")</f>
        <v>9</v>
      </c>
      <c r="F356" s="7" t="str">
        <f aca="false">IF(E356&gt;0,"Yes",IF(E356&lt;0,"No (Paternity higher)","Equal"))</f>
        <v>Yes</v>
      </c>
    </row>
    <row r="357" customFormat="false" ht="15" hidden="false" customHeight="false" outlineLevel="0" collapsed="false">
      <c r="A357" s="5" t="str">
        <f aca="false">'Source Data'!A354</f>
        <v>Brabo Payroll</v>
      </c>
      <c r="B357" s="5" t="str">
        <f aca="false">'Source Data'!B354</f>
        <v>Business Services: Other</v>
      </c>
      <c r="C357" s="6" t="n">
        <f aca="false">'Source Data'!C354</f>
        <v>13</v>
      </c>
      <c r="D357" s="6" t="n">
        <f aca="false">'Source Data'!E354</f>
        <v>0</v>
      </c>
      <c r="E357" s="6" t="n">
        <f aca="false">IFERROR(N(C357)-N(D357),"")</f>
        <v>13</v>
      </c>
      <c r="F357" s="7" t="str">
        <f aca="false">IF(E357&gt;0,"Yes",IF(E357&lt;0,"No (Paternity higher)","Equal"))</f>
        <v>Yes</v>
      </c>
    </row>
    <row r="358" customFormat="false" ht="15" hidden="false" customHeight="false" outlineLevel="0" collapsed="false">
      <c r="A358" s="5" t="str">
        <f aca="false">'Source Data'!A355</f>
        <v>Cardlytics</v>
      </c>
      <c r="B358" s="5" t="str">
        <f aca="false">'Source Data'!B355</f>
        <v>Business Services: Other</v>
      </c>
      <c r="C358" s="6" t="n">
        <f aca="false">'Source Data'!C355</f>
        <v>12</v>
      </c>
      <c r="D358" s="6" t="n">
        <f aca="false">'Source Data'!E355</f>
        <v>0</v>
      </c>
      <c r="E358" s="6" t="n">
        <f aca="false">IFERROR(N(C358)-N(D358),"")</f>
        <v>12</v>
      </c>
      <c r="F358" s="7" t="str">
        <f aca="false">IF(E358&gt;0,"Yes",IF(E358&lt;0,"No (Paternity higher)","Equal"))</f>
        <v>Yes</v>
      </c>
    </row>
    <row r="359" customFormat="false" ht="15" hidden="false" customHeight="false" outlineLevel="0" collapsed="false">
      <c r="A359" s="5" t="str">
        <f aca="false">'Source Data'!A356</f>
        <v>Cians Analytics</v>
      </c>
      <c r="B359" s="5" t="str">
        <f aca="false">'Source Data'!B356</f>
        <v>Business Services: Other</v>
      </c>
      <c r="C359" s="6" t="n">
        <f aca="false">'Source Data'!C356</f>
        <v>26</v>
      </c>
      <c r="D359" s="6" t="n">
        <f aca="false">'Source Data'!E356</f>
        <v>0</v>
      </c>
      <c r="E359" s="6" t="n">
        <f aca="false">IFERROR(N(C359)-N(D359),"")</f>
        <v>26</v>
      </c>
      <c r="F359" s="7" t="str">
        <f aca="false">IF(E359&gt;0,"Yes",IF(E359&lt;0,"No (Paternity higher)","Equal"))</f>
        <v>Yes</v>
      </c>
    </row>
    <row r="360" customFormat="false" ht="15" hidden="false" customHeight="false" outlineLevel="0" collapsed="false">
      <c r="A360" s="5" t="str">
        <f aca="false">'Source Data'!A357</f>
        <v>CoStar Group</v>
      </c>
      <c r="B360" s="5" t="str">
        <f aca="false">'Source Data'!B357</f>
        <v>Business Services: Other</v>
      </c>
      <c r="C360" s="6" t="n">
        <f aca="false">'Source Data'!C357</f>
        <v>6</v>
      </c>
      <c r="D360" s="6" t="n">
        <f aca="false">'Source Data'!E357</f>
        <v>0</v>
      </c>
      <c r="E360" s="6" t="n">
        <f aca="false">IFERROR(N(C360)-N(D360),"")</f>
        <v>6</v>
      </c>
      <c r="F360" s="7" t="str">
        <f aca="false">IF(E360&gt;0,"Yes",IF(E360&lt;0,"No (Paternity higher)","Equal"))</f>
        <v>Yes</v>
      </c>
    </row>
    <row r="361" customFormat="false" ht="15" hidden="false" customHeight="false" outlineLevel="0" collapsed="false">
      <c r="A361" s="5" t="str">
        <f aca="false">'Source Data'!A358</f>
        <v>Deluxe Corporation</v>
      </c>
      <c r="B361" s="5" t="str">
        <f aca="false">'Source Data'!B358</f>
        <v>Business Services: Other</v>
      </c>
      <c r="C361" s="6" t="n">
        <f aca="false">'Source Data'!C358</f>
        <v>8</v>
      </c>
      <c r="D361" s="6" t="n">
        <f aca="false">'Source Data'!E358</f>
        <v>0</v>
      </c>
      <c r="E361" s="6" t="n">
        <f aca="false">IFERROR(N(C361)-N(D361),"")</f>
        <v>8</v>
      </c>
      <c r="F361" s="7" t="str">
        <f aca="false">IF(E361&gt;0,"Yes",IF(E361&lt;0,"No (Paternity higher)","Equal"))</f>
        <v>Yes</v>
      </c>
    </row>
    <row r="362" customFormat="false" ht="15" hidden="false" customHeight="false" outlineLevel="0" collapsed="false">
      <c r="A362" s="5" t="str">
        <f aca="false">'Source Data'!A359</f>
        <v>EveryDay Labs</v>
      </c>
      <c r="B362" s="5" t="str">
        <f aca="false">'Source Data'!B359</f>
        <v>Business Services: Other</v>
      </c>
      <c r="C362" s="6" t="n">
        <f aca="false">'Source Data'!C359</f>
        <v>12</v>
      </c>
      <c r="D362" s="6" t="n">
        <f aca="false">'Source Data'!E359</f>
        <v>0</v>
      </c>
      <c r="E362" s="6" t="n">
        <f aca="false">IFERROR(N(C362)-N(D362),"")</f>
        <v>12</v>
      </c>
      <c r="F362" s="7" t="str">
        <f aca="false">IF(E362&gt;0,"Yes",IF(E362&lt;0,"No (Paternity higher)","Equal"))</f>
        <v>Yes</v>
      </c>
    </row>
    <row r="363" customFormat="false" ht="15" hidden="false" customHeight="false" outlineLevel="0" collapsed="false">
      <c r="A363" s="5" t="str">
        <f aca="false">'Source Data'!A360</f>
        <v>Flexport</v>
      </c>
      <c r="B363" s="5" t="str">
        <f aca="false">'Source Data'!B360</f>
        <v>Business Services: Other</v>
      </c>
      <c r="C363" s="6" t="n">
        <f aca="false">'Source Data'!C360</f>
        <v>16</v>
      </c>
      <c r="D363" s="6" t="n">
        <f aca="false">'Source Data'!E360</f>
        <v>0</v>
      </c>
      <c r="E363" s="6" t="n">
        <f aca="false">IFERROR(N(C363)-N(D363),"")</f>
        <v>16</v>
      </c>
      <c r="F363" s="7" t="str">
        <f aca="false">IF(E363&gt;0,"Yes",IF(E363&lt;0,"No (Paternity higher)","Equal"))</f>
        <v>Yes</v>
      </c>
    </row>
    <row r="364" customFormat="false" ht="15" hidden="false" customHeight="false" outlineLevel="0" collapsed="false">
      <c r="A364" s="5" t="str">
        <f aca="false">'Source Data'!A361</f>
        <v>LexisNexis Risk Solutions Group</v>
      </c>
      <c r="B364" s="5" t="str">
        <f aca="false">'Source Data'!B361</f>
        <v>Business Services: Other</v>
      </c>
      <c r="C364" s="6" t="n">
        <f aca="false">'Source Data'!C361</f>
        <v>6</v>
      </c>
      <c r="D364" s="6" t="n">
        <f aca="false">'Source Data'!E361</f>
        <v>0</v>
      </c>
      <c r="E364" s="6" t="n">
        <f aca="false">IFERROR(N(C364)-N(D364),"")</f>
        <v>6</v>
      </c>
      <c r="F364" s="7" t="str">
        <f aca="false">IF(E364&gt;0,"Yes",IF(E364&lt;0,"No (Paternity higher)","Equal"))</f>
        <v>Yes</v>
      </c>
    </row>
    <row r="365" customFormat="false" ht="15" hidden="false" customHeight="false" outlineLevel="0" collapsed="false">
      <c r="A365" s="5" t="str">
        <f aca="false">'Source Data'!A362</f>
        <v>LGC Standards</v>
      </c>
      <c r="B365" s="5" t="str">
        <f aca="false">'Source Data'!B362</f>
        <v>Business Services: Other</v>
      </c>
      <c r="C365" s="6" t="n">
        <f aca="false">'Source Data'!C362</f>
        <v>12</v>
      </c>
      <c r="D365" s="6" t="n">
        <f aca="false">'Source Data'!E362</f>
        <v>0</v>
      </c>
      <c r="E365" s="6" t="n">
        <f aca="false">IFERROR(N(C365)-N(D365),"")</f>
        <v>12</v>
      </c>
      <c r="F365" s="7" t="str">
        <f aca="false">IF(E365&gt;0,"Yes",IF(E365&lt;0,"No (Paternity higher)","Equal"))</f>
        <v>Yes</v>
      </c>
    </row>
    <row r="366" customFormat="false" ht="15" hidden="false" customHeight="false" outlineLevel="0" collapsed="false">
      <c r="A366" s="5" t="str">
        <f aca="false">'Source Data'!A363</f>
        <v>LOTH, Inc.</v>
      </c>
      <c r="B366" s="5" t="str">
        <f aca="false">'Source Data'!B363</f>
        <v>Business Services: Other</v>
      </c>
      <c r="C366" s="6" t="n">
        <f aca="false">'Source Data'!C363</f>
        <v>10</v>
      </c>
      <c r="D366" s="6" t="n">
        <f aca="false">'Source Data'!E363</f>
        <v>0</v>
      </c>
      <c r="E366" s="6" t="n">
        <f aca="false">IFERROR(N(C366)-N(D366),"")</f>
        <v>10</v>
      </c>
      <c r="F366" s="7" t="str">
        <f aca="false">IF(E366&gt;0,"Yes",IF(E366&lt;0,"No (Paternity higher)","Equal"))</f>
        <v>Yes</v>
      </c>
    </row>
    <row r="367" customFormat="false" ht="15" hidden="false" customHeight="false" outlineLevel="0" collapsed="false">
      <c r="A367" s="5" t="str">
        <f aca="false">'Source Data'!A364</f>
        <v>MIC Global Services</v>
      </c>
      <c r="B367" s="5" t="str">
        <f aca="false">'Source Data'!B364</f>
        <v>Business Services: Other</v>
      </c>
      <c r="C367" s="6" t="n">
        <f aca="false">'Source Data'!C364</f>
        <v>6</v>
      </c>
      <c r="D367" s="6" t="n">
        <f aca="false">'Source Data'!E364</f>
        <v>0</v>
      </c>
      <c r="E367" s="6" t="n">
        <f aca="false">IFERROR(N(C367)-N(D367),"")</f>
        <v>6</v>
      </c>
      <c r="F367" s="7" t="str">
        <f aca="false">IF(E367&gt;0,"Yes",IF(E367&lt;0,"No (Paternity higher)","Equal"))</f>
        <v>Yes</v>
      </c>
    </row>
    <row r="368" customFormat="false" ht="15" hidden="false" customHeight="false" outlineLevel="0" collapsed="false">
      <c r="A368" s="5" t="str">
        <f aca="false">'Source Data'!A365</f>
        <v>Moody's Analytics</v>
      </c>
      <c r="B368" s="5" t="str">
        <f aca="false">'Source Data'!B365</f>
        <v>Business Services: Other</v>
      </c>
      <c r="C368" s="6" t="n">
        <f aca="false">'Source Data'!C365</f>
        <v>12</v>
      </c>
      <c r="D368" s="6" t="n">
        <f aca="false">'Source Data'!E365</f>
        <v>0</v>
      </c>
      <c r="E368" s="6" t="n">
        <f aca="false">IFERROR(N(C368)-N(D368),"")</f>
        <v>12</v>
      </c>
      <c r="F368" s="7" t="str">
        <f aca="false">IF(E368&gt;0,"Yes",IF(E368&lt;0,"No (Paternity higher)","Equal"))</f>
        <v>Yes</v>
      </c>
    </row>
    <row r="369" customFormat="false" ht="15" hidden="false" customHeight="false" outlineLevel="0" collapsed="false">
      <c r="A369" s="5" t="str">
        <f aca="false">'Source Data'!A366</f>
        <v>Nuclear Energy Institute</v>
      </c>
      <c r="B369" s="5" t="str">
        <f aca="false">'Source Data'!B366</f>
        <v>Business Services: Other</v>
      </c>
      <c r="C369" s="6" t="n">
        <f aca="false">'Source Data'!C366</f>
        <v>12</v>
      </c>
      <c r="D369" s="6" t="n">
        <f aca="false">'Source Data'!E366</f>
        <v>0</v>
      </c>
      <c r="E369" s="6" t="n">
        <f aca="false">IFERROR(N(C369)-N(D369),"")</f>
        <v>12</v>
      </c>
      <c r="F369" s="7" t="str">
        <f aca="false">IF(E369&gt;0,"Yes",IF(E369&lt;0,"No (Paternity higher)","Equal"))</f>
        <v>Yes</v>
      </c>
    </row>
    <row r="370" customFormat="false" ht="15" hidden="false" customHeight="false" outlineLevel="0" collapsed="false">
      <c r="A370" s="5" t="str">
        <f aca="false">'Source Data'!A367</f>
        <v>SmithBucklin</v>
      </c>
      <c r="B370" s="5" t="str">
        <f aca="false">'Source Data'!B367</f>
        <v>Business Services: Other</v>
      </c>
      <c r="C370" s="6" t="n">
        <f aca="false">'Source Data'!C367</f>
        <v>2</v>
      </c>
      <c r="D370" s="6" t="n">
        <f aca="false">'Source Data'!E367</f>
        <v>0</v>
      </c>
      <c r="E370" s="6" t="n">
        <f aca="false">IFERROR(N(C370)-N(D370),"")</f>
        <v>2</v>
      </c>
      <c r="F370" s="7" t="str">
        <f aca="false">IF(E370&gt;0,"Yes",IF(E370&lt;0,"No (Paternity higher)","Equal"))</f>
        <v>Yes</v>
      </c>
    </row>
    <row r="371" customFormat="false" ht="15" hidden="false" customHeight="false" outlineLevel="0" collapsed="false">
      <c r="A371" s="5" t="str">
        <f aca="false">'Source Data'!A368</f>
        <v>The Larkin Company</v>
      </c>
      <c r="B371" s="5" t="str">
        <f aca="false">'Source Data'!B368</f>
        <v>Business Services: Other</v>
      </c>
      <c r="C371" s="6" t="n">
        <f aca="false">'Source Data'!C368</f>
        <v>12</v>
      </c>
      <c r="D371" s="6" t="n">
        <f aca="false">'Source Data'!E368</f>
        <v>0</v>
      </c>
      <c r="E371" s="6" t="n">
        <f aca="false">IFERROR(N(C371)-N(D371),"")</f>
        <v>12</v>
      </c>
      <c r="F371" s="7" t="str">
        <f aca="false">IF(E371&gt;0,"Yes",IF(E371&lt;0,"No (Paternity higher)","Equal"))</f>
        <v>Yes</v>
      </c>
    </row>
    <row r="372" customFormat="false" ht="15" hidden="false" customHeight="false" outlineLevel="0" collapsed="false">
      <c r="A372" s="5" t="str">
        <f aca="false">'Source Data'!A369</f>
        <v>Ticketmaster</v>
      </c>
      <c r="B372" s="5" t="str">
        <f aca="false">'Source Data'!B369</f>
        <v>Business Services: Other</v>
      </c>
      <c r="C372" s="6" t="n">
        <f aca="false">'Source Data'!C369</f>
        <v>23</v>
      </c>
      <c r="D372" s="6" t="n">
        <f aca="false">'Source Data'!E369</f>
        <v>0</v>
      </c>
      <c r="E372" s="6" t="n">
        <f aca="false">IFERROR(N(C372)-N(D372),"")</f>
        <v>23</v>
      </c>
      <c r="F372" s="7" t="str">
        <f aca="false">IF(E372&gt;0,"Yes",IF(E372&lt;0,"No (Paternity higher)","Equal"))</f>
        <v>Yes</v>
      </c>
    </row>
    <row r="373" customFormat="false" ht="15" hidden="false" customHeight="false" outlineLevel="0" collapsed="false">
      <c r="A373" s="5" t="str">
        <f aca="false">'Source Data'!A370</f>
        <v>UL LLC</v>
      </c>
      <c r="B373" s="5" t="str">
        <f aca="false">'Source Data'!B370</f>
        <v>Business Services: Other</v>
      </c>
      <c r="C373" s="6" t="n">
        <f aca="false">'Source Data'!C370</f>
        <v>13.5</v>
      </c>
      <c r="D373" s="6" t="n">
        <f aca="false">'Source Data'!E370</f>
        <v>0</v>
      </c>
      <c r="E373" s="6" t="n">
        <f aca="false">IFERROR(N(C373)-N(D373),"")</f>
        <v>13.5</v>
      </c>
      <c r="F373" s="7" t="str">
        <f aca="false">IF(E373&gt;0,"Yes",IF(E373&lt;0,"No (Paternity higher)","Equal"))</f>
        <v>Yes</v>
      </c>
    </row>
    <row r="374" customFormat="false" ht="15" hidden="false" customHeight="false" outlineLevel="0" collapsed="false">
      <c r="A374" s="5" t="str">
        <f aca="false">'Source Data'!A371</f>
        <v>United States Chamber of Commerce</v>
      </c>
      <c r="B374" s="5" t="str">
        <f aca="false">'Source Data'!B371</f>
        <v>Business Services: Other</v>
      </c>
      <c r="C374" s="6" t="n">
        <f aca="false">'Source Data'!C371</f>
        <v>8</v>
      </c>
      <c r="D374" s="6" t="n">
        <f aca="false">'Source Data'!E371</f>
        <v>0</v>
      </c>
      <c r="E374" s="6" t="n">
        <f aca="false">IFERROR(N(C374)-N(D374),"")</f>
        <v>8</v>
      </c>
      <c r="F374" s="7" t="str">
        <f aca="false">IF(E374&gt;0,"Yes",IF(E374&lt;0,"No (Paternity higher)","Equal"))</f>
        <v>Yes</v>
      </c>
    </row>
    <row r="375" customFormat="false" ht="15" hidden="false" customHeight="false" outlineLevel="0" collapsed="false">
      <c r="A375" s="5" t="str">
        <f aca="false">'Source Data'!A372</f>
        <v>247 Private Security</v>
      </c>
      <c r="B375" s="5" t="str">
        <f aca="false">'Source Data'!B372</f>
        <v>Business Services: Security</v>
      </c>
      <c r="C375" s="6" t="n">
        <f aca="false">'Source Data'!C372</f>
        <v>0</v>
      </c>
      <c r="D375" s="6" t="n">
        <f aca="false">'Source Data'!E372</f>
        <v>0</v>
      </c>
      <c r="E375" s="6" t="n">
        <f aca="false">IFERROR(N(C375)-N(D375),"")</f>
        <v>0</v>
      </c>
      <c r="F375" s="7" t="str">
        <f aca="false">IF(E375&gt;0,"Yes",IF(E375&lt;0,"No (Paternity higher)","Equal"))</f>
        <v>Equal</v>
      </c>
    </row>
    <row r="376" customFormat="false" ht="15" hidden="false" customHeight="false" outlineLevel="0" collapsed="false">
      <c r="A376" s="5" t="str">
        <f aca="false">'Source Data'!A373</f>
        <v>Allied Universal</v>
      </c>
      <c r="B376" s="5" t="str">
        <f aca="false">'Source Data'!B373</f>
        <v>Business Services: Security</v>
      </c>
      <c r="C376" s="6" t="n">
        <f aca="false">'Source Data'!C373</f>
        <v>5</v>
      </c>
      <c r="D376" s="6" t="n">
        <f aca="false">'Source Data'!E373</f>
        <v>0</v>
      </c>
      <c r="E376" s="6" t="n">
        <f aca="false">IFERROR(N(C376)-N(D376),"")</f>
        <v>5</v>
      </c>
      <c r="F376" s="7" t="str">
        <f aca="false">IF(E376&gt;0,"Yes",IF(E376&lt;0,"No (Paternity higher)","Equal"))</f>
        <v>Yes</v>
      </c>
    </row>
    <row r="377" customFormat="false" ht="15" hidden="false" customHeight="false" outlineLevel="0" collapsed="false">
      <c r="A377" s="5" t="str">
        <f aca="false">'Source Data'!A374</f>
        <v>Vivint</v>
      </c>
      <c r="B377" s="5" t="str">
        <f aca="false">'Source Data'!B374</f>
        <v>Business Services: Security</v>
      </c>
      <c r="C377" s="6" t="n">
        <f aca="false">'Source Data'!C374</f>
        <v>6</v>
      </c>
      <c r="D377" s="6" t="n">
        <f aca="false">'Source Data'!E374</f>
        <v>0</v>
      </c>
      <c r="E377" s="6" t="n">
        <f aca="false">IFERROR(N(C377)-N(D377),"")</f>
        <v>6</v>
      </c>
      <c r="F377" s="7" t="str">
        <f aca="false">IF(E377&gt;0,"Yes",IF(E377&lt;0,"No (Paternity higher)","Equal"))</f>
        <v>Yes</v>
      </c>
    </row>
    <row r="378" customFormat="false" ht="15" hidden="false" customHeight="false" outlineLevel="0" collapsed="false">
      <c r="A378" s="5" t="str">
        <f aca="false">'Source Data'!A375</f>
        <v>24-7 Intouch</v>
      </c>
      <c r="B378" s="5" t="str">
        <f aca="false">'Source Data'!B375</f>
        <v>Business Services: Staffing &amp; Outsourcing</v>
      </c>
      <c r="C378" s="6" t="n">
        <f aca="false">'Source Data'!C375</f>
        <v>0</v>
      </c>
      <c r="D378" s="6" t="n">
        <f aca="false">'Source Data'!E375</f>
        <v>0</v>
      </c>
      <c r="E378" s="6" t="n">
        <f aca="false">IFERROR(N(C378)-N(D378),"")</f>
        <v>0</v>
      </c>
      <c r="F378" s="7" t="str">
        <f aca="false">IF(E378&gt;0,"Yes",IF(E378&lt;0,"No (Paternity higher)","Equal"))</f>
        <v>Equal</v>
      </c>
    </row>
    <row r="379" customFormat="false" ht="15" hidden="false" customHeight="false" outlineLevel="0" collapsed="false">
      <c r="A379" s="5" t="str">
        <f aca="false">'Source Data'!A376</f>
        <v>Aerotek, Inc.</v>
      </c>
      <c r="B379" s="5" t="str">
        <f aca="false">'Source Data'!B376</f>
        <v>Business Services: Staffing &amp; Outsourcing</v>
      </c>
      <c r="C379" s="6" t="n">
        <f aca="false">'Source Data'!C376</f>
        <v>7</v>
      </c>
      <c r="D379" s="6" t="n">
        <f aca="false">'Source Data'!E376</f>
        <v>0</v>
      </c>
      <c r="E379" s="6" t="n">
        <f aca="false">IFERROR(N(C379)-N(D379),"")</f>
        <v>7</v>
      </c>
      <c r="F379" s="7" t="str">
        <f aca="false">IF(E379&gt;0,"Yes",IF(E379&lt;0,"No (Paternity higher)","Equal"))</f>
        <v>Yes</v>
      </c>
    </row>
    <row r="380" customFormat="false" ht="15" hidden="false" customHeight="false" outlineLevel="0" collapsed="false">
      <c r="A380" s="5" t="str">
        <f aca="false">'Source Data'!A377</f>
        <v>Beetroot</v>
      </c>
      <c r="B380" s="5" t="str">
        <f aca="false">'Source Data'!B377</f>
        <v>Business Services: Staffing &amp; Outsourcing</v>
      </c>
      <c r="C380" s="6" t="n">
        <f aca="false">'Source Data'!C377</f>
        <v>6</v>
      </c>
      <c r="D380" s="6" t="n">
        <f aca="false">'Source Data'!E377</f>
        <v>0</v>
      </c>
      <c r="E380" s="6" t="n">
        <f aca="false">IFERROR(N(C380)-N(D380),"")</f>
        <v>6</v>
      </c>
      <c r="F380" s="7" t="str">
        <f aca="false">IF(E380&gt;0,"Yes",IF(E380&lt;0,"No (Paternity higher)","Equal"))</f>
        <v>Yes</v>
      </c>
    </row>
    <row r="381" customFormat="false" ht="15" hidden="false" customHeight="false" outlineLevel="0" collapsed="false">
      <c r="A381" s="5" t="str">
        <f aca="false">'Source Data'!A378</f>
        <v>Caastle</v>
      </c>
      <c r="B381" s="5" t="str">
        <f aca="false">'Source Data'!B378</f>
        <v>Business Services: Staffing &amp; Outsourcing</v>
      </c>
      <c r="C381" s="6" t="n">
        <f aca="false">'Source Data'!C378</f>
        <v>12</v>
      </c>
      <c r="D381" s="6" t="n">
        <f aca="false">'Source Data'!E378</f>
        <v>0</v>
      </c>
      <c r="E381" s="6" t="n">
        <f aca="false">IFERROR(N(C381)-N(D381),"")</f>
        <v>12</v>
      </c>
      <c r="F381" s="7" t="str">
        <f aca="false">IF(E381&gt;0,"Yes",IF(E381&lt;0,"No (Paternity higher)","Equal"))</f>
        <v>Yes</v>
      </c>
    </row>
    <row r="382" customFormat="false" ht="15" hidden="false" customHeight="false" outlineLevel="0" collapsed="false">
      <c r="A382" s="5" t="str">
        <f aca="false">'Source Data'!A379</f>
        <v>Concurrent HRO</v>
      </c>
      <c r="B382" s="5" t="str">
        <f aca="false">'Source Data'!B379</f>
        <v>Business Services: Staffing &amp; Outsourcing</v>
      </c>
      <c r="C382" s="6" t="n">
        <f aca="false">'Source Data'!C379</f>
        <v>2</v>
      </c>
      <c r="D382" s="6" t="n">
        <f aca="false">'Source Data'!E379</f>
        <v>0</v>
      </c>
      <c r="E382" s="6" t="n">
        <f aca="false">IFERROR(N(C382)-N(D382),"")</f>
        <v>2</v>
      </c>
      <c r="F382" s="7" t="str">
        <f aca="false">IF(E382&gt;0,"Yes",IF(E382&lt;0,"No (Paternity higher)","Equal"))</f>
        <v>Yes</v>
      </c>
    </row>
    <row r="383" customFormat="false" ht="15" hidden="false" customHeight="false" outlineLevel="0" collapsed="false">
      <c r="A383" s="5" t="str">
        <f aca="false">'Source Data'!A380</f>
        <v>Cyberbacker PH</v>
      </c>
      <c r="B383" s="5" t="str">
        <f aca="false">'Source Data'!B380</f>
        <v>Business Services: Staffing &amp; Outsourcing</v>
      </c>
      <c r="C383" s="6" t="n">
        <f aca="false">'Source Data'!C380</f>
        <v>5</v>
      </c>
      <c r="D383" s="6" t="n">
        <f aca="false">'Source Data'!E380</f>
        <v>0</v>
      </c>
      <c r="E383" s="6" t="n">
        <f aca="false">IFERROR(N(C383)-N(D383),"")</f>
        <v>5</v>
      </c>
      <c r="F383" s="7" t="str">
        <f aca="false">IF(E383&gt;0,"Yes",IF(E383&lt;0,"No (Paternity higher)","Equal"))</f>
        <v>Yes</v>
      </c>
    </row>
    <row r="384" customFormat="false" ht="15" hidden="false" customHeight="false" outlineLevel="0" collapsed="false">
      <c r="A384" s="5" t="str">
        <f aca="false">'Source Data'!A381</f>
        <v>Daversa Partners</v>
      </c>
      <c r="B384" s="5" t="str">
        <f aca="false">'Source Data'!B381</f>
        <v>Business Services: Staffing &amp; Outsourcing</v>
      </c>
      <c r="C384" s="6" t="n">
        <f aca="false">'Source Data'!C381</f>
        <v>12</v>
      </c>
      <c r="D384" s="6" t="n">
        <f aca="false">'Source Data'!E381</f>
        <v>0</v>
      </c>
      <c r="E384" s="6" t="n">
        <f aca="false">IFERROR(N(C384)-N(D384),"")</f>
        <v>12</v>
      </c>
      <c r="F384" s="7" t="str">
        <f aca="false">IF(E384&gt;0,"Yes",IF(E384&lt;0,"No (Paternity higher)","Equal"))</f>
        <v>Yes</v>
      </c>
    </row>
    <row r="385" customFormat="false" ht="15" hidden="false" customHeight="false" outlineLevel="0" collapsed="false">
      <c r="A385" s="5" t="str">
        <f aca="false">'Source Data'!A382</f>
        <v>Hays</v>
      </c>
      <c r="B385" s="5" t="str">
        <f aca="false">'Source Data'!B382</f>
        <v>Business Services: Staffing &amp; Outsourcing</v>
      </c>
      <c r="C385" s="6" t="n">
        <f aca="false">'Source Data'!C382</f>
        <v>4</v>
      </c>
      <c r="D385" s="6" t="n">
        <f aca="false">'Source Data'!E382</f>
        <v>0</v>
      </c>
      <c r="E385" s="6" t="n">
        <f aca="false">IFERROR(N(C385)-N(D385),"")</f>
        <v>4</v>
      </c>
      <c r="F385" s="7" t="str">
        <f aca="false">IF(E385&gt;0,"Yes",IF(E385&lt;0,"No (Paternity higher)","Equal"))</f>
        <v>Yes</v>
      </c>
    </row>
    <row r="386" customFormat="false" ht="15" hidden="false" customHeight="false" outlineLevel="0" collapsed="false">
      <c r="A386" s="5" t="str">
        <f aca="false">'Source Data'!A383</f>
        <v>Kforce</v>
      </c>
      <c r="B386" s="5" t="str">
        <f aca="false">'Source Data'!B383</f>
        <v>Business Services: Staffing &amp; Outsourcing</v>
      </c>
      <c r="C386" s="6" t="n">
        <f aca="false">'Source Data'!C383</f>
        <v>1</v>
      </c>
      <c r="D386" s="6" t="n">
        <f aca="false">'Source Data'!E383</f>
        <v>0</v>
      </c>
      <c r="E386" s="6" t="n">
        <f aca="false">IFERROR(N(C386)-N(D386),"")</f>
        <v>1</v>
      </c>
      <c r="F386" s="7" t="str">
        <f aca="false">IF(E386&gt;0,"Yes",IF(E386&lt;0,"No (Paternity higher)","Equal"))</f>
        <v>Yes</v>
      </c>
    </row>
    <row r="387" customFormat="false" ht="15" hidden="false" customHeight="false" outlineLevel="0" collapsed="false">
      <c r="A387" s="5" t="str">
        <f aca="false">'Source Data'!A384</f>
        <v>Manpower</v>
      </c>
      <c r="B387" s="5" t="str">
        <f aca="false">'Source Data'!B384</f>
        <v>Business Services: Staffing &amp; Outsourcing</v>
      </c>
      <c r="C387" s="6" t="n">
        <f aca="false">'Source Data'!C384</f>
        <v>20</v>
      </c>
      <c r="D387" s="6" t="n">
        <f aca="false">'Source Data'!E384</f>
        <v>0</v>
      </c>
      <c r="E387" s="6" t="n">
        <f aca="false">IFERROR(N(C387)-N(D387),"")</f>
        <v>20</v>
      </c>
      <c r="F387" s="7" t="str">
        <f aca="false">IF(E387&gt;0,"Yes",IF(E387&lt;0,"No (Paternity higher)","Equal"))</f>
        <v>Yes</v>
      </c>
    </row>
    <row r="388" customFormat="false" ht="15" hidden="false" customHeight="false" outlineLevel="0" collapsed="false">
      <c r="A388" s="5" t="str">
        <f aca="false">'Source Data'!A385</f>
        <v>Marketsource</v>
      </c>
      <c r="B388" s="5" t="str">
        <f aca="false">'Source Data'!B385</f>
        <v>Business Services: Staffing &amp; Outsourcing</v>
      </c>
      <c r="C388" s="6" t="n">
        <f aca="false">'Source Data'!C385</f>
        <v>1</v>
      </c>
      <c r="D388" s="6" t="n">
        <f aca="false">'Source Data'!E385</f>
        <v>0</v>
      </c>
      <c r="E388" s="6" t="n">
        <f aca="false">IFERROR(N(C388)-N(D388),"")</f>
        <v>1</v>
      </c>
      <c r="F388" s="7" t="str">
        <f aca="false">IF(E388&gt;0,"Yes",IF(E388&lt;0,"No (Paternity higher)","Equal"))</f>
        <v>Yes</v>
      </c>
    </row>
    <row r="389" customFormat="false" ht="15" hidden="false" customHeight="false" outlineLevel="0" collapsed="false">
      <c r="A389" s="5" t="str">
        <f aca="false">'Source Data'!A386</f>
        <v>MarketStar</v>
      </c>
      <c r="B389" s="5" t="str">
        <f aca="false">'Source Data'!B386</f>
        <v>Business Services: Staffing &amp; Outsourcing</v>
      </c>
      <c r="C389" s="6" t="n">
        <f aca="false">'Source Data'!C386</f>
        <v>6</v>
      </c>
      <c r="D389" s="6" t="n">
        <f aca="false">'Source Data'!E386</f>
        <v>0</v>
      </c>
      <c r="E389" s="6" t="n">
        <f aca="false">IFERROR(N(C389)-N(D389),"")</f>
        <v>6</v>
      </c>
      <c r="F389" s="7" t="str">
        <f aca="false">IF(E389&gt;0,"Yes",IF(E389&lt;0,"No (Paternity higher)","Equal"))</f>
        <v>Yes</v>
      </c>
    </row>
    <row r="390" customFormat="false" ht="15" hidden="false" customHeight="false" outlineLevel="0" collapsed="false">
      <c r="A390" s="5" t="str">
        <f aca="false">'Source Data'!A387</f>
        <v>Maxim Healthcare Services</v>
      </c>
      <c r="B390" s="5" t="str">
        <f aca="false">'Source Data'!B387</f>
        <v>Business Services: Staffing &amp; Outsourcing</v>
      </c>
      <c r="C390" s="6" t="n">
        <f aca="false">'Source Data'!C387</f>
        <v>5</v>
      </c>
      <c r="D390" s="6" t="n">
        <f aca="false">'Source Data'!E387</f>
        <v>0</v>
      </c>
      <c r="E390" s="6" t="n">
        <f aca="false">IFERROR(N(C390)-N(D390),"")</f>
        <v>5</v>
      </c>
      <c r="F390" s="7" t="str">
        <f aca="false">IF(E390&gt;0,"Yes",IF(E390&lt;0,"No (Paternity higher)","Equal"))</f>
        <v>Yes</v>
      </c>
    </row>
    <row r="391" customFormat="false" ht="15" hidden="false" customHeight="false" outlineLevel="0" collapsed="false">
      <c r="A391" s="5" t="str">
        <f aca="false">'Source Data'!A388</f>
        <v>nFuzion</v>
      </c>
      <c r="B391" s="5" t="str">
        <f aca="false">'Source Data'!B388</f>
        <v>Business Services: Staffing &amp; Outsourcing</v>
      </c>
      <c r="C391" s="6" t="n">
        <f aca="false">'Source Data'!C388</f>
        <v>4</v>
      </c>
      <c r="D391" s="6" t="n">
        <f aca="false">'Source Data'!E388</f>
        <v>0</v>
      </c>
      <c r="E391" s="6" t="n">
        <f aca="false">IFERROR(N(C391)-N(D391),"")</f>
        <v>4</v>
      </c>
      <c r="F391" s="7" t="str">
        <f aca="false">IF(E391&gt;0,"Yes",IF(E391&lt;0,"No (Paternity higher)","Equal"))</f>
        <v>Yes</v>
      </c>
    </row>
    <row r="392" customFormat="false" ht="15" hidden="false" customHeight="false" outlineLevel="0" collapsed="false">
      <c r="A392" s="5" t="str">
        <f aca="false">'Source Data'!A389</f>
        <v>Norwin Technologies</v>
      </c>
      <c r="B392" s="5" t="str">
        <f aca="false">'Source Data'!B389</f>
        <v>Business Services: Staffing &amp; Outsourcing</v>
      </c>
      <c r="C392" s="6" t="n">
        <f aca="false">'Source Data'!C389</f>
        <v>2</v>
      </c>
      <c r="D392" s="6" t="n">
        <f aca="false">'Source Data'!E389</f>
        <v>0</v>
      </c>
      <c r="E392" s="6" t="n">
        <f aca="false">IFERROR(N(C392)-N(D392),"")</f>
        <v>2</v>
      </c>
      <c r="F392" s="7" t="str">
        <f aca="false">IF(E392&gt;0,"Yes",IF(E392&lt;0,"No (Paternity higher)","Equal"))</f>
        <v>Yes</v>
      </c>
    </row>
    <row r="393" customFormat="false" ht="15" hidden="false" customHeight="false" outlineLevel="0" collapsed="false">
      <c r="A393" s="5" t="str">
        <f aca="false">'Source Data'!A390</f>
        <v>Populus Group</v>
      </c>
      <c r="B393" s="5" t="str">
        <f aca="false">'Source Data'!B390</f>
        <v>Business Services: Staffing &amp; Outsourcing</v>
      </c>
      <c r="C393" s="6" t="n">
        <f aca="false">'Source Data'!C390</f>
        <v>12</v>
      </c>
      <c r="D393" s="6" t="n">
        <f aca="false">'Source Data'!E390</f>
        <v>0</v>
      </c>
      <c r="E393" s="6" t="n">
        <f aca="false">IFERROR(N(C393)-N(D393),"")</f>
        <v>12</v>
      </c>
      <c r="F393" s="7" t="str">
        <f aca="false">IF(E393&gt;0,"Yes",IF(E393&lt;0,"No (Paternity higher)","Equal"))</f>
        <v>Yes</v>
      </c>
    </row>
    <row r="394" customFormat="false" ht="15" hidden="false" customHeight="false" outlineLevel="0" collapsed="false">
      <c r="A394" s="5" t="str">
        <f aca="false">'Source Data'!A391</f>
        <v>Randstad Sourceright</v>
      </c>
      <c r="B394" s="5" t="str">
        <f aca="false">'Source Data'!B391</f>
        <v>Business Services: Staffing &amp; Outsourcing</v>
      </c>
      <c r="C394" s="6" t="n">
        <f aca="false">'Source Data'!C391</f>
        <v>39</v>
      </c>
      <c r="D394" s="6" t="n">
        <f aca="false">'Source Data'!E391</f>
        <v>0</v>
      </c>
      <c r="E394" s="6" t="n">
        <f aca="false">IFERROR(N(C394)-N(D394),"")</f>
        <v>39</v>
      </c>
      <c r="F394" s="7" t="str">
        <f aca="false">IF(E394&gt;0,"Yes",IF(E394&lt;0,"No (Paternity higher)","Equal"))</f>
        <v>Yes</v>
      </c>
    </row>
    <row r="395" customFormat="false" ht="15" hidden="false" customHeight="false" outlineLevel="0" collapsed="false">
      <c r="A395" s="5" t="str">
        <f aca="false">'Source Data'!A392</f>
        <v>Recruitics</v>
      </c>
      <c r="B395" s="5" t="str">
        <f aca="false">'Source Data'!B392</f>
        <v>Business Services: Staffing &amp; Outsourcing</v>
      </c>
      <c r="C395" s="6" t="n">
        <f aca="false">'Source Data'!C392</f>
        <v>9</v>
      </c>
      <c r="D395" s="6" t="n">
        <f aca="false">'Source Data'!E392</f>
        <v>0</v>
      </c>
      <c r="E395" s="6" t="n">
        <f aca="false">IFERROR(N(C395)-N(D395),"")</f>
        <v>9</v>
      </c>
      <c r="F395" s="7" t="str">
        <f aca="false">IF(E395&gt;0,"Yes",IF(E395&lt;0,"No (Paternity higher)","Equal"))</f>
        <v>Yes</v>
      </c>
    </row>
    <row r="396" customFormat="false" ht="15" hidden="false" customHeight="false" outlineLevel="0" collapsed="false">
      <c r="A396" s="5" t="str">
        <f aca="false">'Source Data'!A393</f>
        <v>Robert Half</v>
      </c>
      <c r="B396" s="5" t="str">
        <f aca="false">'Source Data'!B393</f>
        <v>Business Services: Staffing &amp; Outsourcing</v>
      </c>
      <c r="C396" s="6" t="n">
        <f aca="false">'Source Data'!C393</f>
        <v>6</v>
      </c>
      <c r="D396" s="6" t="n">
        <f aca="false">'Source Data'!E393</f>
        <v>0</v>
      </c>
      <c r="E396" s="6" t="n">
        <f aca="false">IFERROR(N(C396)-N(D396),"")</f>
        <v>6</v>
      </c>
      <c r="F396" s="7" t="str">
        <f aca="false">IF(E396&gt;0,"Yes",IF(E396&lt;0,"No (Paternity higher)","Equal"))</f>
        <v>Yes</v>
      </c>
    </row>
    <row r="397" customFormat="false" ht="15" hidden="false" customHeight="false" outlineLevel="0" collapsed="false">
      <c r="A397" s="5" t="str">
        <f aca="false">'Source Data'!A394</f>
        <v>Rochester Telemessaging Center</v>
      </c>
      <c r="B397" s="5" t="str">
        <f aca="false">'Source Data'!B394</f>
        <v>Business Services: Staffing &amp; Outsourcing</v>
      </c>
      <c r="C397" s="6" t="n">
        <f aca="false">'Source Data'!C394</f>
        <v>3</v>
      </c>
      <c r="D397" s="6" t="n">
        <f aca="false">'Source Data'!E394</f>
        <v>0</v>
      </c>
      <c r="E397" s="6" t="n">
        <f aca="false">IFERROR(N(C397)-N(D397),"")</f>
        <v>3</v>
      </c>
      <c r="F397" s="7" t="str">
        <f aca="false">IF(E397&gt;0,"Yes",IF(E397&lt;0,"No (Paternity higher)","Equal"))</f>
        <v>Yes</v>
      </c>
    </row>
    <row r="398" customFormat="false" ht="15" hidden="false" customHeight="false" outlineLevel="0" collapsed="false">
      <c r="A398" s="5" t="str">
        <f aca="false">'Source Data'!A395</f>
        <v>Search Solution Group</v>
      </c>
      <c r="B398" s="5" t="str">
        <f aca="false">'Source Data'!B395</f>
        <v>Business Services: Staffing &amp; Outsourcing</v>
      </c>
      <c r="C398" s="6" t="n">
        <f aca="false">'Source Data'!C395</f>
        <v>12</v>
      </c>
      <c r="D398" s="6" t="n">
        <f aca="false">'Source Data'!E395</f>
        <v>0</v>
      </c>
      <c r="E398" s="6" t="n">
        <f aca="false">IFERROR(N(C398)-N(D398),"")</f>
        <v>12</v>
      </c>
      <c r="F398" s="7" t="str">
        <f aca="false">IF(E398&gt;0,"Yes",IF(E398&lt;0,"No (Paternity higher)","Equal"))</f>
        <v>Yes</v>
      </c>
    </row>
    <row r="399" customFormat="false" ht="15" hidden="false" customHeight="false" outlineLevel="0" collapsed="false">
      <c r="A399" s="5" t="str">
        <f aca="false">'Source Data'!A396</f>
        <v>TaskUs</v>
      </c>
      <c r="B399" s="5" t="str">
        <f aca="false">'Source Data'!B396</f>
        <v>Business Services: Staffing &amp; Outsourcing</v>
      </c>
      <c r="C399" s="6" t="n">
        <f aca="false">'Source Data'!C396</f>
        <v>6</v>
      </c>
      <c r="D399" s="6" t="n">
        <f aca="false">'Source Data'!E396</f>
        <v>0</v>
      </c>
      <c r="E399" s="6" t="n">
        <f aca="false">IFERROR(N(C399)-N(D399),"")</f>
        <v>6</v>
      </c>
      <c r="F399" s="7" t="str">
        <f aca="false">IF(E399&gt;0,"Yes",IF(E399&lt;0,"No (Paternity higher)","Equal"))</f>
        <v>Yes</v>
      </c>
    </row>
    <row r="400" customFormat="false" ht="15" hidden="false" customHeight="false" outlineLevel="0" collapsed="false">
      <c r="A400" s="5" t="str">
        <f aca="false">'Source Data'!A397</f>
        <v>WilsonHCG</v>
      </c>
      <c r="B400" s="5" t="str">
        <f aca="false">'Source Data'!B397</f>
        <v>Business Services: Staffing &amp; Outsourcing</v>
      </c>
      <c r="C400" s="6" t="n">
        <f aca="false">'Source Data'!C397</f>
        <v>26</v>
      </c>
      <c r="D400" s="6" t="n">
        <f aca="false">'Source Data'!E397</f>
        <v>0</v>
      </c>
      <c r="E400" s="6" t="n">
        <f aca="false">IFERROR(N(C400)-N(D400),"")</f>
        <v>26</v>
      </c>
      <c r="F400" s="7" t="str">
        <f aca="false">IF(E400&gt;0,"Yes",IF(E400&lt;0,"No (Paternity higher)","Equal"))</f>
        <v>Yes</v>
      </c>
    </row>
    <row r="401" customFormat="false" ht="15" hidden="false" customHeight="false" outlineLevel="0" collapsed="false">
      <c r="A401" s="5" t="str">
        <f aca="false">'Source Data'!A398</f>
        <v>Alight Solutions</v>
      </c>
      <c r="B401" s="5" t="str">
        <f aca="false">'Source Data'!B398</f>
        <v>Business Services: Technology Solutions</v>
      </c>
      <c r="C401" s="6" t="n">
        <f aca="false">'Source Data'!C398</f>
        <v>8</v>
      </c>
      <c r="D401" s="6" t="n">
        <f aca="false">'Source Data'!E398</f>
        <v>0</v>
      </c>
      <c r="E401" s="6" t="n">
        <f aca="false">IFERROR(N(C401)-N(D401),"")</f>
        <v>8</v>
      </c>
      <c r="F401" s="7" t="str">
        <f aca="false">IF(E401&gt;0,"Yes",IF(E401&lt;0,"No (Paternity higher)","Equal"))</f>
        <v>Yes</v>
      </c>
    </row>
    <row r="402" customFormat="false" ht="15" hidden="false" customHeight="false" outlineLevel="0" collapsed="false">
      <c r="A402" s="5" t="str">
        <f aca="false">'Source Data'!A399</f>
        <v>Allied Telecom Group</v>
      </c>
      <c r="B402" s="5" t="str">
        <f aca="false">'Source Data'!B399</f>
        <v>Business Services: Technology Solutions</v>
      </c>
      <c r="C402" s="6" t="n">
        <f aca="false">'Source Data'!C399</f>
        <v>10</v>
      </c>
      <c r="D402" s="6" t="n">
        <f aca="false">'Source Data'!E399</f>
        <v>0</v>
      </c>
      <c r="E402" s="6" t="n">
        <f aca="false">IFERROR(N(C402)-N(D402),"")</f>
        <v>10</v>
      </c>
      <c r="F402" s="7" t="str">
        <f aca="false">IF(E402&gt;0,"Yes",IF(E402&lt;0,"No (Paternity higher)","Equal"))</f>
        <v>Yes</v>
      </c>
    </row>
    <row r="403" customFormat="false" ht="15" hidden="false" customHeight="false" outlineLevel="0" collapsed="false">
      <c r="A403" s="5" t="str">
        <f aca="false">'Source Data'!A400</f>
        <v>Bazaarvoice</v>
      </c>
      <c r="B403" s="5" t="str">
        <f aca="false">'Source Data'!B400</f>
        <v>Business Services: Technology Solutions</v>
      </c>
      <c r="C403" s="6" t="n">
        <f aca="false">'Source Data'!C400</f>
        <v>12</v>
      </c>
      <c r="D403" s="6" t="n">
        <f aca="false">'Source Data'!E400</f>
        <v>0</v>
      </c>
      <c r="E403" s="6" t="n">
        <f aca="false">IFERROR(N(C403)-N(D403),"")</f>
        <v>12</v>
      </c>
      <c r="F403" s="7" t="str">
        <f aca="false">IF(E403&gt;0,"Yes",IF(E403&lt;0,"No (Paternity higher)","Equal"))</f>
        <v>Yes</v>
      </c>
    </row>
    <row r="404" customFormat="false" ht="15" hidden="false" customHeight="false" outlineLevel="0" collapsed="false">
      <c r="A404" s="5" t="str">
        <f aca="false">'Source Data'!A401</f>
        <v>Broadridge Financial Solutions Group</v>
      </c>
      <c r="B404" s="5" t="str">
        <f aca="false">'Source Data'!B401</f>
        <v>Business Services: Technology Solutions</v>
      </c>
      <c r="C404" s="6" t="n">
        <f aca="false">'Source Data'!C401</f>
        <v>10.5</v>
      </c>
      <c r="D404" s="6" t="n">
        <f aca="false">'Source Data'!E401</f>
        <v>0</v>
      </c>
      <c r="E404" s="6" t="n">
        <f aca="false">IFERROR(N(C404)-N(D404),"")</f>
        <v>10.5</v>
      </c>
      <c r="F404" s="7" t="str">
        <f aca="false">IF(E404&gt;0,"Yes",IF(E404&lt;0,"No (Paternity higher)","Equal"))</f>
        <v>Yes</v>
      </c>
    </row>
    <row r="405" customFormat="false" ht="15" hidden="false" customHeight="false" outlineLevel="0" collapsed="false">
      <c r="A405" s="5" t="str">
        <f aca="false">'Source Data'!A402</f>
        <v>CareDox</v>
      </c>
      <c r="B405" s="5" t="str">
        <f aca="false">'Source Data'!B402</f>
        <v>Business Services: Technology Solutions</v>
      </c>
      <c r="C405" s="6" t="n">
        <f aca="false">'Source Data'!C402</f>
        <v>12</v>
      </c>
      <c r="D405" s="6" t="n">
        <f aca="false">'Source Data'!E402</f>
        <v>0</v>
      </c>
      <c r="E405" s="6" t="n">
        <f aca="false">IFERROR(N(C405)-N(D405),"")</f>
        <v>12</v>
      </c>
      <c r="F405" s="7" t="str">
        <f aca="false">IF(E405&gt;0,"Yes",IF(E405&lt;0,"No (Paternity higher)","Equal"))</f>
        <v>Yes</v>
      </c>
    </row>
    <row r="406" customFormat="false" ht="15" hidden="false" customHeight="false" outlineLevel="0" collapsed="false">
      <c r="A406" s="5" t="str">
        <f aca="false">'Source Data'!A403</f>
        <v>Clever Devices</v>
      </c>
      <c r="B406" s="5" t="str">
        <f aca="false">'Source Data'!B403</f>
        <v>Business Services: Technology Solutions</v>
      </c>
      <c r="C406" s="6" t="n">
        <f aca="false">'Source Data'!C403</f>
        <v>4</v>
      </c>
      <c r="D406" s="6" t="n">
        <f aca="false">'Source Data'!E403</f>
        <v>0</v>
      </c>
      <c r="E406" s="6" t="n">
        <f aca="false">IFERROR(N(C406)-N(D406),"")</f>
        <v>4</v>
      </c>
      <c r="F406" s="7" t="str">
        <f aca="false">IF(E406&gt;0,"Yes",IF(E406&lt;0,"No (Paternity higher)","Equal"))</f>
        <v>Yes</v>
      </c>
    </row>
    <row r="407" customFormat="false" ht="15" hidden="false" customHeight="false" outlineLevel="0" collapsed="false">
      <c r="A407" s="5" t="str">
        <f aca="false">'Source Data'!A404</f>
        <v>Galois</v>
      </c>
      <c r="B407" s="5" t="str">
        <f aca="false">'Source Data'!B404</f>
        <v>Business Services: Technology Solutions</v>
      </c>
      <c r="C407" s="6" t="n">
        <f aca="false">'Source Data'!C404</f>
        <v>16</v>
      </c>
      <c r="D407" s="6" t="n">
        <f aca="false">'Source Data'!E404</f>
        <v>0</v>
      </c>
      <c r="E407" s="6" t="n">
        <f aca="false">IFERROR(N(C407)-N(D407),"")</f>
        <v>16</v>
      </c>
      <c r="F407" s="7" t="str">
        <f aca="false">IF(E407&gt;0,"Yes",IF(E407&lt;0,"No (Paternity higher)","Equal"))</f>
        <v>Yes</v>
      </c>
    </row>
    <row r="408" customFormat="false" ht="15" hidden="false" customHeight="false" outlineLevel="0" collapsed="false">
      <c r="A408" s="5" t="str">
        <f aca="false">'Source Data'!A405</f>
        <v>Paya</v>
      </c>
      <c r="B408" s="5" t="str">
        <f aca="false">'Source Data'!B405</f>
        <v>Business Services: Technology Solutions</v>
      </c>
      <c r="C408" s="6" t="n">
        <f aca="false">'Source Data'!C405</f>
        <v>5</v>
      </c>
      <c r="D408" s="6" t="n">
        <f aca="false">'Source Data'!E405</f>
        <v>0</v>
      </c>
      <c r="E408" s="6" t="n">
        <f aca="false">IFERROR(N(C408)-N(D408),"")</f>
        <v>5</v>
      </c>
      <c r="F408" s="7" t="str">
        <f aca="false">IF(E408&gt;0,"Yes",IF(E408&lt;0,"No (Paternity higher)","Equal"))</f>
        <v>Yes</v>
      </c>
    </row>
    <row r="409" customFormat="false" ht="15" hidden="false" customHeight="false" outlineLevel="0" collapsed="false">
      <c r="A409" s="5" t="str">
        <f aca="false">'Source Data'!A406</f>
        <v>Pitney Bowes</v>
      </c>
      <c r="B409" s="5" t="str">
        <f aca="false">'Source Data'!B406</f>
        <v>Business Services: Technology Solutions</v>
      </c>
      <c r="C409" s="6" t="n">
        <f aca="false">'Source Data'!C406</f>
        <v>8</v>
      </c>
      <c r="D409" s="6" t="n">
        <f aca="false">'Source Data'!E406</f>
        <v>0</v>
      </c>
      <c r="E409" s="6" t="n">
        <f aca="false">IFERROR(N(C409)-N(D409),"")</f>
        <v>8</v>
      </c>
      <c r="F409" s="7" t="str">
        <f aca="false">IF(E409&gt;0,"Yes",IF(E409&lt;0,"No (Paternity higher)","Equal"))</f>
        <v>Yes</v>
      </c>
    </row>
    <row r="410" customFormat="false" ht="15" hidden="false" customHeight="false" outlineLevel="0" collapsed="false">
      <c r="A410" s="5" t="str">
        <f aca="false">'Source Data'!A407</f>
        <v>Sprinklr</v>
      </c>
      <c r="B410" s="5" t="str">
        <f aca="false">'Source Data'!B407</f>
        <v>Business Services: Technology Solutions</v>
      </c>
      <c r="C410" s="6" t="n">
        <f aca="false">'Source Data'!C407</f>
        <v>14</v>
      </c>
      <c r="D410" s="6" t="n">
        <f aca="false">'Source Data'!E407</f>
        <v>0</v>
      </c>
      <c r="E410" s="6" t="n">
        <f aca="false">IFERROR(N(C410)-N(D410),"")</f>
        <v>14</v>
      </c>
      <c r="F410" s="7" t="str">
        <f aca="false">IF(E410&gt;0,"Yes",IF(E410&lt;0,"No (Paternity higher)","Equal"))</f>
        <v>Yes</v>
      </c>
    </row>
    <row r="411" customFormat="false" ht="15" hidden="false" customHeight="false" outlineLevel="0" collapsed="false">
      <c r="A411" s="5" t="str">
        <f aca="false">'Source Data'!A408</f>
        <v>Taulia Inc.</v>
      </c>
      <c r="B411" s="5" t="str">
        <f aca="false">'Source Data'!B408</f>
        <v>Business Services: Technology Solutions</v>
      </c>
      <c r="C411" s="6" t="n">
        <f aca="false">'Source Data'!C408</f>
        <v>16</v>
      </c>
      <c r="D411" s="6" t="n">
        <f aca="false">'Source Data'!E408</f>
        <v>0</v>
      </c>
      <c r="E411" s="6" t="n">
        <f aca="false">IFERROR(N(C411)-N(D411),"")</f>
        <v>16</v>
      </c>
      <c r="F411" s="7" t="str">
        <f aca="false">IF(E411&gt;0,"Yes",IF(E411&lt;0,"No (Paternity higher)","Equal"))</f>
        <v>Yes</v>
      </c>
    </row>
    <row r="412" customFormat="false" ht="15" hidden="false" customHeight="false" outlineLevel="0" collapsed="false">
      <c r="A412" s="5" t="str">
        <f aca="false">'Source Data'!A409</f>
        <v>Thoughtworks</v>
      </c>
      <c r="B412" s="5" t="str">
        <f aca="false">'Source Data'!B409</f>
        <v>Business Services: Technology Solutions</v>
      </c>
      <c r="C412" s="6" t="n">
        <f aca="false">'Source Data'!C409</f>
        <v>12</v>
      </c>
      <c r="D412" s="6" t="n">
        <f aca="false">'Source Data'!E409</f>
        <v>0</v>
      </c>
      <c r="E412" s="6" t="n">
        <f aca="false">IFERROR(N(C412)-N(D412),"")</f>
        <v>12</v>
      </c>
      <c r="F412" s="7" t="str">
        <f aca="false">IF(E412&gt;0,"Yes",IF(E412&lt;0,"No (Paternity higher)","Equal"))</f>
        <v>Yes</v>
      </c>
    </row>
    <row r="413" customFormat="false" ht="15" hidden="false" customHeight="false" outlineLevel="0" collapsed="false">
      <c r="A413" s="5" t="str">
        <f aca="false">'Source Data'!A410</f>
        <v>TodayTix</v>
      </c>
      <c r="B413" s="5" t="str">
        <f aca="false">'Source Data'!B410</f>
        <v>Business Services: Technology Solutions</v>
      </c>
      <c r="C413" s="6" t="n">
        <f aca="false">'Source Data'!C410</f>
        <v>12</v>
      </c>
      <c r="D413" s="6" t="n">
        <f aca="false">'Source Data'!E410</f>
        <v>0</v>
      </c>
      <c r="E413" s="6" t="n">
        <f aca="false">IFERROR(N(C413)-N(D413),"")</f>
        <v>12</v>
      </c>
      <c r="F413" s="7" t="str">
        <f aca="false">IF(E413&gt;0,"Yes",IF(E413&lt;0,"No (Paternity higher)","Equal"))</f>
        <v>Yes</v>
      </c>
    </row>
    <row r="414" customFormat="false" ht="15" hidden="false" customHeight="false" outlineLevel="0" collapsed="false">
      <c r="A414" s="5" t="str">
        <f aca="false">'Source Data'!A411</f>
        <v>Sysdig</v>
      </c>
      <c r="B414" s="5" t="str">
        <f aca="false">'Source Data'!B411</f>
        <v>Computer &amp; Network Security</v>
      </c>
      <c r="C414" s="6" t="n">
        <f aca="false">'Source Data'!C411</f>
        <v>13</v>
      </c>
      <c r="D414" s="6" t="n">
        <f aca="false">'Source Data'!E411</f>
        <v>0</v>
      </c>
      <c r="E414" s="6" t="n">
        <f aca="false">IFERROR(N(C414)-N(D414),"")</f>
        <v>13</v>
      </c>
      <c r="F414" s="7" t="str">
        <f aca="false">IF(E414&gt;0,"Yes",IF(E414&lt;0,"No (Paternity higher)","Equal"))</f>
        <v>Yes</v>
      </c>
    </row>
    <row r="415" customFormat="false" ht="15" hidden="false" customHeight="false" outlineLevel="0" collapsed="false">
      <c r="A415" s="5" t="str">
        <f aca="false">'Source Data'!A412</f>
        <v>Miro</v>
      </c>
      <c r="B415" s="5" t="str">
        <f aca="false">'Source Data'!B412</f>
        <v>Computer Software</v>
      </c>
      <c r="C415" s="6" t="n">
        <f aca="false">'Source Data'!C412</f>
        <v>12</v>
      </c>
      <c r="D415" s="6" t="n">
        <f aca="false">'Source Data'!E412</f>
        <v>6</v>
      </c>
      <c r="E415" s="6" t="n">
        <f aca="false">IFERROR(N(C415)-N(D415),"")</f>
        <v>6</v>
      </c>
      <c r="F415" s="7" t="str">
        <f aca="false">IF(E415&gt;0,"Yes",IF(E415&lt;0,"No (Paternity higher)","Equal"))</f>
        <v>Yes</v>
      </c>
    </row>
    <row r="416" customFormat="false" ht="15" hidden="false" customHeight="false" outlineLevel="0" collapsed="false">
      <c r="A416" s="5" t="str">
        <f aca="false">'Source Data'!A413</f>
        <v>General Electric</v>
      </c>
      <c r="B416" s="5" t="str">
        <f aca="false">'Source Data'!B413</f>
        <v>Conglomerate</v>
      </c>
      <c r="C416" s="6" t="n">
        <f aca="false">'Source Data'!C413</f>
        <v>12</v>
      </c>
      <c r="D416" s="6" t="n">
        <f aca="false">'Source Data'!E413</f>
        <v>0</v>
      </c>
      <c r="E416" s="6" t="n">
        <f aca="false">IFERROR(N(C416)-N(D416),"")</f>
        <v>12</v>
      </c>
      <c r="F416" s="7" t="str">
        <f aca="false">IF(E416&gt;0,"Yes",IF(E416&lt;0,"No (Paternity higher)","Equal"))</f>
        <v>Yes</v>
      </c>
    </row>
    <row r="417" customFormat="false" ht="15" hidden="false" customHeight="false" outlineLevel="0" collapsed="false">
      <c r="A417" s="5" t="str">
        <f aca="false">'Source Data'!A414</f>
        <v>Growmark</v>
      </c>
      <c r="B417" s="5" t="str">
        <f aca="false">'Source Data'!B414</f>
        <v>Conglomerate</v>
      </c>
      <c r="C417" s="6" t="n">
        <f aca="false">'Source Data'!C414</f>
        <v>2</v>
      </c>
      <c r="D417" s="6" t="n">
        <f aca="false">'Source Data'!E414</f>
        <v>0</v>
      </c>
      <c r="E417" s="6" t="n">
        <f aca="false">IFERROR(N(C417)-N(D417),"")</f>
        <v>2</v>
      </c>
      <c r="F417" s="7" t="str">
        <f aca="false">IF(E417&gt;0,"Yes",IF(E417&lt;0,"No (Paternity higher)","Equal"))</f>
        <v>Yes</v>
      </c>
    </row>
    <row r="418" customFormat="false" ht="15" hidden="false" customHeight="false" outlineLevel="0" collapsed="false">
      <c r="A418" s="5" t="str">
        <f aca="false">'Source Data'!A415</f>
        <v>Koch Industries</v>
      </c>
      <c r="B418" s="5" t="str">
        <f aca="false">'Source Data'!B415</f>
        <v>Conglomerate</v>
      </c>
      <c r="C418" s="6" t="n">
        <f aca="false">'Source Data'!C415</f>
        <v>6</v>
      </c>
      <c r="D418" s="6" t="n">
        <f aca="false">'Source Data'!E415</f>
        <v>0</v>
      </c>
      <c r="E418" s="6" t="n">
        <f aca="false">IFERROR(N(C418)-N(D418),"")</f>
        <v>6</v>
      </c>
      <c r="F418" s="7" t="str">
        <f aca="false">IF(E418&gt;0,"Yes",IF(E418&lt;0,"No (Paternity higher)","Equal"))</f>
        <v>Yes</v>
      </c>
    </row>
    <row r="419" customFormat="false" ht="15" hidden="false" customHeight="false" outlineLevel="0" collapsed="false">
      <c r="A419" s="5" t="str">
        <f aca="false">'Source Data'!A416</f>
        <v>Newell Brands</v>
      </c>
      <c r="B419" s="5" t="str">
        <f aca="false">'Source Data'!B416</f>
        <v>Conglomerate</v>
      </c>
      <c r="C419" s="6" t="n">
        <f aca="false">'Source Data'!C416</f>
        <v>12</v>
      </c>
      <c r="D419" s="6" t="n">
        <f aca="false">'Source Data'!E416</f>
        <v>0</v>
      </c>
      <c r="E419" s="6" t="n">
        <f aca="false">IFERROR(N(C419)-N(D419),"")</f>
        <v>12</v>
      </c>
      <c r="F419" s="7" t="str">
        <f aca="false">IF(E419&gt;0,"Yes",IF(E419&lt;0,"No (Paternity higher)","Equal"))</f>
        <v>Yes</v>
      </c>
    </row>
    <row r="420" customFormat="false" ht="15" hidden="false" customHeight="false" outlineLevel="0" collapsed="false">
      <c r="A420" s="5" t="str">
        <f aca="false">'Source Data'!A417</f>
        <v>Reliance Industries, Ltd</v>
      </c>
      <c r="B420" s="5" t="str">
        <f aca="false">'Source Data'!B417</f>
        <v>Conglomerate</v>
      </c>
      <c r="C420" s="6" t="n">
        <f aca="false">'Source Data'!C417</f>
        <v>52</v>
      </c>
      <c r="D420" s="6" t="n">
        <f aca="false">'Source Data'!E417</f>
        <v>0</v>
      </c>
      <c r="E420" s="6" t="n">
        <f aca="false">IFERROR(N(C420)-N(D420),"")</f>
        <v>52</v>
      </c>
      <c r="F420" s="7" t="str">
        <f aca="false">IF(E420&gt;0,"Yes",IF(E420&lt;0,"No (Paternity higher)","Equal"))</f>
        <v>Yes</v>
      </c>
    </row>
    <row r="421" customFormat="false" ht="15" hidden="false" customHeight="false" outlineLevel="0" collapsed="false">
      <c r="A421" s="5" t="str">
        <f aca="false">'Source Data'!A418</f>
        <v>Siemens Industry Automation and Drive Technologies</v>
      </c>
      <c r="B421" s="5" t="str">
        <f aca="false">'Source Data'!B418</f>
        <v>Conglomerate</v>
      </c>
      <c r="C421" s="6" t="n">
        <f aca="false">'Source Data'!C418</f>
        <v>9.5</v>
      </c>
      <c r="D421" s="6" t="n">
        <f aca="false">'Source Data'!E418</f>
        <v>0</v>
      </c>
      <c r="E421" s="6" t="n">
        <f aca="false">IFERROR(N(C421)-N(D421),"")</f>
        <v>9.5</v>
      </c>
      <c r="F421" s="7" t="str">
        <f aca="false">IF(E421&gt;0,"Yes",IF(E421&lt;0,"No (Paternity higher)","Equal"))</f>
        <v>Yes</v>
      </c>
    </row>
    <row r="422" customFormat="false" ht="15" hidden="false" customHeight="false" outlineLevel="0" collapsed="false">
      <c r="A422" s="5" t="str">
        <f aca="false">'Source Data'!A419</f>
        <v>Textron Inc.</v>
      </c>
      <c r="B422" s="5" t="str">
        <f aca="false">'Source Data'!B419</f>
        <v>Conglomerate</v>
      </c>
      <c r="C422" s="6" t="n">
        <f aca="false">'Source Data'!C419</f>
        <v>2</v>
      </c>
      <c r="D422" s="6" t="n">
        <f aca="false">'Source Data'!E419</f>
        <v>0</v>
      </c>
      <c r="E422" s="6" t="n">
        <f aca="false">IFERROR(N(C422)-N(D422),"")</f>
        <v>2</v>
      </c>
      <c r="F422" s="7" t="str">
        <f aca="false">IF(E422&gt;0,"Yes",IF(E422&lt;0,"No (Paternity higher)","Equal"))</f>
        <v>Yes</v>
      </c>
    </row>
    <row r="423" customFormat="false" ht="15" hidden="false" customHeight="false" outlineLevel="0" collapsed="false">
      <c r="A423" s="5" t="str">
        <f aca="false">'Source Data'!A420</f>
        <v>Accenture</v>
      </c>
      <c r="B423" s="5" t="str">
        <f aca="false">'Source Data'!B420</f>
        <v>Consulting Services</v>
      </c>
      <c r="C423" s="6" t="n">
        <f aca="false">'Source Data'!C420</f>
        <v>16</v>
      </c>
      <c r="D423" s="6" t="n">
        <f aca="false">'Source Data'!E420</f>
        <v>0</v>
      </c>
      <c r="E423" s="6" t="n">
        <f aca="false">IFERROR(N(C423)-N(D423),"")</f>
        <v>16</v>
      </c>
      <c r="F423" s="7" t="str">
        <f aca="false">IF(E423&gt;0,"Yes",IF(E423&lt;0,"No (Paternity higher)","Equal"))</f>
        <v>Yes</v>
      </c>
    </row>
    <row r="424" customFormat="false" ht="15" hidden="false" customHeight="false" outlineLevel="0" collapsed="false">
      <c r="A424" s="5" t="str">
        <f aca="false">'Source Data'!A421</f>
        <v>Alvarez &amp; Marsal</v>
      </c>
      <c r="B424" s="5" t="str">
        <f aca="false">'Source Data'!B421</f>
        <v>Consulting Services</v>
      </c>
      <c r="C424" s="6" t="n">
        <f aca="false">'Source Data'!C421</f>
        <v>12</v>
      </c>
      <c r="D424" s="6" t="n">
        <f aca="false">'Source Data'!E421</f>
        <v>0</v>
      </c>
      <c r="E424" s="6" t="n">
        <f aca="false">IFERROR(N(C424)-N(D424),"")</f>
        <v>12</v>
      </c>
      <c r="F424" s="7" t="str">
        <f aca="false">IF(E424&gt;0,"Yes",IF(E424&lt;0,"No (Paternity higher)","Equal"))</f>
        <v>Yes</v>
      </c>
    </row>
    <row r="425" customFormat="false" ht="15" hidden="false" customHeight="false" outlineLevel="0" collapsed="false">
      <c r="A425" s="5" t="str">
        <f aca="false">'Source Data'!A422</f>
        <v>Arc Aspicio</v>
      </c>
      <c r="B425" s="5" t="str">
        <f aca="false">'Source Data'!B422</f>
        <v>Consulting Services</v>
      </c>
      <c r="C425" s="6" t="n">
        <f aca="false">'Source Data'!C422</f>
        <v>6</v>
      </c>
      <c r="D425" s="6" t="n">
        <f aca="false">'Source Data'!E422</f>
        <v>0</v>
      </c>
      <c r="E425" s="6" t="n">
        <f aca="false">IFERROR(N(C425)-N(D425),"")</f>
        <v>6</v>
      </c>
      <c r="F425" s="7" t="str">
        <f aca="false">IF(E425&gt;0,"Yes",IF(E425&lt;0,"No (Paternity higher)","Equal"))</f>
        <v>Yes</v>
      </c>
    </row>
    <row r="426" customFormat="false" ht="15" hidden="false" customHeight="false" outlineLevel="0" collapsed="false">
      <c r="A426" s="5" t="str">
        <f aca="false">'Source Data'!A423</f>
        <v>Artemis Connection</v>
      </c>
      <c r="B426" s="5" t="str">
        <f aca="false">'Source Data'!B423</f>
        <v>Consulting Services</v>
      </c>
      <c r="C426" s="6" t="n">
        <f aca="false">'Source Data'!C423</f>
        <v>10</v>
      </c>
      <c r="D426" s="6" t="n">
        <f aca="false">'Source Data'!E423</f>
        <v>0</v>
      </c>
      <c r="E426" s="6" t="n">
        <f aca="false">IFERROR(N(C426)-N(D426),"")</f>
        <v>10</v>
      </c>
      <c r="F426" s="7" t="str">
        <f aca="false">IF(E426&gt;0,"Yes",IF(E426&lt;0,"No (Paternity higher)","Equal"))</f>
        <v>Yes</v>
      </c>
    </row>
    <row r="427" customFormat="false" ht="15" hidden="false" customHeight="false" outlineLevel="0" collapsed="false">
      <c r="A427" s="5" t="str">
        <f aca="false">'Source Data'!A424</f>
        <v>AustinCSI</v>
      </c>
      <c r="B427" s="5" t="str">
        <f aca="false">'Source Data'!B424</f>
        <v>Consulting Services</v>
      </c>
      <c r="C427" s="6" t="n">
        <f aca="false">'Source Data'!C424</f>
        <v>4</v>
      </c>
      <c r="D427" s="6" t="n">
        <f aca="false">'Source Data'!E424</f>
        <v>0</v>
      </c>
      <c r="E427" s="6" t="n">
        <f aca="false">IFERROR(N(C427)-N(D427),"")</f>
        <v>4</v>
      </c>
      <c r="F427" s="7" t="str">
        <f aca="false">IF(E427&gt;0,"Yes",IF(E427&lt;0,"No (Paternity higher)","Equal"))</f>
        <v>Yes</v>
      </c>
    </row>
    <row r="428" customFormat="false" ht="15" hidden="false" customHeight="false" outlineLevel="0" collapsed="false">
      <c r="A428" s="5" t="str">
        <f aca="false">'Source Data'!A425</f>
        <v>BSR (Business for Social Responsibility)</v>
      </c>
      <c r="B428" s="5" t="str">
        <f aca="false">'Source Data'!B425</f>
        <v>Consulting Services</v>
      </c>
      <c r="C428" s="6" t="n">
        <f aca="false">'Source Data'!C425</f>
        <v>5</v>
      </c>
      <c r="D428" s="6" t="n">
        <f aca="false">'Source Data'!E425</f>
        <v>0</v>
      </c>
      <c r="E428" s="6" t="n">
        <f aca="false">IFERROR(N(C428)-N(D428),"")</f>
        <v>5</v>
      </c>
      <c r="F428" s="7" t="str">
        <f aca="false">IF(E428&gt;0,"Yes",IF(E428&lt;0,"No (Paternity higher)","Equal"))</f>
        <v>Yes</v>
      </c>
    </row>
    <row r="429" customFormat="false" ht="15" hidden="false" customHeight="false" outlineLevel="0" collapsed="false">
      <c r="A429" s="5" t="str">
        <f aca="false">'Source Data'!A426</f>
        <v>Capco</v>
      </c>
      <c r="B429" s="5" t="str">
        <f aca="false">'Source Data'!B426</f>
        <v>Consulting Services</v>
      </c>
      <c r="C429" s="6" t="n">
        <f aca="false">'Source Data'!C426</f>
        <v>18</v>
      </c>
      <c r="D429" s="6" t="n">
        <f aca="false">'Source Data'!E426</f>
        <v>0</v>
      </c>
      <c r="E429" s="6" t="n">
        <f aca="false">IFERROR(N(C429)-N(D429),"")</f>
        <v>18</v>
      </c>
      <c r="F429" s="7" t="str">
        <f aca="false">IF(E429&gt;0,"Yes",IF(E429&lt;0,"No (Paternity higher)","Equal"))</f>
        <v>Yes</v>
      </c>
    </row>
    <row r="430" customFormat="false" ht="15" hidden="false" customHeight="false" outlineLevel="0" collapsed="false">
      <c r="A430" s="5" t="str">
        <f aca="false">'Source Data'!A427</f>
        <v>Capgemini</v>
      </c>
      <c r="B430" s="5" t="str">
        <f aca="false">'Source Data'!B427</f>
        <v>Consulting Services</v>
      </c>
      <c r="C430" s="6" t="n">
        <f aca="false">'Source Data'!C427</f>
        <v>14</v>
      </c>
      <c r="D430" s="6" t="n">
        <f aca="false">'Source Data'!E427</f>
        <v>0</v>
      </c>
      <c r="E430" s="6" t="n">
        <f aca="false">IFERROR(N(C430)-N(D430),"")</f>
        <v>14</v>
      </c>
      <c r="F430" s="7" t="str">
        <f aca="false">IF(E430&gt;0,"Yes",IF(E430&lt;0,"No (Paternity higher)","Equal"))</f>
        <v>Yes</v>
      </c>
    </row>
    <row r="431" customFormat="false" ht="15" hidden="false" customHeight="false" outlineLevel="0" collapsed="false">
      <c r="A431" s="5" t="str">
        <f aca="false">'Source Data'!A428</f>
        <v>Credera</v>
      </c>
      <c r="B431" s="5" t="str">
        <f aca="false">'Source Data'!B428</f>
        <v>Consulting Services</v>
      </c>
      <c r="C431" s="6" t="n">
        <f aca="false">'Source Data'!C428</f>
        <v>6</v>
      </c>
      <c r="D431" s="6" t="n">
        <f aca="false">'Source Data'!E428</f>
        <v>0</v>
      </c>
      <c r="E431" s="6" t="n">
        <f aca="false">IFERROR(N(C431)-N(D431),"")</f>
        <v>6</v>
      </c>
      <c r="F431" s="7" t="str">
        <f aca="false">IF(E431&gt;0,"Yes",IF(E431&lt;0,"No (Paternity higher)","Equal"))</f>
        <v>Yes</v>
      </c>
    </row>
    <row r="432" customFormat="false" ht="15" hidden="false" customHeight="false" outlineLevel="0" collapsed="false">
      <c r="A432" s="5" t="str">
        <f aca="false">'Source Data'!A429</f>
        <v>Dalberg</v>
      </c>
      <c r="B432" s="5" t="str">
        <f aca="false">'Source Data'!B429</f>
        <v>Consulting Services</v>
      </c>
      <c r="C432" s="6" t="n">
        <f aca="false">'Source Data'!C429</f>
        <v>26</v>
      </c>
      <c r="D432" s="6" t="n">
        <f aca="false">'Source Data'!E429</f>
        <v>0</v>
      </c>
      <c r="E432" s="6" t="n">
        <f aca="false">IFERROR(N(C432)-N(D432),"")</f>
        <v>26</v>
      </c>
      <c r="F432" s="7" t="str">
        <f aca="false">IF(E432&gt;0,"Yes",IF(E432&lt;0,"No (Paternity higher)","Equal"))</f>
        <v>Yes</v>
      </c>
    </row>
    <row r="433" customFormat="false" ht="15" hidden="false" customHeight="false" outlineLevel="0" collapsed="false">
      <c r="A433" s="5" t="str">
        <f aca="false">'Source Data'!A430</f>
        <v>Dexis Consulting Group</v>
      </c>
      <c r="B433" s="5" t="str">
        <f aca="false">'Source Data'!B430</f>
        <v>Consulting Services</v>
      </c>
      <c r="C433" s="6" t="n">
        <f aca="false">'Source Data'!C430</f>
        <v>5</v>
      </c>
      <c r="D433" s="6" t="n">
        <f aca="false">'Source Data'!E430</f>
        <v>0</v>
      </c>
      <c r="E433" s="6" t="n">
        <f aca="false">IFERROR(N(C433)-N(D433),"")</f>
        <v>5</v>
      </c>
      <c r="F433" s="7" t="str">
        <f aca="false">IF(E433&gt;0,"Yes",IF(E433&lt;0,"No (Paternity higher)","Equal"))</f>
        <v>Yes</v>
      </c>
    </row>
    <row r="434" customFormat="false" ht="15" hidden="false" customHeight="false" outlineLevel="0" collapsed="false">
      <c r="A434" s="5" t="str">
        <f aca="false">'Source Data'!A431</f>
        <v>FTI Consulting</v>
      </c>
      <c r="B434" s="5" t="str">
        <f aca="false">'Source Data'!B431</f>
        <v>Consulting Services</v>
      </c>
      <c r="C434" s="6" t="n">
        <f aca="false">'Source Data'!C431</f>
        <v>16</v>
      </c>
      <c r="D434" s="6" t="n">
        <f aca="false">'Source Data'!E431</f>
        <v>0</v>
      </c>
      <c r="E434" s="6" t="n">
        <f aca="false">IFERROR(N(C434)-N(D434),"")</f>
        <v>16</v>
      </c>
      <c r="F434" s="7" t="str">
        <f aca="false">IF(E434&gt;0,"Yes",IF(E434&lt;0,"No (Paternity higher)","Equal"))</f>
        <v>Yes</v>
      </c>
    </row>
    <row r="435" customFormat="false" ht="15" hidden="false" customHeight="false" outlineLevel="0" collapsed="false">
      <c r="A435" s="5" t="str">
        <f aca="false">'Source Data'!A432</f>
        <v>GHD Group Pty Ltd</v>
      </c>
      <c r="B435" s="5" t="str">
        <f aca="false">'Source Data'!B432</f>
        <v>Consulting Services</v>
      </c>
      <c r="C435" s="6" t="n">
        <f aca="false">'Source Data'!C432</f>
        <v>6</v>
      </c>
      <c r="D435" s="6" t="n">
        <f aca="false">'Source Data'!E432</f>
        <v>0</v>
      </c>
      <c r="E435" s="6" t="n">
        <f aca="false">IFERROR(N(C435)-N(D435),"")</f>
        <v>6</v>
      </c>
      <c r="F435" s="7" t="str">
        <f aca="false">IF(E435&gt;0,"Yes",IF(E435&lt;0,"No (Paternity higher)","Equal"))</f>
        <v>Yes</v>
      </c>
    </row>
    <row r="436" customFormat="false" ht="15" hidden="false" customHeight="false" outlineLevel="0" collapsed="false">
      <c r="A436" s="5" t="str">
        <f aca="false">'Source Data'!A433</f>
        <v>Guidehouse</v>
      </c>
      <c r="B436" s="5" t="str">
        <f aca="false">'Source Data'!B433</f>
        <v>Consulting Services</v>
      </c>
      <c r="C436" s="6" t="n">
        <f aca="false">'Source Data'!C433</f>
        <v>9</v>
      </c>
      <c r="D436" s="6" t="n">
        <f aca="false">'Source Data'!E433</f>
        <v>0</v>
      </c>
      <c r="E436" s="6" t="n">
        <f aca="false">IFERROR(N(C436)-N(D436),"")</f>
        <v>9</v>
      </c>
      <c r="F436" s="7" t="str">
        <f aca="false">IF(E436&gt;0,"Yes",IF(E436&lt;0,"No (Paternity higher)","Equal"))</f>
        <v>Yes</v>
      </c>
    </row>
    <row r="437" customFormat="false" ht="15" hidden="false" customHeight="false" outlineLevel="0" collapsed="false">
      <c r="A437" s="5" t="str">
        <f aca="false">'Source Data'!A434</f>
        <v>Heidrick &amp; Struggles</v>
      </c>
      <c r="B437" s="5" t="str">
        <f aca="false">'Source Data'!B434</f>
        <v>Consulting Services</v>
      </c>
      <c r="C437" s="6" t="n">
        <f aca="false">'Source Data'!C434</f>
        <v>16</v>
      </c>
      <c r="D437" s="6" t="n">
        <f aca="false">'Source Data'!E434</f>
        <v>0</v>
      </c>
      <c r="E437" s="6" t="n">
        <f aca="false">IFERROR(N(C437)-N(D437),"")</f>
        <v>16</v>
      </c>
      <c r="F437" s="7" t="str">
        <f aca="false">IF(E437&gt;0,"Yes",IF(E437&lt;0,"No (Paternity higher)","Equal"))</f>
        <v>Yes</v>
      </c>
    </row>
    <row r="438" customFormat="false" ht="15" hidden="false" customHeight="false" outlineLevel="0" collapsed="false">
      <c r="A438" s="5" t="str">
        <f aca="false">'Source Data'!A435</f>
        <v>Indigo Ag</v>
      </c>
      <c r="B438" s="5" t="str">
        <f aca="false">'Source Data'!B435</f>
        <v>Consulting Services</v>
      </c>
      <c r="C438" s="6" t="n">
        <f aca="false">'Source Data'!C435</f>
        <v>12</v>
      </c>
      <c r="D438" s="6" t="n">
        <f aca="false">'Source Data'!E435</f>
        <v>0</v>
      </c>
      <c r="E438" s="6" t="n">
        <f aca="false">IFERROR(N(C438)-N(D438),"")</f>
        <v>12</v>
      </c>
      <c r="F438" s="7" t="str">
        <f aca="false">IF(E438&gt;0,"Yes",IF(E438&lt;0,"No (Paternity higher)","Equal"))</f>
        <v>Yes</v>
      </c>
    </row>
    <row r="439" customFormat="false" ht="15" hidden="false" customHeight="false" outlineLevel="0" collapsed="false">
      <c r="A439" s="5" t="str">
        <f aca="false">'Source Data'!A436</f>
        <v>Intentional Futures</v>
      </c>
      <c r="B439" s="5" t="str">
        <f aca="false">'Source Data'!B436</f>
        <v>Consulting Services</v>
      </c>
      <c r="C439" s="6" t="n">
        <f aca="false">'Source Data'!C436</f>
        <v>8</v>
      </c>
      <c r="D439" s="6" t="n">
        <f aca="false">'Source Data'!E436</f>
        <v>0</v>
      </c>
      <c r="E439" s="6" t="n">
        <f aca="false">IFERROR(N(C439)-N(D439),"")</f>
        <v>8</v>
      </c>
      <c r="F439" s="7" t="str">
        <f aca="false">IF(E439&gt;0,"Yes",IF(E439&lt;0,"No (Paternity higher)","Equal"))</f>
        <v>Yes</v>
      </c>
    </row>
    <row r="440" customFormat="false" ht="15" hidden="false" customHeight="false" outlineLevel="0" collapsed="false">
      <c r="A440" s="5" t="str">
        <f aca="false">'Source Data'!A437</f>
        <v>Jasper Colin Research</v>
      </c>
      <c r="B440" s="5" t="str">
        <f aca="false">'Source Data'!B437</f>
        <v>Consulting Services</v>
      </c>
      <c r="C440" s="6" t="n">
        <f aca="false">'Source Data'!C437</f>
        <v>24</v>
      </c>
      <c r="D440" s="6" t="n">
        <f aca="false">'Source Data'!E437</f>
        <v>0</v>
      </c>
      <c r="E440" s="6" t="n">
        <f aca="false">IFERROR(N(C440)-N(D440),"")</f>
        <v>24</v>
      </c>
      <c r="F440" s="7" t="str">
        <f aca="false">IF(E440&gt;0,"Yes",IF(E440&lt;0,"No (Paternity higher)","Equal"))</f>
        <v>Yes</v>
      </c>
    </row>
    <row r="441" customFormat="false" ht="15" hidden="false" customHeight="false" outlineLevel="0" collapsed="false">
      <c r="A441" s="5" t="str">
        <f aca="false">'Source Data'!A438</f>
        <v>Macro Consultants LLC</v>
      </c>
      <c r="B441" s="5" t="str">
        <f aca="false">'Source Data'!B438</f>
        <v>Consulting Services</v>
      </c>
      <c r="C441" s="6" t="n">
        <f aca="false">'Source Data'!C438</f>
        <v>8</v>
      </c>
      <c r="D441" s="6" t="n">
        <f aca="false">'Source Data'!E438</f>
        <v>0</v>
      </c>
      <c r="E441" s="6" t="n">
        <f aca="false">IFERROR(N(C441)-N(D441),"")</f>
        <v>8</v>
      </c>
      <c r="F441" s="7" t="str">
        <f aca="false">IF(E441&gt;0,"Yes",IF(E441&lt;0,"No (Paternity higher)","Equal"))</f>
        <v>Yes</v>
      </c>
    </row>
    <row r="442" customFormat="false" ht="15" hidden="false" customHeight="false" outlineLevel="0" collapsed="false">
      <c r="A442" s="5" t="str">
        <f aca="false">'Source Data'!A439</f>
        <v>Mead &amp; Hunt</v>
      </c>
      <c r="B442" s="5" t="str">
        <f aca="false">'Source Data'!B439</f>
        <v>Consulting Services</v>
      </c>
      <c r="C442" s="6" t="n">
        <f aca="false">'Source Data'!C439</f>
        <v>16</v>
      </c>
      <c r="D442" s="6" t="n">
        <f aca="false">'Source Data'!E439</f>
        <v>0</v>
      </c>
      <c r="E442" s="6" t="n">
        <f aca="false">IFERROR(N(C442)-N(D442),"")</f>
        <v>16</v>
      </c>
      <c r="F442" s="7" t="str">
        <f aca="false">IF(E442&gt;0,"Yes",IF(E442&lt;0,"No (Paternity higher)","Equal"))</f>
        <v>Yes</v>
      </c>
    </row>
    <row r="443" customFormat="false" ht="15" hidden="false" customHeight="false" outlineLevel="0" collapsed="false">
      <c r="A443" s="5" t="str">
        <f aca="false">'Source Data'!A440</f>
        <v>MSA Worldwide</v>
      </c>
      <c r="B443" s="5" t="str">
        <f aca="false">'Source Data'!B440</f>
        <v>Consulting Services</v>
      </c>
      <c r="C443" s="6" t="n">
        <f aca="false">'Source Data'!C440</f>
        <v>8</v>
      </c>
      <c r="D443" s="6" t="n">
        <f aca="false">'Source Data'!E440</f>
        <v>0</v>
      </c>
      <c r="E443" s="6" t="n">
        <f aca="false">IFERROR(N(C443)-N(D443),"")</f>
        <v>8</v>
      </c>
      <c r="F443" s="7" t="str">
        <f aca="false">IF(E443&gt;0,"Yes",IF(E443&lt;0,"No (Paternity higher)","Equal"))</f>
        <v>Yes</v>
      </c>
    </row>
    <row r="444" customFormat="false" ht="15" hidden="false" customHeight="false" outlineLevel="0" collapsed="false">
      <c r="A444" s="5" t="str">
        <f aca="false">'Source Data'!A441</f>
        <v>MTX Group Inc</v>
      </c>
      <c r="B444" s="5" t="str">
        <f aca="false">'Source Data'!B441</f>
        <v>Consulting Services</v>
      </c>
      <c r="C444" s="6" t="n">
        <f aca="false">'Source Data'!C441</f>
        <v>52</v>
      </c>
      <c r="D444" s="6" t="n">
        <f aca="false">'Source Data'!E441</f>
        <v>0</v>
      </c>
      <c r="E444" s="6" t="n">
        <f aca="false">IFERROR(N(C444)-N(D444),"")</f>
        <v>52</v>
      </c>
      <c r="F444" s="7" t="str">
        <f aca="false">IF(E444&gt;0,"Yes",IF(E444&lt;0,"No (Paternity higher)","Equal"))</f>
        <v>Yes</v>
      </c>
    </row>
    <row r="445" customFormat="false" ht="15" hidden="false" customHeight="false" outlineLevel="0" collapsed="false">
      <c r="A445" s="5" t="str">
        <f aca="false">'Source Data'!A442</f>
        <v>Navigant Consulting</v>
      </c>
      <c r="B445" s="5" t="str">
        <f aca="false">'Source Data'!B442</f>
        <v>Consulting Services</v>
      </c>
      <c r="C445" s="6" t="n">
        <f aca="false">'Source Data'!C442</f>
        <v>6</v>
      </c>
      <c r="D445" s="6" t="n">
        <f aca="false">'Source Data'!E442</f>
        <v>0</v>
      </c>
      <c r="E445" s="6" t="n">
        <f aca="false">IFERROR(N(C445)-N(D445),"")</f>
        <v>6</v>
      </c>
      <c r="F445" s="7" t="str">
        <f aca="false">IF(E445&gt;0,"Yes",IF(E445&lt;0,"No (Paternity higher)","Equal"))</f>
        <v>Yes</v>
      </c>
    </row>
    <row r="446" customFormat="false" ht="15" hidden="false" customHeight="false" outlineLevel="0" collapsed="false">
      <c r="A446" s="5" t="str">
        <f aca="false">'Source Data'!A443</f>
        <v>Novantas Inc.</v>
      </c>
      <c r="B446" s="5" t="str">
        <f aca="false">'Source Data'!B443</f>
        <v>Consulting Services</v>
      </c>
      <c r="C446" s="6" t="n">
        <f aca="false">'Source Data'!C443</f>
        <v>6</v>
      </c>
      <c r="D446" s="6" t="n">
        <f aca="false">'Source Data'!E443</f>
        <v>0</v>
      </c>
      <c r="E446" s="6" t="n">
        <f aca="false">IFERROR(N(C446)-N(D446),"")</f>
        <v>6</v>
      </c>
      <c r="F446" s="7" t="str">
        <f aca="false">IF(E446&gt;0,"Yes",IF(E446&lt;0,"No (Paternity higher)","Equal"))</f>
        <v>Yes</v>
      </c>
    </row>
    <row r="447" customFormat="false" ht="15" hidden="false" customHeight="false" outlineLevel="0" collapsed="false">
      <c r="A447" s="5" t="str">
        <f aca="false">'Source Data'!A444</f>
        <v>NTT DATA Services</v>
      </c>
      <c r="B447" s="5" t="str">
        <f aca="false">'Source Data'!B444</f>
        <v>Consulting Services</v>
      </c>
      <c r="C447" s="6" t="n">
        <f aca="false">'Source Data'!C444</f>
        <v>6</v>
      </c>
      <c r="D447" s="6" t="n">
        <f aca="false">'Source Data'!E444</f>
        <v>0</v>
      </c>
      <c r="E447" s="6" t="n">
        <f aca="false">IFERROR(N(C447)-N(D447),"")</f>
        <v>6</v>
      </c>
      <c r="F447" s="7" t="str">
        <f aca="false">IF(E447&gt;0,"Yes",IF(E447&lt;0,"No (Paternity higher)","Equal"))</f>
        <v>Yes</v>
      </c>
    </row>
    <row r="448" customFormat="false" ht="15" hidden="false" customHeight="false" outlineLevel="0" collapsed="false">
      <c r="A448" s="5" t="str">
        <f aca="false">'Source Data'!A445</f>
        <v>O.C. Tanner</v>
      </c>
      <c r="B448" s="5" t="str">
        <f aca="false">'Source Data'!B445</f>
        <v>Consulting Services</v>
      </c>
      <c r="C448" s="6" t="n">
        <f aca="false">'Source Data'!C445</f>
        <v>6</v>
      </c>
      <c r="D448" s="6" t="n">
        <f aca="false">'Source Data'!E445</f>
        <v>0</v>
      </c>
      <c r="E448" s="6" t="n">
        <f aca="false">IFERROR(N(C448)-N(D448),"")</f>
        <v>6</v>
      </c>
      <c r="F448" s="7" t="str">
        <f aca="false">IF(E448&gt;0,"Yes",IF(E448&lt;0,"No (Paternity higher)","Equal"))</f>
        <v>Yes</v>
      </c>
    </row>
    <row r="449" customFormat="false" ht="15" hidden="false" customHeight="false" outlineLevel="0" collapsed="false">
      <c r="A449" s="5" t="str">
        <f aca="false">'Source Data'!A446</f>
        <v>OC&amp;C Strategy Consultants</v>
      </c>
      <c r="B449" s="5" t="str">
        <f aca="false">'Source Data'!B446</f>
        <v>Consulting Services</v>
      </c>
      <c r="C449" s="6" t="n">
        <f aca="false">'Source Data'!C446</f>
        <v>26</v>
      </c>
      <c r="D449" s="6" t="n">
        <f aca="false">'Source Data'!E446</f>
        <v>0</v>
      </c>
      <c r="E449" s="6" t="n">
        <f aca="false">IFERROR(N(C449)-N(D449),"")</f>
        <v>26</v>
      </c>
      <c r="F449" s="7" t="str">
        <f aca="false">IF(E449&gt;0,"Yes",IF(E449&lt;0,"No (Paternity higher)","Equal"))</f>
        <v>Yes</v>
      </c>
    </row>
    <row r="450" customFormat="false" ht="15" hidden="false" customHeight="false" outlineLevel="0" collapsed="false">
      <c r="A450" s="5" t="str">
        <f aca="false">'Source Data'!A447</f>
        <v>Oliver Wyman</v>
      </c>
      <c r="B450" s="5" t="str">
        <f aca="false">'Source Data'!B447</f>
        <v>Consulting Services</v>
      </c>
      <c r="C450" s="6" t="n">
        <f aca="false">'Source Data'!C447</f>
        <v>18</v>
      </c>
      <c r="D450" s="6" t="n">
        <f aca="false">'Source Data'!E447</f>
        <v>0</v>
      </c>
      <c r="E450" s="6" t="n">
        <f aca="false">IFERROR(N(C450)-N(D450),"")</f>
        <v>18</v>
      </c>
      <c r="F450" s="7" t="str">
        <f aca="false">IF(E450&gt;0,"Yes",IF(E450&lt;0,"No (Paternity higher)","Equal"))</f>
        <v>Yes</v>
      </c>
    </row>
    <row r="451" customFormat="false" ht="15" hidden="false" customHeight="false" outlineLevel="0" collapsed="false">
      <c r="A451" s="5" t="str">
        <f aca="false">'Source Data'!A448</f>
        <v>Perficient, Inc.</v>
      </c>
      <c r="B451" s="5" t="str">
        <f aca="false">'Source Data'!B448</f>
        <v>Consulting Services</v>
      </c>
      <c r="C451" s="6" t="n">
        <f aca="false">'Source Data'!C448</f>
        <v>4</v>
      </c>
      <c r="D451" s="6" t="n">
        <f aca="false">'Source Data'!E448</f>
        <v>0</v>
      </c>
      <c r="E451" s="6" t="n">
        <f aca="false">IFERROR(N(C451)-N(D451),"")</f>
        <v>4</v>
      </c>
      <c r="F451" s="7" t="str">
        <f aca="false">IF(E451&gt;0,"Yes",IF(E451&lt;0,"No (Paternity higher)","Equal"))</f>
        <v>Yes</v>
      </c>
    </row>
    <row r="452" customFormat="false" ht="15" hidden="false" customHeight="false" outlineLevel="0" collapsed="false">
      <c r="A452" s="5" t="str">
        <f aca="false">'Source Data'!A449</f>
        <v>PwC</v>
      </c>
      <c r="B452" s="5" t="str">
        <f aca="false">'Source Data'!B449</f>
        <v>Consulting Services</v>
      </c>
      <c r="C452" s="6" t="n">
        <f aca="false">'Source Data'!C449</f>
        <v>16</v>
      </c>
      <c r="D452" s="6" t="n">
        <f aca="false">'Source Data'!E449</f>
        <v>0</v>
      </c>
      <c r="E452" s="6" t="n">
        <f aca="false">IFERROR(N(C452)-N(D452),"")</f>
        <v>16</v>
      </c>
      <c r="F452" s="7" t="str">
        <f aca="false">IF(E452&gt;0,"Yes",IF(E452&lt;0,"No (Paternity higher)","Equal"))</f>
        <v>Yes</v>
      </c>
    </row>
    <row r="453" customFormat="false" ht="15" hidden="false" customHeight="false" outlineLevel="0" collapsed="false">
      <c r="A453" s="5" t="str">
        <f aca="false">'Source Data'!A450</f>
        <v>Resource Systems Group</v>
      </c>
      <c r="B453" s="5" t="str">
        <f aca="false">'Source Data'!B450</f>
        <v>Consulting Services</v>
      </c>
      <c r="C453" s="6" t="n">
        <f aca="false">'Source Data'!C450</f>
        <v>4</v>
      </c>
      <c r="D453" s="6" t="n">
        <f aca="false">'Source Data'!E450</f>
        <v>0</v>
      </c>
      <c r="E453" s="6" t="n">
        <f aca="false">IFERROR(N(C453)-N(D453),"")</f>
        <v>4</v>
      </c>
      <c r="F453" s="7" t="str">
        <f aca="false">IF(E453&gt;0,"Yes",IF(E453&lt;0,"No (Paternity higher)","Equal"))</f>
        <v>Yes</v>
      </c>
    </row>
    <row r="454" customFormat="false" ht="15" hidden="false" customHeight="false" outlineLevel="0" collapsed="false">
      <c r="A454" s="5" t="str">
        <f aca="false">'Source Data'!A451</f>
        <v>Search Discovery</v>
      </c>
      <c r="B454" s="5" t="str">
        <f aca="false">'Source Data'!B451</f>
        <v>Consulting Services</v>
      </c>
      <c r="C454" s="6" t="n">
        <f aca="false">'Source Data'!C451</f>
        <v>7</v>
      </c>
      <c r="D454" s="6" t="n">
        <f aca="false">'Source Data'!E451</f>
        <v>0</v>
      </c>
      <c r="E454" s="6" t="n">
        <f aca="false">IFERROR(N(C454)-N(D454),"")</f>
        <v>7</v>
      </c>
      <c r="F454" s="7" t="str">
        <f aca="false">IF(E454&gt;0,"Yes",IF(E454&lt;0,"No (Paternity higher)","Equal"))</f>
        <v>Yes</v>
      </c>
    </row>
    <row r="455" customFormat="false" ht="15" hidden="false" customHeight="false" outlineLevel="0" collapsed="false">
      <c r="A455" s="5" t="str">
        <f aca="false">'Source Data'!A452</f>
        <v>Stride Consulting</v>
      </c>
      <c r="B455" s="5" t="str">
        <f aca="false">'Source Data'!B452</f>
        <v>Consulting Services</v>
      </c>
      <c r="C455" s="6" t="n">
        <f aca="false">'Source Data'!C452</f>
        <v>3</v>
      </c>
      <c r="D455" s="6" t="n">
        <f aca="false">'Source Data'!E452</f>
        <v>0</v>
      </c>
      <c r="E455" s="6" t="n">
        <f aca="false">IFERROR(N(C455)-N(D455),"")</f>
        <v>3</v>
      </c>
      <c r="F455" s="7" t="str">
        <f aca="false">IF(E455&gt;0,"Yes",IF(E455&lt;0,"No (Paternity higher)","Equal"))</f>
        <v>Yes</v>
      </c>
    </row>
    <row r="456" customFormat="false" ht="15" hidden="false" customHeight="false" outlineLevel="0" collapsed="false">
      <c r="A456" s="5" t="str">
        <f aca="false">'Source Data'!A453</f>
        <v>TCG, Inc</v>
      </c>
      <c r="B456" s="5" t="str">
        <f aca="false">'Source Data'!B453</f>
        <v>Consulting Services</v>
      </c>
      <c r="C456" s="6" t="n">
        <f aca="false">'Source Data'!C453</f>
        <v>3</v>
      </c>
      <c r="D456" s="6" t="n">
        <f aca="false">'Source Data'!E453</f>
        <v>0</v>
      </c>
      <c r="E456" s="6" t="n">
        <f aca="false">IFERROR(N(C456)-N(D456),"")</f>
        <v>3</v>
      </c>
      <c r="F456" s="7" t="str">
        <f aca="false">IF(E456&gt;0,"Yes",IF(E456&lt;0,"No (Paternity higher)","Equal"))</f>
        <v>Yes</v>
      </c>
    </row>
    <row r="457" customFormat="false" ht="15" hidden="false" customHeight="false" outlineLevel="0" collapsed="false">
      <c r="A457" s="5" t="str">
        <f aca="false">'Source Data'!A454</f>
        <v>True Group</v>
      </c>
      <c r="B457" s="5" t="str">
        <f aca="false">'Source Data'!B454</f>
        <v>Consulting Services</v>
      </c>
      <c r="C457" s="6" t="n">
        <f aca="false">'Source Data'!C454</f>
        <v>6</v>
      </c>
      <c r="D457" s="6" t="n">
        <f aca="false">'Source Data'!E454</f>
        <v>0</v>
      </c>
      <c r="E457" s="6" t="n">
        <f aca="false">IFERROR(N(C457)-N(D457),"")</f>
        <v>6</v>
      </c>
      <c r="F457" s="7" t="str">
        <f aca="false">IF(E457&gt;0,"Yes",IF(E457&lt;0,"No (Paternity higher)","Equal"))</f>
        <v>Yes</v>
      </c>
    </row>
    <row r="458" customFormat="false" ht="15" hidden="false" customHeight="false" outlineLevel="0" collapsed="false">
      <c r="A458" s="5" t="str">
        <f aca="false">'Source Data'!A455</f>
        <v>West Monroe</v>
      </c>
      <c r="B458" s="5" t="str">
        <f aca="false">'Source Data'!B455</f>
        <v>Consulting Services</v>
      </c>
      <c r="C458" s="6" t="n">
        <f aca="false">'Source Data'!C455</f>
        <v>12</v>
      </c>
      <c r="D458" s="6" t="n">
        <f aca="false">'Source Data'!E455</f>
        <v>0</v>
      </c>
      <c r="E458" s="6" t="n">
        <f aca="false">IFERROR(N(C458)-N(D458),"")</f>
        <v>12</v>
      </c>
      <c r="F458" s="7" t="str">
        <f aca="false">IF(E458&gt;0,"Yes",IF(E458&lt;0,"No (Paternity higher)","Equal"))</f>
        <v>Yes</v>
      </c>
    </row>
    <row r="459" customFormat="false" ht="15" hidden="false" customHeight="false" outlineLevel="0" collapsed="false">
      <c r="A459" s="5" t="str">
        <f aca="false">'Source Data'!A456</f>
        <v>ZS</v>
      </c>
      <c r="B459" s="5" t="str">
        <f aca="false">'Source Data'!B456</f>
        <v>Consulting Services</v>
      </c>
      <c r="C459" s="6" t="n">
        <f aca="false">'Source Data'!C456</f>
        <v>16</v>
      </c>
      <c r="D459" s="6" t="n">
        <f aca="false">'Source Data'!E456</f>
        <v>0</v>
      </c>
      <c r="E459" s="6" t="n">
        <f aca="false">IFERROR(N(C459)-N(D459),"")</f>
        <v>16</v>
      </c>
      <c r="F459" s="7" t="str">
        <f aca="false">IF(E459&gt;0,"Yes",IF(E459&lt;0,"No (Paternity higher)","Equal"))</f>
        <v>Yes</v>
      </c>
    </row>
    <row r="460" customFormat="false" ht="15" hidden="false" customHeight="false" outlineLevel="0" collapsed="false">
      <c r="A460" s="5" t="str">
        <f aca="false">'Source Data'!A457</f>
        <v>Anheuser-Busch InBev</v>
      </c>
      <c r="B460" s="5" t="str">
        <f aca="false">'Source Data'!B457</f>
        <v>Consumer Packaged Goods: Beverages</v>
      </c>
      <c r="C460" s="6" t="n">
        <f aca="false">'Source Data'!C457</f>
        <v>26</v>
      </c>
      <c r="D460" s="6" t="n">
        <f aca="false">'Source Data'!E457</f>
        <v>0</v>
      </c>
      <c r="E460" s="6" t="n">
        <f aca="false">IFERROR(N(C460)-N(D460),"")</f>
        <v>26</v>
      </c>
      <c r="F460" s="7" t="str">
        <f aca="false">IF(E460&gt;0,"Yes",IF(E460&lt;0,"No (Paternity higher)","Equal"))</f>
        <v>Yes</v>
      </c>
    </row>
    <row r="461" customFormat="false" ht="15" hidden="false" customHeight="false" outlineLevel="0" collapsed="false">
      <c r="A461" s="5" t="str">
        <f aca="false">'Source Data'!A458</f>
        <v>Beam Suntory</v>
      </c>
      <c r="B461" s="5" t="str">
        <f aca="false">'Source Data'!B458</f>
        <v>Consumer Packaged Goods: Beverages</v>
      </c>
      <c r="C461" s="6" t="n">
        <f aca="false">'Source Data'!C458</f>
        <v>26</v>
      </c>
      <c r="D461" s="6" t="n">
        <f aca="false">'Source Data'!E458</f>
        <v>0</v>
      </c>
      <c r="E461" s="6" t="n">
        <f aca="false">IFERROR(N(C461)-N(D461),"")</f>
        <v>26</v>
      </c>
      <c r="F461" s="7" t="str">
        <f aca="false">IF(E461&gt;0,"Yes",IF(E461&lt;0,"No (Paternity higher)","Equal"))</f>
        <v>Yes</v>
      </c>
    </row>
    <row r="462" customFormat="false" ht="15" hidden="false" customHeight="false" outlineLevel="0" collapsed="false">
      <c r="A462" s="5" t="str">
        <f aca="false">'Source Data'!A459</f>
        <v>Boston Beer Company</v>
      </c>
      <c r="B462" s="5" t="str">
        <f aca="false">'Source Data'!B459</f>
        <v>Consumer Packaged Goods: Beverages</v>
      </c>
      <c r="C462" s="6" t="n">
        <f aca="false">'Source Data'!C459</f>
        <v>3</v>
      </c>
      <c r="D462" s="6" t="n">
        <f aca="false">'Source Data'!E459</f>
        <v>0</v>
      </c>
      <c r="E462" s="6" t="n">
        <f aca="false">IFERROR(N(C462)-N(D462),"")</f>
        <v>3</v>
      </c>
      <c r="F462" s="7" t="str">
        <f aca="false">IF(E462&gt;0,"Yes",IF(E462&lt;0,"No (Paternity higher)","Equal"))</f>
        <v>Yes</v>
      </c>
    </row>
    <row r="463" customFormat="false" ht="15" hidden="false" customHeight="false" outlineLevel="0" collapsed="false">
      <c r="A463" s="5" t="str">
        <f aca="false">'Source Data'!A460</f>
        <v>Molson Coors Brewing Company</v>
      </c>
      <c r="B463" s="5" t="str">
        <f aca="false">'Source Data'!B460</f>
        <v>Consumer Packaged Goods: Beverages</v>
      </c>
      <c r="C463" s="6" t="n">
        <f aca="false">'Source Data'!C460</f>
        <v>14</v>
      </c>
      <c r="D463" s="6" t="n">
        <f aca="false">'Source Data'!E460</f>
        <v>0</v>
      </c>
      <c r="E463" s="6" t="n">
        <f aca="false">IFERROR(N(C463)-N(D463),"")</f>
        <v>14</v>
      </c>
      <c r="F463" s="7" t="str">
        <f aca="false">IF(E463&gt;0,"Yes",IF(E463&lt;0,"No (Paternity higher)","Equal"))</f>
        <v>Yes</v>
      </c>
    </row>
    <row r="464" customFormat="false" ht="15" hidden="false" customHeight="false" outlineLevel="0" collapsed="false">
      <c r="A464" s="5" t="str">
        <f aca="false">'Source Data'!A461</f>
        <v>Nestle Waters</v>
      </c>
      <c r="B464" s="5" t="str">
        <f aca="false">'Source Data'!B461</f>
        <v>Consumer Packaged Goods: Beverages</v>
      </c>
      <c r="C464" s="6" t="n">
        <f aca="false">'Source Data'!C461</f>
        <v>14</v>
      </c>
      <c r="D464" s="6" t="n">
        <f aca="false">'Source Data'!E461</f>
        <v>0</v>
      </c>
      <c r="E464" s="6" t="n">
        <f aca="false">IFERROR(N(C464)-N(D464),"")</f>
        <v>14</v>
      </c>
      <c r="F464" s="7" t="str">
        <f aca="false">IF(E464&gt;0,"Yes",IF(E464&lt;0,"No (Paternity higher)","Equal"))</f>
        <v>Yes</v>
      </c>
    </row>
    <row r="465" customFormat="false" ht="15" hidden="false" customHeight="false" outlineLevel="0" collapsed="false">
      <c r="A465" s="5" t="str">
        <f aca="false">'Source Data'!A462</f>
        <v>PepsiCo</v>
      </c>
      <c r="B465" s="5" t="str">
        <f aca="false">'Source Data'!B462</f>
        <v>Consumer Packaged Goods: Beverages</v>
      </c>
      <c r="C465" s="6" t="n">
        <f aca="false">'Source Data'!C462</f>
        <v>6</v>
      </c>
      <c r="D465" s="6" t="n">
        <f aca="false">'Source Data'!E462</f>
        <v>0</v>
      </c>
      <c r="E465" s="6" t="n">
        <f aca="false">IFERROR(N(C465)-N(D465),"")</f>
        <v>6</v>
      </c>
      <c r="F465" s="7" t="str">
        <f aca="false">IF(E465&gt;0,"Yes",IF(E465&lt;0,"No (Paternity higher)","Equal"))</f>
        <v>Yes</v>
      </c>
    </row>
    <row r="466" customFormat="false" ht="15" hidden="false" customHeight="false" outlineLevel="0" collapsed="false">
      <c r="A466" s="5" t="str">
        <f aca="false">'Source Data'!A463</f>
        <v>Pernod Ricard</v>
      </c>
      <c r="B466" s="5" t="str">
        <f aca="false">'Source Data'!B463</f>
        <v>Consumer Packaged Goods: Beverages</v>
      </c>
      <c r="C466" s="6" t="n">
        <f aca="false">'Source Data'!C463</f>
        <v>12</v>
      </c>
      <c r="D466" s="6" t="n">
        <f aca="false">'Source Data'!E463</f>
        <v>0</v>
      </c>
      <c r="E466" s="6" t="n">
        <f aca="false">IFERROR(N(C466)-N(D466),"")</f>
        <v>12</v>
      </c>
      <c r="F466" s="7" t="str">
        <f aca="false">IF(E466&gt;0,"Yes",IF(E466&lt;0,"No (Paternity higher)","Equal"))</f>
        <v>Yes</v>
      </c>
    </row>
    <row r="467" customFormat="false" ht="15" hidden="false" customHeight="false" outlineLevel="0" collapsed="false">
      <c r="A467" s="5" t="str">
        <f aca="false">'Source Data'!A464</f>
        <v>Ranch Rider Spirits</v>
      </c>
      <c r="B467" s="5" t="str">
        <f aca="false">'Source Data'!B464</f>
        <v>Consumer Packaged Goods: Beverages</v>
      </c>
      <c r="C467" s="6" t="n">
        <f aca="false">'Source Data'!C464</f>
        <v>10</v>
      </c>
      <c r="D467" s="6" t="n">
        <f aca="false">'Source Data'!E464</f>
        <v>0</v>
      </c>
      <c r="E467" s="6" t="n">
        <f aca="false">IFERROR(N(C467)-N(D467),"")</f>
        <v>10</v>
      </c>
      <c r="F467" s="7" t="str">
        <f aca="false">IF(E467&gt;0,"Yes",IF(E467&lt;0,"No (Paternity higher)","Equal"))</f>
        <v>Yes</v>
      </c>
    </row>
    <row r="468" customFormat="false" ht="15" hidden="false" customHeight="false" outlineLevel="0" collapsed="false">
      <c r="A468" s="5" t="str">
        <f aca="false">'Source Data'!A465</f>
        <v>The Coca-Cola Company</v>
      </c>
      <c r="B468" s="5" t="str">
        <f aca="false">'Source Data'!B465</f>
        <v>Consumer Packaged Goods: Beverages</v>
      </c>
      <c r="C468" s="6" t="n">
        <f aca="false">'Source Data'!C465</f>
        <v>12</v>
      </c>
      <c r="D468" s="6" t="n">
        <f aca="false">'Source Data'!E465</f>
        <v>0</v>
      </c>
      <c r="E468" s="6" t="n">
        <f aca="false">IFERROR(N(C468)-N(D468),"")</f>
        <v>12</v>
      </c>
      <c r="F468" s="7" t="str">
        <f aca="false">IF(E468&gt;0,"Yes",IF(E468&lt;0,"No (Paternity higher)","Equal"))</f>
        <v>Yes</v>
      </c>
    </row>
    <row r="469" customFormat="false" ht="15" hidden="false" customHeight="false" outlineLevel="0" collapsed="false">
      <c r="A469" s="5" t="str">
        <f aca="false">'Source Data'!A466</f>
        <v>Total Wine &amp; More</v>
      </c>
      <c r="B469" s="5" t="str">
        <f aca="false">'Source Data'!B466</f>
        <v>Consumer Packaged Goods: Beverages</v>
      </c>
      <c r="C469" s="6" t="n">
        <f aca="false">'Source Data'!C466</f>
        <v>8</v>
      </c>
      <c r="D469" s="6" t="n">
        <f aca="false">'Source Data'!E466</f>
        <v>4</v>
      </c>
      <c r="E469" s="6" t="n">
        <f aca="false">IFERROR(N(C469)-N(D469),"")</f>
        <v>4</v>
      </c>
      <c r="F469" s="7" t="str">
        <f aca="false">IF(E469&gt;0,"Yes",IF(E469&lt;0,"No (Paternity higher)","Equal"))</f>
        <v>Yes</v>
      </c>
    </row>
    <row r="470" customFormat="false" ht="15" hidden="false" customHeight="false" outlineLevel="0" collapsed="false">
      <c r="A470" s="5" t="str">
        <f aca="false">'Source Data'!A467</f>
        <v>Braum's Ice Cream &amp; Dairy Store</v>
      </c>
      <c r="B470" s="5" t="str">
        <f aca="false">'Source Data'!B467</f>
        <v>Consumer Packaged Goods: Packaged Foods</v>
      </c>
      <c r="C470" s="6" t="n">
        <f aca="false">'Source Data'!C467</f>
        <v>3</v>
      </c>
      <c r="D470" s="6" t="n">
        <f aca="false">'Source Data'!E467</f>
        <v>0</v>
      </c>
      <c r="E470" s="6" t="n">
        <f aca="false">IFERROR(N(C470)-N(D470),"")</f>
        <v>3</v>
      </c>
      <c r="F470" s="7" t="str">
        <f aca="false">IF(E470&gt;0,"Yes",IF(E470&lt;0,"No (Paternity higher)","Equal"))</f>
        <v>Yes</v>
      </c>
    </row>
    <row r="471" customFormat="false" ht="15" hidden="false" customHeight="false" outlineLevel="0" collapsed="false">
      <c r="A471" s="5" t="str">
        <f aca="false">'Source Data'!A468</f>
        <v>Ajinomoto</v>
      </c>
      <c r="B471" s="5" t="str">
        <f aca="false">'Source Data'!B468</f>
        <v>Consumer Packaged Goods: Packaged Foods</v>
      </c>
      <c r="C471" s="6" t="n">
        <f aca="false">'Source Data'!C468</f>
        <v>9</v>
      </c>
      <c r="D471" s="6" t="n">
        <f aca="false">'Source Data'!E468</f>
        <v>0</v>
      </c>
      <c r="E471" s="6" t="n">
        <f aca="false">IFERROR(N(C471)-N(D471),"")</f>
        <v>9</v>
      </c>
      <c r="F471" s="7" t="str">
        <f aca="false">IF(E471&gt;0,"Yes",IF(E471&lt;0,"No (Paternity higher)","Equal"))</f>
        <v>Yes</v>
      </c>
    </row>
    <row r="472" customFormat="false" ht="15" hidden="false" customHeight="false" outlineLevel="0" collapsed="false">
      <c r="A472" s="5" t="str">
        <f aca="false">'Source Data'!A469</f>
        <v>Bimbo Bakeries USA</v>
      </c>
      <c r="B472" s="5" t="str">
        <f aca="false">'Source Data'!B469</f>
        <v>Consumer Packaged Goods: Packaged Foods</v>
      </c>
      <c r="C472" s="6" t="n">
        <f aca="false">'Source Data'!C469</f>
        <v>8</v>
      </c>
      <c r="D472" s="6" t="n">
        <f aca="false">'Source Data'!E469</f>
        <v>0</v>
      </c>
      <c r="E472" s="6" t="n">
        <f aca="false">IFERROR(N(C472)-N(D472),"")</f>
        <v>8</v>
      </c>
      <c r="F472" s="7" t="str">
        <f aca="false">IF(E472&gt;0,"Yes",IF(E472&lt;0,"No (Paternity higher)","Equal"))</f>
        <v>Yes</v>
      </c>
    </row>
    <row r="473" customFormat="false" ht="15" hidden="false" customHeight="false" outlineLevel="0" collapsed="false">
      <c r="A473" s="5" t="str">
        <f aca="false">'Source Data'!A470</f>
        <v>Campbell Soup Company</v>
      </c>
      <c r="B473" s="5" t="str">
        <f aca="false">'Source Data'!B470</f>
        <v>Consumer Packaged Goods: Packaged Foods</v>
      </c>
      <c r="C473" s="6" t="n">
        <f aca="false">'Source Data'!C470</f>
        <v>10</v>
      </c>
      <c r="D473" s="6" t="n">
        <f aca="false">'Source Data'!E470</f>
        <v>0</v>
      </c>
      <c r="E473" s="6" t="n">
        <f aca="false">IFERROR(N(C473)-N(D473),"")</f>
        <v>10</v>
      </c>
      <c r="F473" s="7" t="str">
        <f aca="false">IF(E473&gt;0,"Yes",IF(E473&lt;0,"No (Paternity higher)","Equal"))</f>
        <v>Yes</v>
      </c>
    </row>
    <row r="474" customFormat="false" ht="15" hidden="false" customHeight="false" outlineLevel="0" collapsed="false">
      <c r="A474" s="5" t="str">
        <f aca="false">'Source Data'!A471</f>
        <v>Frito-Lay</v>
      </c>
      <c r="B474" s="5" t="str">
        <f aca="false">'Source Data'!B471</f>
        <v>Consumer Packaged Goods: Packaged Foods</v>
      </c>
      <c r="C474" s="6" t="n">
        <f aca="false">'Source Data'!C471</f>
        <v>6</v>
      </c>
      <c r="D474" s="6" t="n">
        <f aca="false">'Source Data'!E471</f>
        <v>0</v>
      </c>
      <c r="E474" s="6" t="n">
        <f aca="false">IFERROR(N(C474)-N(D474),"")</f>
        <v>6</v>
      </c>
      <c r="F474" s="7" t="str">
        <f aca="false">IF(E474&gt;0,"Yes",IF(E474&lt;0,"No (Paternity higher)","Equal"))</f>
        <v>Yes</v>
      </c>
    </row>
    <row r="475" customFormat="false" ht="15" hidden="false" customHeight="false" outlineLevel="0" collapsed="false">
      <c r="A475" s="5" t="str">
        <f aca="false">'Source Data'!A472</f>
        <v>Impossible Foods</v>
      </c>
      <c r="B475" s="5" t="str">
        <f aca="false">'Source Data'!B472</f>
        <v>Consumer Packaged Goods: Packaged Foods</v>
      </c>
      <c r="C475" s="6" t="n">
        <f aca="false">'Source Data'!C472</f>
        <v>12</v>
      </c>
      <c r="D475" s="6" t="n">
        <f aca="false">'Source Data'!E472</f>
        <v>0</v>
      </c>
      <c r="E475" s="6" t="n">
        <f aca="false">IFERROR(N(C475)-N(D475),"")</f>
        <v>12</v>
      </c>
      <c r="F475" s="7" t="str">
        <f aca="false">IF(E475&gt;0,"Yes",IF(E475&lt;0,"No (Paternity higher)","Equal"))</f>
        <v>Yes</v>
      </c>
    </row>
    <row r="476" customFormat="false" ht="15" hidden="false" customHeight="false" outlineLevel="0" collapsed="false">
      <c r="A476" s="5" t="str">
        <f aca="false">'Source Data'!A473</f>
        <v>Lindt &amp; Sprngli</v>
      </c>
      <c r="B476" s="5" t="str">
        <f aca="false">'Source Data'!B473</f>
        <v>Consumer Packaged Goods: Packaged Foods</v>
      </c>
      <c r="C476" s="6" t="n">
        <f aca="false">'Source Data'!C473</f>
        <v>6</v>
      </c>
      <c r="D476" s="6" t="n">
        <f aca="false">'Source Data'!E473</f>
        <v>0</v>
      </c>
      <c r="E476" s="6" t="n">
        <f aca="false">IFERROR(N(C476)-N(D476),"")</f>
        <v>6</v>
      </c>
      <c r="F476" s="7" t="str">
        <f aca="false">IF(E476&gt;0,"Yes",IF(E476&lt;0,"No (Paternity higher)","Equal"))</f>
        <v>Yes</v>
      </c>
    </row>
    <row r="477" customFormat="false" ht="15" hidden="false" customHeight="false" outlineLevel="0" collapsed="false">
      <c r="A477" s="5" t="str">
        <f aca="false">'Source Data'!A474</f>
        <v>Nestle</v>
      </c>
      <c r="B477" s="5" t="str">
        <f aca="false">'Source Data'!B474</f>
        <v>Consumer Packaged Goods: Packaged Foods</v>
      </c>
      <c r="C477" s="6" t="n">
        <f aca="false">'Source Data'!C474</f>
        <v>14</v>
      </c>
      <c r="D477" s="6" t="n">
        <f aca="false">'Source Data'!E474</f>
        <v>0</v>
      </c>
      <c r="E477" s="6" t="n">
        <f aca="false">IFERROR(N(C477)-N(D477),"")</f>
        <v>14</v>
      </c>
      <c r="F477" s="7" t="str">
        <f aca="false">IF(E477&gt;0,"Yes",IF(E477&lt;0,"No (Paternity higher)","Equal"))</f>
        <v>Yes</v>
      </c>
    </row>
    <row r="478" customFormat="false" ht="15" hidden="false" customHeight="false" outlineLevel="0" collapsed="false">
      <c r="A478" s="5" t="str">
        <f aca="false">'Source Data'!A475</f>
        <v>R. M. Palmer Company</v>
      </c>
      <c r="B478" s="5" t="str">
        <f aca="false">'Source Data'!B475</f>
        <v>Consumer Packaged Goods: Packaged Foods</v>
      </c>
      <c r="C478" s="6" t="n">
        <f aca="false">'Source Data'!C475</f>
        <v>6</v>
      </c>
      <c r="D478" s="6" t="n">
        <f aca="false">'Source Data'!E475</f>
        <v>0</v>
      </c>
      <c r="E478" s="6" t="n">
        <f aca="false">IFERROR(N(C478)-N(D478),"")</f>
        <v>6</v>
      </c>
      <c r="F478" s="7" t="str">
        <f aca="false">IF(E478&gt;0,"Yes",IF(E478&lt;0,"No (Paternity higher)","Equal"))</f>
        <v>Yes</v>
      </c>
    </row>
    <row r="479" customFormat="false" ht="15" hidden="false" customHeight="false" outlineLevel="0" collapsed="false">
      <c r="A479" s="5" t="str">
        <f aca="false">'Source Data'!A476</f>
        <v>Taylor Company</v>
      </c>
      <c r="B479" s="5" t="str">
        <f aca="false">'Source Data'!B476</f>
        <v>Consumer Packaged Goods: Packaged Foods</v>
      </c>
      <c r="C479" s="6" t="n">
        <f aca="false">'Source Data'!C476</f>
        <v>26</v>
      </c>
      <c r="D479" s="6" t="n">
        <f aca="false">'Source Data'!E476</f>
        <v>0</v>
      </c>
      <c r="E479" s="6" t="n">
        <f aca="false">IFERROR(N(C479)-N(D479),"")</f>
        <v>26</v>
      </c>
      <c r="F479" s="7" t="str">
        <f aca="false">IF(E479&gt;0,"Yes",IF(E479&lt;0,"No (Paternity higher)","Equal"))</f>
        <v>Yes</v>
      </c>
    </row>
    <row r="480" customFormat="false" ht="15" hidden="false" customHeight="false" outlineLevel="0" collapsed="false">
      <c r="A480" s="5" t="str">
        <f aca="false">'Source Data'!A477</f>
        <v>The Coffee Bean &amp; Tea Leaf</v>
      </c>
      <c r="B480" s="5" t="str">
        <f aca="false">'Source Data'!B477</f>
        <v>Consumer Packaged Goods: Packaged Foods</v>
      </c>
      <c r="C480" s="6" t="n">
        <f aca="false">'Source Data'!C477</f>
        <v>6</v>
      </c>
      <c r="D480" s="6" t="n">
        <f aca="false">'Source Data'!E477</f>
        <v>0</v>
      </c>
      <c r="E480" s="6" t="n">
        <f aca="false">IFERROR(N(C480)-N(D480),"")</f>
        <v>6</v>
      </c>
      <c r="F480" s="7" t="str">
        <f aca="false">IF(E480&gt;0,"Yes",IF(E480&lt;0,"No (Paternity higher)","Equal"))</f>
        <v>Yes</v>
      </c>
    </row>
    <row r="481" customFormat="false" ht="15" hidden="false" customHeight="false" outlineLevel="0" collapsed="false">
      <c r="A481" s="5" t="str">
        <f aca="false">'Source Data'!A478</f>
        <v>The Dannon Company, Inc.</v>
      </c>
      <c r="B481" s="5" t="str">
        <f aca="false">'Source Data'!B478</f>
        <v>Consumer Packaged Goods: Packaged Foods</v>
      </c>
      <c r="C481" s="6" t="n">
        <f aca="false">'Source Data'!C478</f>
        <v>20</v>
      </c>
      <c r="D481" s="6" t="n">
        <f aca="false">'Source Data'!E478</f>
        <v>0</v>
      </c>
      <c r="E481" s="6" t="n">
        <f aca="false">IFERROR(N(C481)-N(D481),"")</f>
        <v>20</v>
      </c>
      <c r="F481" s="7" t="str">
        <f aca="false">IF(E481&gt;0,"Yes",IF(E481&lt;0,"No (Paternity higher)","Equal"))</f>
        <v>Yes</v>
      </c>
    </row>
    <row r="482" customFormat="false" ht="15" hidden="false" customHeight="false" outlineLevel="0" collapsed="false">
      <c r="A482" s="5" t="str">
        <f aca="false">'Source Data'!A479</f>
        <v>The J.M. Smucker Company</v>
      </c>
      <c r="B482" s="5" t="str">
        <f aca="false">'Source Data'!B479</f>
        <v>Consumer Packaged Goods: Packaged Foods</v>
      </c>
      <c r="C482" s="6" t="n">
        <f aca="false">'Source Data'!C479</f>
        <v>8</v>
      </c>
      <c r="D482" s="6" t="n">
        <f aca="false">'Source Data'!E479</f>
        <v>0</v>
      </c>
      <c r="E482" s="6" t="n">
        <f aca="false">IFERROR(N(C482)-N(D482),"")</f>
        <v>8</v>
      </c>
      <c r="F482" s="7" t="str">
        <f aca="false">IF(E482&gt;0,"Yes",IF(E482&lt;0,"No (Paternity higher)","Equal"))</f>
        <v>Yes</v>
      </c>
    </row>
    <row r="483" customFormat="false" ht="15" hidden="false" customHeight="false" outlineLevel="0" collapsed="false">
      <c r="A483" s="5" t="str">
        <f aca="false">'Source Data'!A480</f>
        <v>WellPet LLC</v>
      </c>
      <c r="B483" s="5" t="str">
        <f aca="false">'Source Data'!B480</f>
        <v>Consumer Packaged Goods: Packaged Foods</v>
      </c>
      <c r="C483" s="6" t="n">
        <f aca="false">'Source Data'!C480</f>
        <v>12</v>
      </c>
      <c r="D483" s="6" t="n">
        <f aca="false">'Source Data'!E480</f>
        <v>0</v>
      </c>
      <c r="E483" s="6" t="n">
        <f aca="false">IFERROR(N(C483)-N(D483),"")</f>
        <v>12</v>
      </c>
      <c r="F483" s="7" t="str">
        <f aca="false">IF(E483&gt;0,"Yes",IF(E483&lt;0,"No (Paternity higher)","Equal"))</f>
        <v>Yes</v>
      </c>
    </row>
    <row r="484" customFormat="false" ht="15" hidden="false" customHeight="false" outlineLevel="0" collapsed="false">
      <c r="A484" s="5" t="str">
        <f aca="false">'Source Data'!A481</f>
        <v>Colgate-Palmolive Company</v>
      </c>
      <c r="B484" s="5" t="str">
        <f aca="false">'Source Data'!B481</f>
        <v>Consumer Packaged Goods: Packaged Products</v>
      </c>
      <c r="C484" s="6" t="n">
        <f aca="false">'Source Data'!C481</f>
        <v>19.5</v>
      </c>
      <c r="D484" s="6" t="n">
        <f aca="false">'Source Data'!E481</f>
        <v>0</v>
      </c>
      <c r="E484" s="6" t="n">
        <f aca="false">IFERROR(N(C484)-N(D484),"")</f>
        <v>19.5</v>
      </c>
      <c r="F484" s="7" t="str">
        <f aca="false">IF(E484&gt;0,"Yes",IF(E484&lt;0,"No (Paternity higher)","Equal"))</f>
        <v>Yes</v>
      </c>
    </row>
    <row r="485" customFormat="false" ht="15" hidden="false" customHeight="false" outlineLevel="0" collapsed="false">
      <c r="A485" s="5" t="str">
        <f aca="false">'Source Data'!A482</f>
        <v>Elanco Animal Health</v>
      </c>
      <c r="B485" s="5" t="str">
        <f aca="false">'Source Data'!B482</f>
        <v>Consumer Packaged Goods: Packaged Products</v>
      </c>
      <c r="C485" s="6" t="n">
        <f aca="false">'Source Data'!C482</f>
        <v>12</v>
      </c>
      <c r="D485" s="6" t="n">
        <f aca="false">'Source Data'!E482</f>
        <v>0</v>
      </c>
      <c r="E485" s="6" t="n">
        <f aca="false">IFERROR(N(C485)-N(D485),"")</f>
        <v>12</v>
      </c>
      <c r="F485" s="7" t="str">
        <f aca="false">IF(E485&gt;0,"Yes",IF(E485&lt;0,"No (Paternity higher)","Equal"))</f>
        <v>Yes</v>
      </c>
    </row>
    <row r="486" customFormat="false" ht="15" hidden="false" customHeight="false" outlineLevel="0" collapsed="false">
      <c r="A486" s="5" t="str">
        <f aca="false">'Source Data'!A483</f>
        <v>Henkel</v>
      </c>
      <c r="B486" s="5" t="str">
        <f aca="false">'Source Data'!B483</f>
        <v>Consumer Packaged Goods: Packaged Products</v>
      </c>
      <c r="C486" s="6" t="n">
        <f aca="false">'Source Data'!C483</f>
        <v>8</v>
      </c>
      <c r="D486" s="6" t="n">
        <f aca="false">'Source Data'!E483</f>
        <v>0</v>
      </c>
      <c r="E486" s="6" t="n">
        <f aca="false">IFERROR(N(C486)-N(D486),"")</f>
        <v>8</v>
      </c>
      <c r="F486" s="7" t="str">
        <f aca="false">IF(E486&gt;0,"Yes",IF(E486&lt;0,"No (Paternity higher)","Equal"))</f>
        <v>Yes</v>
      </c>
    </row>
    <row r="487" customFormat="false" ht="15" hidden="false" customHeight="false" outlineLevel="0" collapsed="false">
      <c r="A487" s="5" t="str">
        <f aca="false">'Source Data'!A484</f>
        <v>Nestle Purina PetCare Company</v>
      </c>
      <c r="B487" s="5" t="str">
        <f aca="false">'Source Data'!B484</f>
        <v>Consumer Packaged Goods: Packaged Products</v>
      </c>
      <c r="C487" s="6" t="n">
        <f aca="false">'Source Data'!C484</f>
        <v>8.5</v>
      </c>
      <c r="D487" s="6" t="n">
        <f aca="false">'Source Data'!E484</f>
        <v>0</v>
      </c>
      <c r="E487" s="6" t="n">
        <f aca="false">IFERROR(N(C487)-N(D487),"")</f>
        <v>8.5</v>
      </c>
      <c r="F487" s="7" t="str">
        <f aca="false">IF(E487&gt;0,"Yes",IF(E487&lt;0,"No (Paternity higher)","Equal"))</f>
        <v>Yes</v>
      </c>
    </row>
    <row r="488" customFormat="false" ht="15" hidden="false" customHeight="false" outlineLevel="0" collapsed="false">
      <c r="A488" s="5" t="str">
        <f aca="false">'Source Data'!A485</f>
        <v>Procter &amp; Gamble</v>
      </c>
      <c r="B488" s="5" t="str">
        <f aca="false">'Source Data'!B485</f>
        <v>Consumer Packaged Goods: Packaged Products</v>
      </c>
      <c r="C488" s="6" t="n">
        <f aca="false">'Source Data'!C485</f>
        <v>12</v>
      </c>
      <c r="D488" s="6" t="n">
        <f aca="false">'Source Data'!E485</f>
        <v>0</v>
      </c>
      <c r="E488" s="6" t="n">
        <f aca="false">IFERROR(N(C488)-N(D488),"")</f>
        <v>12</v>
      </c>
      <c r="F488" s="7" t="str">
        <f aca="false">IF(E488&gt;0,"Yes",IF(E488&lt;0,"No (Paternity higher)","Equal"))</f>
        <v>Yes</v>
      </c>
    </row>
    <row r="489" customFormat="false" ht="15" hidden="false" customHeight="false" outlineLevel="0" collapsed="false">
      <c r="A489" s="5" t="str">
        <f aca="false">'Source Data'!A486</f>
        <v>The Scotts Miracle-Gro Company</v>
      </c>
      <c r="B489" s="5" t="str">
        <f aca="false">'Source Data'!B486</f>
        <v>Consumer Packaged Goods: Packaged Products</v>
      </c>
      <c r="C489" s="6" t="n">
        <f aca="false">'Source Data'!C486</f>
        <v>10</v>
      </c>
      <c r="D489" s="6" t="n">
        <f aca="false">'Source Data'!E486</f>
        <v>0</v>
      </c>
      <c r="E489" s="6" t="n">
        <f aca="false">IFERROR(N(C489)-N(D489),"")</f>
        <v>10</v>
      </c>
      <c r="F489" s="7" t="str">
        <f aca="false">IF(E489&gt;0,"Yes",IF(E489&lt;0,"No (Paternity higher)","Equal"))</f>
        <v>Yes</v>
      </c>
    </row>
    <row r="490" customFormat="false" ht="15" hidden="false" customHeight="false" outlineLevel="0" collapsed="false">
      <c r="A490" s="5" t="str">
        <f aca="false">'Source Data'!A487</f>
        <v>Altria Group, Inc.</v>
      </c>
      <c r="B490" s="5" t="str">
        <f aca="false">'Source Data'!B487</f>
        <v>Consumer Packaged Goods: Tobacco</v>
      </c>
      <c r="C490" s="6" t="n">
        <f aca="false">'Source Data'!C487</f>
        <v>6</v>
      </c>
      <c r="D490" s="6" t="n">
        <f aca="false">'Source Data'!E487</f>
        <v>0</v>
      </c>
      <c r="E490" s="6" t="n">
        <f aca="false">IFERROR(N(C490)-N(D490),"")</f>
        <v>6</v>
      </c>
      <c r="F490" s="7" t="str">
        <f aca="false">IF(E490&gt;0,"Yes",IF(E490&lt;0,"No (Paternity higher)","Equal"))</f>
        <v>Yes</v>
      </c>
    </row>
    <row r="491" customFormat="false" ht="15" hidden="false" customHeight="false" outlineLevel="0" collapsed="false">
      <c r="A491" s="5" t="str">
        <f aca="false">'Source Data'!A488</f>
        <v>Reynolds American Inc.</v>
      </c>
      <c r="B491" s="5" t="str">
        <f aca="false">'Source Data'!B488</f>
        <v>Consumer Packaged Goods: Tobacco</v>
      </c>
      <c r="C491" s="6" t="n">
        <f aca="false">'Source Data'!C488</f>
        <v>16</v>
      </c>
      <c r="D491" s="6" t="n">
        <f aca="false">'Source Data'!E488</f>
        <v>16</v>
      </c>
      <c r="E491" s="6" t="n">
        <f aca="false">IFERROR(N(C491)-N(D491),"")</f>
        <v>0</v>
      </c>
      <c r="F491" s="7" t="str">
        <f aca="false">IF(E491&gt;0,"Yes",IF(E491&lt;0,"No (Paternity higher)","Equal"))</f>
        <v>Equal</v>
      </c>
    </row>
    <row r="492" customFormat="false" ht="15" hidden="false" customHeight="false" outlineLevel="0" collapsed="false">
      <c r="A492" s="5" t="str">
        <f aca="false">'Source Data'!A489</f>
        <v>Munchkin</v>
      </c>
      <c r="B492" s="5" t="str">
        <f aca="false">'Source Data'!B489</f>
        <v>Consumer Packaged Goods: Toys &amp; Baby Products</v>
      </c>
      <c r="C492" s="6" t="n">
        <f aca="false">'Source Data'!C489</f>
        <v>6</v>
      </c>
      <c r="D492" s="6" t="n">
        <f aca="false">'Source Data'!E489</f>
        <v>0</v>
      </c>
      <c r="E492" s="6" t="n">
        <f aca="false">IFERROR(N(C492)-N(D492),"")</f>
        <v>6</v>
      </c>
      <c r="F492" s="7" t="str">
        <f aca="false">IF(E492&gt;0,"Yes",IF(E492&lt;0,"No (Paternity higher)","Equal"))</f>
        <v>Yes</v>
      </c>
    </row>
    <row r="493" customFormat="false" ht="15" hidden="false" customHeight="false" outlineLevel="0" collapsed="false">
      <c r="A493" s="5" t="str">
        <f aca="false">'Source Data'!A490</f>
        <v>Aesop</v>
      </c>
      <c r="B493" s="5" t="str">
        <f aca="false">'Source Data'!B490</f>
        <v>Cosmetics</v>
      </c>
      <c r="C493" s="6" t="n">
        <f aca="false">'Source Data'!C490</f>
        <v>12</v>
      </c>
      <c r="D493" s="6" t="n">
        <f aca="false">'Source Data'!E490</f>
        <v>6</v>
      </c>
      <c r="E493" s="6" t="n">
        <f aca="false">IFERROR(N(C493)-N(D493),"")</f>
        <v>6</v>
      </c>
      <c r="F493" s="7" t="str">
        <f aca="false">IF(E493&gt;0,"Yes",IF(E493&lt;0,"No (Paternity higher)","Equal"))</f>
        <v>Yes</v>
      </c>
    </row>
    <row r="494" customFormat="false" ht="15" hidden="false" customHeight="false" outlineLevel="0" collapsed="false">
      <c r="A494" s="5" t="str">
        <f aca="false">'Source Data'!A491</f>
        <v>Benefit Cosmetics LLC</v>
      </c>
      <c r="B494" s="5" t="str">
        <f aca="false">'Source Data'!B491</f>
        <v>Cosmetics</v>
      </c>
      <c r="C494" s="6" t="n">
        <f aca="false">'Source Data'!C491</f>
        <v>12</v>
      </c>
      <c r="D494" s="6" t="n">
        <f aca="false">'Source Data'!E491</f>
        <v>0</v>
      </c>
      <c r="E494" s="6" t="n">
        <f aca="false">IFERROR(N(C494)-N(D494),"")</f>
        <v>12</v>
      </c>
      <c r="F494" s="7" t="str">
        <f aca="false">IF(E494&gt;0,"Yes",IF(E494&lt;0,"No (Paternity higher)","Equal"))</f>
        <v>Yes</v>
      </c>
    </row>
    <row r="495" customFormat="false" ht="15" hidden="false" customHeight="false" outlineLevel="0" collapsed="false">
      <c r="A495" s="5" t="str">
        <f aca="false">'Source Data'!A492</f>
        <v>Curology</v>
      </c>
      <c r="B495" s="5" t="str">
        <f aca="false">'Source Data'!B492</f>
        <v>Cosmetics</v>
      </c>
      <c r="C495" s="6" t="n">
        <f aca="false">'Source Data'!C492</f>
        <v>12</v>
      </c>
      <c r="D495" s="6" t="n">
        <f aca="false">'Source Data'!E492</f>
        <v>0</v>
      </c>
      <c r="E495" s="6" t="n">
        <f aca="false">IFERROR(N(C495)-N(D495),"")</f>
        <v>12</v>
      </c>
      <c r="F495" s="7" t="str">
        <f aca="false">IF(E495&gt;0,"Yes",IF(E495&lt;0,"No (Paternity higher)","Equal"))</f>
        <v>Yes</v>
      </c>
    </row>
    <row r="496" customFormat="false" ht="15" hidden="false" customHeight="false" outlineLevel="0" collapsed="false">
      <c r="A496" s="5" t="str">
        <f aca="false">'Source Data'!A493</f>
        <v>Edge Systems LLC</v>
      </c>
      <c r="B496" s="5" t="str">
        <f aca="false">'Source Data'!B493</f>
        <v>Cosmetics</v>
      </c>
      <c r="C496" s="6" t="n">
        <f aca="false">'Source Data'!C493</f>
        <v>12</v>
      </c>
      <c r="D496" s="6" t="n">
        <f aca="false">'Source Data'!E493</f>
        <v>0</v>
      </c>
      <c r="E496" s="6" t="n">
        <f aca="false">IFERROR(N(C496)-N(D496),"")</f>
        <v>12</v>
      </c>
      <c r="F496" s="7" t="str">
        <f aca="false">IF(E496&gt;0,"Yes",IF(E496&lt;0,"No (Paternity higher)","Equal"))</f>
        <v>Yes</v>
      </c>
    </row>
    <row r="497" customFormat="false" ht="15" hidden="false" customHeight="false" outlineLevel="0" collapsed="false">
      <c r="A497" s="5" t="str">
        <f aca="false">'Source Data'!A494</f>
        <v>Estee Lauder Companies</v>
      </c>
      <c r="B497" s="5" t="str">
        <f aca="false">'Source Data'!B494</f>
        <v>Cosmetics</v>
      </c>
      <c r="C497" s="6" t="n">
        <f aca="false">'Source Data'!C494</f>
        <v>24</v>
      </c>
      <c r="D497" s="6" t="n">
        <f aca="false">'Source Data'!E494</f>
        <v>0</v>
      </c>
      <c r="E497" s="6" t="n">
        <f aca="false">IFERROR(N(C497)-N(D497),"")</f>
        <v>24</v>
      </c>
      <c r="F497" s="7" t="str">
        <f aca="false">IF(E497&gt;0,"Yes",IF(E497&lt;0,"No (Paternity higher)","Equal"))</f>
        <v>Yes</v>
      </c>
    </row>
    <row r="498" customFormat="false" ht="15" hidden="false" customHeight="false" outlineLevel="0" collapsed="false">
      <c r="A498" s="5" t="str">
        <f aca="false">'Source Data'!A495</f>
        <v>Mac Cosmetics</v>
      </c>
      <c r="B498" s="5" t="str">
        <f aca="false">'Source Data'!B495</f>
        <v>Cosmetics</v>
      </c>
      <c r="C498" s="6" t="n">
        <f aca="false">'Source Data'!C495</f>
        <v>12</v>
      </c>
      <c r="D498" s="6" t="n">
        <f aca="false">'Source Data'!E495</f>
        <v>0</v>
      </c>
      <c r="E498" s="6" t="n">
        <f aca="false">IFERROR(N(C498)-N(D498),"")</f>
        <v>12</v>
      </c>
      <c r="F498" s="7" t="str">
        <f aca="false">IF(E498&gt;0,"Yes",IF(E498&lt;0,"No (Paternity higher)","Equal"))</f>
        <v>Yes</v>
      </c>
    </row>
    <row r="499" customFormat="false" ht="15" hidden="false" customHeight="false" outlineLevel="0" collapsed="false">
      <c r="A499" s="5" t="str">
        <f aca="false">'Source Data'!A496</f>
        <v>Revlon</v>
      </c>
      <c r="B499" s="5" t="str">
        <f aca="false">'Source Data'!B496</f>
        <v>Cosmetics</v>
      </c>
      <c r="C499" s="6" t="n">
        <f aca="false">'Source Data'!C496</f>
        <v>12</v>
      </c>
      <c r="D499" s="6" t="n">
        <f aca="false">'Source Data'!E496</f>
        <v>0</v>
      </c>
      <c r="E499" s="6" t="n">
        <f aca="false">IFERROR(N(C499)-N(D499),"")</f>
        <v>12</v>
      </c>
      <c r="F499" s="7" t="str">
        <f aca="false">IF(E499&gt;0,"Yes",IF(E499&lt;0,"No (Paternity higher)","Equal"))</f>
        <v>Yes</v>
      </c>
    </row>
    <row r="500" customFormat="false" ht="15" hidden="false" customHeight="false" outlineLevel="0" collapsed="false">
      <c r="A500" s="5" t="str">
        <f aca="false">'Source Data'!A497</f>
        <v>BAE Systems</v>
      </c>
      <c r="B500" s="5" t="str">
        <f aca="false">'Source Data'!B497</f>
        <v>Defense &amp; Space</v>
      </c>
      <c r="C500" s="6" t="n">
        <f aca="false">'Source Data'!C497</f>
        <v>2</v>
      </c>
      <c r="D500" s="6" t="n">
        <f aca="false">'Source Data'!E497</f>
        <v>0</v>
      </c>
      <c r="E500" s="6" t="n">
        <f aca="false">IFERROR(N(C500)-N(D500),"")</f>
        <v>2</v>
      </c>
      <c r="F500" s="7" t="str">
        <f aca="false">IF(E500&gt;0,"Yes",IF(E500&lt;0,"No (Paternity higher)","Equal"))</f>
        <v>Yes</v>
      </c>
    </row>
    <row r="501" customFormat="false" ht="15" hidden="false" customHeight="false" outlineLevel="0" collapsed="false">
      <c r="A501" s="5" t="str">
        <f aca="false">'Source Data'!A498</f>
        <v>L3Harris</v>
      </c>
      <c r="B501" s="5" t="str">
        <f aca="false">'Source Data'!B498</f>
        <v>Defense &amp; Space</v>
      </c>
      <c r="C501" s="6" t="n">
        <f aca="false">'Source Data'!C498</f>
        <v>5</v>
      </c>
      <c r="D501" s="6" t="n">
        <f aca="false">'Source Data'!E498</f>
        <v>0</v>
      </c>
      <c r="E501" s="6" t="n">
        <f aca="false">IFERROR(N(C501)-N(D501),"")</f>
        <v>5</v>
      </c>
      <c r="F501" s="7" t="str">
        <f aca="false">IF(E501&gt;0,"Yes",IF(E501&lt;0,"No (Paternity higher)","Equal"))</f>
        <v>Yes</v>
      </c>
    </row>
    <row r="502" customFormat="false" ht="15" hidden="false" customHeight="false" outlineLevel="0" collapsed="false">
      <c r="A502" s="5" t="str">
        <f aca="false">'Source Data'!A499</f>
        <v>Sierra Nevada Corperation</v>
      </c>
      <c r="B502" s="5" t="str">
        <f aca="false">'Source Data'!B499</f>
        <v>Defense &amp; Space</v>
      </c>
      <c r="C502" s="6" t="n">
        <f aca="false">'Source Data'!C499</f>
        <v>5</v>
      </c>
      <c r="D502" s="6" t="n">
        <f aca="false">'Source Data'!E499</f>
        <v>0</v>
      </c>
      <c r="E502" s="6" t="n">
        <f aca="false">IFERROR(N(C502)-N(D502),"")</f>
        <v>5</v>
      </c>
      <c r="F502" s="7" t="str">
        <f aca="false">IF(E502&gt;0,"Yes",IF(E502&lt;0,"No (Paternity higher)","Equal"))</f>
        <v>Yes</v>
      </c>
    </row>
    <row r="503" customFormat="false" ht="15" hidden="false" customHeight="false" outlineLevel="0" collapsed="false">
      <c r="A503" s="5" t="str">
        <f aca="false">'Source Data'!A500</f>
        <v>Textron Systems</v>
      </c>
      <c r="B503" s="5" t="str">
        <f aca="false">'Source Data'!B500</f>
        <v>Defense &amp; Space</v>
      </c>
      <c r="C503" s="6" t="n">
        <f aca="false">'Source Data'!C500</f>
        <v>2</v>
      </c>
      <c r="D503" s="6" t="n">
        <f aca="false">'Source Data'!E500</f>
        <v>0</v>
      </c>
      <c r="E503" s="6" t="n">
        <f aca="false">IFERROR(N(C503)-N(D503),"")</f>
        <v>2</v>
      </c>
      <c r="F503" s="7" t="str">
        <f aca="false">IF(E503&gt;0,"Yes",IF(E503&lt;0,"No (Paternity higher)","Equal"))</f>
        <v>Yes</v>
      </c>
    </row>
    <row r="504" customFormat="false" ht="15" hidden="false" customHeight="false" outlineLevel="0" collapsed="false">
      <c r="A504" s="5" t="str">
        <f aca="false">'Source Data'!A501</f>
        <v>10up</v>
      </c>
      <c r="B504" s="5" t="str">
        <f aca="false">'Source Data'!B501</f>
        <v>Design</v>
      </c>
      <c r="C504" s="6" t="n">
        <f aca="false">'Source Data'!C501</f>
        <v>4</v>
      </c>
      <c r="D504" s="6" t="n">
        <f aca="false">'Source Data'!E501</f>
        <v>0</v>
      </c>
      <c r="E504" s="6" t="n">
        <f aca="false">IFERROR(N(C504)-N(D504),"")</f>
        <v>4</v>
      </c>
      <c r="F504" s="7" t="str">
        <f aca="false">IF(E504&gt;0,"Yes",IF(E504&lt;0,"No (Paternity higher)","Equal"))</f>
        <v>Yes</v>
      </c>
    </row>
    <row r="505" customFormat="false" ht="15" hidden="false" customHeight="false" outlineLevel="0" collapsed="false">
      <c r="A505" s="5" t="str">
        <f aca="false">'Source Data'!A502</f>
        <v>Kettle</v>
      </c>
      <c r="B505" s="5" t="str">
        <f aca="false">'Source Data'!B502</f>
        <v>Design</v>
      </c>
      <c r="C505" s="6" t="n">
        <f aca="false">'Source Data'!C502</f>
        <v>12</v>
      </c>
      <c r="D505" s="6" t="n">
        <f aca="false">'Source Data'!E502</f>
        <v>0</v>
      </c>
      <c r="E505" s="6" t="n">
        <f aca="false">IFERROR(N(C505)-N(D505),"")</f>
        <v>12</v>
      </c>
      <c r="F505" s="7" t="str">
        <f aca="false">IF(E505&gt;0,"Yes",IF(E505&lt;0,"No (Paternity higher)","Equal"))</f>
        <v>Yes</v>
      </c>
    </row>
    <row r="506" customFormat="false" ht="15" hidden="false" customHeight="false" outlineLevel="0" collapsed="false">
      <c r="A506" s="5" t="str">
        <f aca="false">'Source Data'!A503</f>
        <v>Reaktor</v>
      </c>
      <c r="B506" s="5" t="str">
        <f aca="false">'Source Data'!B503</f>
        <v>Design</v>
      </c>
      <c r="C506" s="6" t="n">
        <f aca="false">'Source Data'!C503</f>
        <v>16</v>
      </c>
      <c r="D506" s="6" t="n">
        <f aca="false">'Source Data'!E503</f>
        <v>0</v>
      </c>
      <c r="E506" s="6" t="n">
        <f aca="false">IFERROR(N(C506)-N(D506),"")</f>
        <v>16</v>
      </c>
      <c r="F506" s="7" t="str">
        <f aca="false">IF(E506&gt;0,"Yes",IF(E506&lt;0,"No (Paternity higher)","Equal"))</f>
        <v>Yes</v>
      </c>
    </row>
    <row r="507" customFormat="false" ht="15" hidden="false" customHeight="false" outlineLevel="0" collapsed="false">
      <c r="A507" s="5" t="str">
        <f aca="false">'Source Data'!A504</f>
        <v>Bard College</v>
      </c>
      <c r="B507" s="5" t="str">
        <f aca="false">'Source Data'!B504</f>
        <v>Educational Services: College &amp; Universities</v>
      </c>
      <c r="C507" s="6" t="n">
        <f aca="false">'Source Data'!C504</f>
        <v>8</v>
      </c>
      <c r="D507" s="6" t="n">
        <f aca="false">'Source Data'!E504</f>
        <v>0</v>
      </c>
      <c r="E507" s="6" t="n">
        <f aca="false">IFERROR(N(C507)-N(D507),"")</f>
        <v>8</v>
      </c>
      <c r="F507" s="7" t="str">
        <f aca="false">IF(E507&gt;0,"Yes",IF(E507&lt;0,"No (Paternity higher)","Equal"))</f>
        <v>Yes</v>
      </c>
    </row>
    <row r="508" customFormat="false" ht="15" hidden="false" customHeight="false" outlineLevel="0" collapsed="false">
      <c r="A508" s="5" t="str">
        <f aca="false">'Source Data'!A505</f>
        <v>Bryant University</v>
      </c>
      <c r="B508" s="5" t="str">
        <f aca="false">'Source Data'!B505</f>
        <v>Educational Services: College &amp; Universities</v>
      </c>
      <c r="C508" s="6" t="n">
        <f aca="false">'Source Data'!C505</f>
        <v>0</v>
      </c>
      <c r="D508" s="6" t="n">
        <f aca="false">'Source Data'!E505</f>
        <v>0</v>
      </c>
      <c r="E508" s="6" t="n">
        <f aca="false">IFERROR(N(C508)-N(D508),"")</f>
        <v>0</v>
      </c>
      <c r="F508" s="7" t="str">
        <f aca="false">IF(E508&gt;0,"Yes",IF(E508&lt;0,"No (Paternity higher)","Equal"))</f>
        <v>Equal</v>
      </c>
    </row>
    <row r="509" customFormat="false" ht="15" hidden="false" customHeight="false" outlineLevel="0" collapsed="false">
      <c r="A509" s="5" t="str">
        <f aca="false">'Source Data'!A506</f>
        <v>California State University</v>
      </c>
      <c r="B509" s="5" t="str">
        <f aca="false">'Source Data'!B506</f>
        <v>Educational Services: College &amp; Universities</v>
      </c>
      <c r="C509" s="6" t="n">
        <f aca="false">'Source Data'!C506</f>
        <v>4</v>
      </c>
      <c r="D509" s="6" t="n">
        <f aca="false">'Source Data'!E506</f>
        <v>0</v>
      </c>
      <c r="E509" s="6" t="n">
        <f aca="false">IFERROR(N(C509)-N(D509),"")</f>
        <v>4</v>
      </c>
      <c r="F509" s="7" t="str">
        <f aca="false">IF(E509&gt;0,"Yes",IF(E509&lt;0,"No (Paternity higher)","Equal"))</f>
        <v>Yes</v>
      </c>
    </row>
    <row r="510" customFormat="false" ht="15" hidden="false" customHeight="false" outlineLevel="0" collapsed="false">
      <c r="A510" s="5" t="str">
        <f aca="false">'Source Data'!A507</f>
        <v>Capella University</v>
      </c>
      <c r="B510" s="5" t="str">
        <f aca="false">'Source Data'!B507</f>
        <v>Educational Services: College &amp; Universities</v>
      </c>
      <c r="C510" s="6" t="n">
        <f aca="false">'Source Data'!C507</f>
        <v>12</v>
      </c>
      <c r="D510" s="6" t="n">
        <f aca="false">'Source Data'!E507</f>
        <v>0</v>
      </c>
      <c r="E510" s="6" t="n">
        <f aca="false">IFERROR(N(C510)-N(D510),"")</f>
        <v>12</v>
      </c>
      <c r="F510" s="7" t="str">
        <f aca="false">IF(E510&gt;0,"Yes",IF(E510&lt;0,"No (Paternity higher)","Equal"))</f>
        <v>Yes</v>
      </c>
    </row>
    <row r="511" customFormat="false" ht="15" hidden="false" customHeight="false" outlineLevel="0" collapsed="false">
      <c r="A511" s="5" t="str">
        <f aca="false">'Source Data'!A508</f>
        <v>Case Western Reserve University</v>
      </c>
      <c r="B511" s="5" t="str">
        <f aca="false">'Source Data'!B508</f>
        <v>Educational Services: College &amp; Universities</v>
      </c>
      <c r="C511" s="6" t="n">
        <f aca="false">'Source Data'!C508</f>
        <v>7</v>
      </c>
      <c r="D511" s="6" t="n">
        <f aca="false">'Source Data'!E508</f>
        <v>0</v>
      </c>
      <c r="E511" s="6" t="n">
        <f aca="false">IFERROR(N(C511)-N(D511),"")</f>
        <v>7</v>
      </c>
      <c r="F511" s="7" t="str">
        <f aca="false">IF(E511&gt;0,"Yes",IF(E511&lt;0,"No (Paternity higher)","Equal"))</f>
        <v>Yes</v>
      </c>
    </row>
    <row r="512" customFormat="false" ht="15" hidden="false" customHeight="false" outlineLevel="0" collapsed="false">
      <c r="A512" s="5" t="str">
        <f aca="false">'Source Data'!A509</f>
        <v>Colorado State University</v>
      </c>
      <c r="B512" s="5" t="str">
        <f aca="false">'Source Data'!B509</f>
        <v>Educational Services: College &amp; Universities</v>
      </c>
      <c r="C512" s="6" t="n">
        <f aca="false">'Source Data'!C509</f>
        <v>3</v>
      </c>
      <c r="D512" s="6" t="n">
        <f aca="false">'Source Data'!E509</f>
        <v>0</v>
      </c>
      <c r="E512" s="6" t="n">
        <f aca="false">IFERROR(N(C512)-N(D512),"")</f>
        <v>3</v>
      </c>
      <c r="F512" s="7" t="str">
        <f aca="false">IF(E512&gt;0,"Yes",IF(E512&lt;0,"No (Paternity higher)","Equal"))</f>
        <v>Yes</v>
      </c>
    </row>
    <row r="513" customFormat="false" ht="15" hidden="false" customHeight="false" outlineLevel="0" collapsed="false">
      <c r="A513" s="5" t="str">
        <f aca="false">'Source Data'!A510</f>
        <v>Columbia University</v>
      </c>
      <c r="B513" s="5" t="str">
        <f aca="false">'Source Data'!B510</f>
        <v>Educational Services: College &amp; Universities</v>
      </c>
      <c r="C513" s="6" t="n">
        <f aca="false">'Source Data'!C510</f>
        <v>6</v>
      </c>
      <c r="D513" s="6" t="n">
        <f aca="false">'Source Data'!E510</f>
        <v>0</v>
      </c>
      <c r="E513" s="6" t="n">
        <f aca="false">IFERROR(N(C513)-N(D513),"")</f>
        <v>6</v>
      </c>
      <c r="F513" s="7" t="str">
        <f aca="false">IF(E513&gt;0,"Yes",IF(E513&lt;0,"No (Paternity higher)","Equal"))</f>
        <v>Yes</v>
      </c>
    </row>
    <row r="514" customFormat="false" ht="15" hidden="false" customHeight="false" outlineLevel="0" collapsed="false">
      <c r="A514" s="5" t="str">
        <f aca="false">'Source Data'!A511</f>
        <v>Columbia University Information Technology</v>
      </c>
      <c r="B514" s="5" t="str">
        <f aca="false">'Source Data'!B511</f>
        <v>Educational Services: College &amp; Universities</v>
      </c>
      <c r="C514" s="6" t="n">
        <f aca="false">'Source Data'!C511</f>
        <v>6</v>
      </c>
      <c r="D514" s="6" t="n">
        <f aca="false">'Source Data'!E511</f>
        <v>0</v>
      </c>
      <c r="E514" s="6" t="n">
        <f aca="false">IFERROR(N(C514)-N(D514),"")</f>
        <v>6</v>
      </c>
      <c r="F514" s="7" t="str">
        <f aca="false">IF(E514&gt;0,"Yes",IF(E514&lt;0,"No (Paternity higher)","Equal"))</f>
        <v>Yes</v>
      </c>
    </row>
    <row r="515" customFormat="false" ht="15" hidden="false" customHeight="false" outlineLevel="0" collapsed="false">
      <c r="A515" s="5" t="str">
        <f aca="false">'Source Data'!A512</f>
        <v>Dartmouth College</v>
      </c>
      <c r="B515" s="5" t="str">
        <f aca="false">'Source Data'!B512</f>
        <v>Educational Services: College &amp; Universities</v>
      </c>
      <c r="C515" s="6" t="n">
        <f aca="false">'Source Data'!C512</f>
        <v>2</v>
      </c>
      <c r="D515" s="6" t="n">
        <f aca="false">'Source Data'!E512</f>
        <v>0</v>
      </c>
      <c r="E515" s="6" t="n">
        <f aca="false">IFERROR(N(C515)-N(D515),"")</f>
        <v>2</v>
      </c>
      <c r="F515" s="7" t="str">
        <f aca="false">IF(E515&gt;0,"Yes",IF(E515&lt;0,"No (Paternity higher)","Equal"))</f>
        <v>Yes</v>
      </c>
    </row>
    <row r="516" customFormat="false" ht="15" hidden="false" customHeight="false" outlineLevel="0" collapsed="false">
      <c r="A516" s="5" t="str">
        <f aca="false">'Source Data'!A513</f>
        <v>Dickinson College</v>
      </c>
      <c r="B516" s="5" t="str">
        <f aca="false">'Source Data'!B513</f>
        <v>Educational Services: College &amp; Universities</v>
      </c>
      <c r="C516" s="6" t="n">
        <f aca="false">'Source Data'!C513</f>
        <v>12</v>
      </c>
      <c r="D516" s="6" t="n">
        <f aca="false">'Source Data'!E513</f>
        <v>6</v>
      </c>
      <c r="E516" s="6" t="n">
        <f aca="false">IFERROR(N(C516)-N(D516),"")</f>
        <v>6</v>
      </c>
      <c r="F516" s="7" t="str">
        <f aca="false">IF(E516&gt;0,"Yes",IF(E516&lt;0,"No (Paternity higher)","Equal"))</f>
        <v>Yes</v>
      </c>
    </row>
    <row r="517" customFormat="false" ht="15" hidden="false" customHeight="false" outlineLevel="0" collapsed="false">
      <c r="A517" s="5" t="str">
        <f aca="false">'Source Data'!A514</f>
        <v>Duke University</v>
      </c>
      <c r="B517" s="5" t="str">
        <f aca="false">'Source Data'!B514</f>
        <v>Educational Services: College &amp; Universities</v>
      </c>
      <c r="C517" s="6" t="n">
        <f aca="false">'Source Data'!C514</f>
        <v>6</v>
      </c>
      <c r="D517" s="6" t="n">
        <f aca="false">'Source Data'!E514</f>
        <v>0</v>
      </c>
      <c r="E517" s="6" t="n">
        <f aca="false">IFERROR(N(C517)-N(D517),"")</f>
        <v>6</v>
      </c>
      <c r="F517" s="7" t="str">
        <f aca="false">IF(E517&gt;0,"Yes",IF(E517&lt;0,"No (Paternity higher)","Equal"))</f>
        <v>Yes</v>
      </c>
    </row>
    <row r="518" customFormat="false" ht="15" hidden="false" customHeight="false" outlineLevel="0" collapsed="false">
      <c r="A518" s="5" t="str">
        <f aca="false">'Source Data'!A515</f>
        <v>Ferris State University</v>
      </c>
      <c r="B518" s="5" t="str">
        <f aca="false">'Source Data'!B515</f>
        <v>Educational Services: College &amp; Universities</v>
      </c>
      <c r="C518" s="6" t="n">
        <f aca="false">'Source Data'!C515</f>
        <v>6</v>
      </c>
      <c r="D518" s="6" t="n">
        <f aca="false">'Source Data'!E515</f>
        <v>0</v>
      </c>
      <c r="E518" s="6" t="n">
        <f aca="false">IFERROR(N(C518)-N(D518),"")</f>
        <v>6</v>
      </c>
      <c r="F518" s="7" t="str">
        <f aca="false">IF(E518&gt;0,"Yes",IF(E518&lt;0,"No (Paternity higher)","Equal"))</f>
        <v>Yes</v>
      </c>
    </row>
    <row r="519" customFormat="false" ht="15" hidden="false" customHeight="false" outlineLevel="0" collapsed="false">
      <c r="A519" s="5" t="str">
        <f aca="false">'Source Data'!A516</f>
        <v>Florida International University</v>
      </c>
      <c r="B519" s="5" t="str">
        <f aca="false">'Source Data'!B516</f>
        <v>Educational Services: College &amp; Universities</v>
      </c>
      <c r="C519" s="6" t="n">
        <f aca="false">'Source Data'!C516</f>
        <v>6</v>
      </c>
      <c r="D519" s="6" t="n">
        <f aca="false">'Source Data'!E516</f>
        <v>0</v>
      </c>
      <c r="E519" s="6" t="n">
        <f aca="false">IFERROR(N(C519)-N(D519),"")</f>
        <v>6</v>
      </c>
      <c r="F519" s="7" t="str">
        <f aca="false">IF(E519&gt;0,"Yes",IF(E519&lt;0,"No (Paternity higher)","Equal"))</f>
        <v>Yes</v>
      </c>
    </row>
    <row r="520" customFormat="false" ht="15" hidden="false" customHeight="false" outlineLevel="0" collapsed="false">
      <c r="A520" s="5" t="str">
        <f aca="false">'Source Data'!A517</f>
        <v>Georgetown University</v>
      </c>
      <c r="B520" s="5" t="str">
        <f aca="false">'Source Data'!B517</f>
        <v>Educational Services: College &amp; Universities</v>
      </c>
      <c r="C520" s="6" t="n">
        <f aca="false">'Source Data'!C517</f>
        <v>8</v>
      </c>
      <c r="D520" s="6" t="n">
        <f aca="false">'Source Data'!E517</f>
        <v>0</v>
      </c>
      <c r="E520" s="6" t="n">
        <f aca="false">IFERROR(N(C520)-N(D520),"")</f>
        <v>8</v>
      </c>
      <c r="F520" s="7" t="str">
        <f aca="false">IF(E520&gt;0,"Yes",IF(E520&lt;0,"No (Paternity higher)","Equal"))</f>
        <v>Yes</v>
      </c>
    </row>
    <row r="521" customFormat="false" ht="15" hidden="false" customHeight="false" outlineLevel="0" collapsed="false">
      <c r="A521" s="5" t="str">
        <f aca="false">'Source Data'!A518</f>
        <v>Griffith University</v>
      </c>
      <c r="B521" s="5" t="str">
        <f aca="false">'Source Data'!B518</f>
        <v>Educational Services: College &amp; Universities</v>
      </c>
      <c r="C521" s="6" t="n">
        <f aca="false">'Source Data'!C518</f>
        <v>26</v>
      </c>
      <c r="D521" s="6" t="n">
        <f aca="false">'Source Data'!E518</f>
        <v>0</v>
      </c>
      <c r="E521" s="6" t="n">
        <f aca="false">IFERROR(N(C521)-N(D521),"")</f>
        <v>26</v>
      </c>
      <c r="F521" s="7" t="str">
        <f aca="false">IF(E521&gt;0,"Yes",IF(E521&lt;0,"No (Paternity higher)","Equal"))</f>
        <v>Yes</v>
      </c>
    </row>
    <row r="522" customFormat="false" ht="15" hidden="false" customHeight="false" outlineLevel="0" collapsed="false">
      <c r="A522" s="5" t="str">
        <f aca="false">'Source Data'!A519</f>
        <v>Harvard Business School</v>
      </c>
      <c r="B522" s="5" t="str">
        <f aca="false">'Source Data'!B519</f>
        <v>Educational Services: College &amp; Universities</v>
      </c>
      <c r="C522" s="6" t="n">
        <f aca="false">'Source Data'!C519</f>
        <v>16</v>
      </c>
      <c r="D522" s="6" t="n">
        <f aca="false">'Source Data'!E519</f>
        <v>0</v>
      </c>
      <c r="E522" s="6" t="n">
        <f aca="false">IFERROR(N(C522)-N(D522),"")</f>
        <v>16</v>
      </c>
      <c r="F522" s="7" t="str">
        <f aca="false">IF(E522&gt;0,"Yes",IF(E522&lt;0,"No (Paternity higher)","Equal"))</f>
        <v>Yes</v>
      </c>
    </row>
    <row r="523" customFormat="false" ht="15" hidden="false" customHeight="false" outlineLevel="0" collapsed="false">
      <c r="A523" s="5" t="str">
        <f aca="false">'Source Data'!A520</f>
        <v>Harvard University</v>
      </c>
      <c r="B523" s="5" t="str">
        <f aca="false">'Source Data'!B520</f>
        <v>Educational Services: College &amp; Universities</v>
      </c>
      <c r="C523" s="6" t="n">
        <f aca="false">'Source Data'!C520</f>
        <v>12</v>
      </c>
      <c r="D523" s="6" t="n">
        <f aca="false">'Source Data'!E520</f>
        <v>0</v>
      </c>
      <c r="E523" s="6" t="n">
        <f aca="false">IFERROR(N(C523)-N(D523),"")</f>
        <v>12</v>
      </c>
      <c r="F523" s="7" t="str">
        <f aca="false">IF(E523&gt;0,"Yes",IF(E523&lt;0,"No (Paternity higher)","Equal"))</f>
        <v>Yes</v>
      </c>
    </row>
    <row r="524" customFormat="false" ht="15" hidden="false" customHeight="false" outlineLevel="0" collapsed="false">
      <c r="A524" s="5" t="str">
        <f aca="false">'Source Data'!A521</f>
        <v>Imperial College London</v>
      </c>
      <c r="B524" s="5" t="str">
        <f aca="false">'Source Data'!B521</f>
        <v>Educational Services: College &amp; Universities</v>
      </c>
      <c r="C524" s="6" t="n">
        <f aca="false">'Source Data'!C521</f>
        <v>18</v>
      </c>
      <c r="D524" s="6" t="n">
        <f aca="false">'Source Data'!E521</f>
        <v>0</v>
      </c>
      <c r="E524" s="6" t="n">
        <f aca="false">IFERROR(N(C524)-N(D524),"")</f>
        <v>18</v>
      </c>
      <c r="F524" s="7" t="str">
        <f aca="false">IF(E524&gt;0,"Yes",IF(E524&lt;0,"No (Paternity higher)","Equal"))</f>
        <v>Yes</v>
      </c>
    </row>
    <row r="525" customFormat="false" ht="15" hidden="false" customHeight="false" outlineLevel="0" collapsed="false">
      <c r="A525" s="5" t="str">
        <f aca="false">'Source Data'!A522</f>
        <v>Indiana University</v>
      </c>
      <c r="B525" s="5" t="str">
        <f aca="false">'Source Data'!B522</f>
        <v>Educational Services: College &amp; Universities</v>
      </c>
      <c r="C525" s="6" t="n">
        <f aca="false">'Source Data'!C522</f>
        <v>6</v>
      </c>
      <c r="D525" s="6" t="n">
        <f aca="false">'Source Data'!E522</f>
        <v>0</v>
      </c>
      <c r="E525" s="6" t="n">
        <f aca="false">IFERROR(N(C525)-N(D525),"")</f>
        <v>6</v>
      </c>
      <c r="F525" s="7" t="str">
        <f aca="false">IF(E525&gt;0,"Yes",IF(E525&lt;0,"No (Paternity higher)","Equal"))</f>
        <v>Yes</v>
      </c>
    </row>
    <row r="526" customFormat="false" ht="15" hidden="false" customHeight="false" outlineLevel="0" collapsed="false">
      <c r="A526" s="5" t="str">
        <f aca="false">'Source Data'!A523</f>
        <v>IUPUI</v>
      </c>
      <c r="B526" s="5" t="str">
        <f aca="false">'Source Data'!B523</f>
        <v>Educational Services: College &amp; Universities</v>
      </c>
      <c r="C526" s="6" t="n">
        <f aca="false">'Source Data'!C523</f>
        <v>6</v>
      </c>
      <c r="D526" s="6" t="n">
        <f aca="false">'Source Data'!E523</f>
        <v>0</v>
      </c>
      <c r="E526" s="6" t="n">
        <f aca="false">IFERROR(N(C526)-N(D526),"")</f>
        <v>6</v>
      </c>
      <c r="F526" s="7" t="str">
        <f aca="false">IF(E526&gt;0,"Yes",IF(E526&lt;0,"No (Paternity higher)","Equal"))</f>
        <v>Yes</v>
      </c>
    </row>
    <row r="527" customFormat="false" ht="15" hidden="false" customHeight="false" outlineLevel="0" collapsed="false">
      <c r="A527" s="5" t="str">
        <f aca="false">'Source Data'!A524</f>
        <v>Johns Hopkins University</v>
      </c>
      <c r="B527" s="5" t="str">
        <f aca="false">'Source Data'!B524</f>
        <v>Educational Services: College &amp; Universities</v>
      </c>
      <c r="C527" s="6" t="n">
        <f aca="false">'Source Data'!C524</f>
        <v>10</v>
      </c>
      <c r="D527" s="6" t="n">
        <f aca="false">'Source Data'!E524</f>
        <v>0</v>
      </c>
      <c r="E527" s="6" t="n">
        <f aca="false">IFERROR(N(C527)-N(D527),"")</f>
        <v>10</v>
      </c>
      <c r="F527" s="7" t="str">
        <f aca="false">IF(E527&gt;0,"Yes",IF(E527&lt;0,"No (Paternity higher)","Equal"))</f>
        <v>Yes</v>
      </c>
    </row>
    <row r="528" customFormat="false" ht="15" hidden="false" customHeight="false" outlineLevel="0" collapsed="false">
      <c r="A528" s="5" t="str">
        <f aca="false">'Source Data'!A525</f>
        <v>Johns Hopkins University Applied Physics Laboratory</v>
      </c>
      <c r="B528" s="5" t="str">
        <f aca="false">'Source Data'!B525</f>
        <v>Educational Services: College &amp; Universities</v>
      </c>
      <c r="C528" s="6" t="n">
        <f aca="false">'Source Data'!C525</f>
        <v>2</v>
      </c>
      <c r="D528" s="6" t="n">
        <f aca="false">'Source Data'!E525</f>
        <v>0</v>
      </c>
      <c r="E528" s="6" t="n">
        <f aca="false">IFERROR(N(C528)-N(D528),"")</f>
        <v>2</v>
      </c>
      <c r="F528" s="7" t="str">
        <f aca="false">IF(E528&gt;0,"Yes",IF(E528&lt;0,"No (Paternity higher)","Equal"))</f>
        <v>Yes</v>
      </c>
    </row>
    <row r="529" customFormat="false" ht="15" hidden="false" customHeight="false" outlineLevel="0" collapsed="false">
      <c r="A529" s="5" t="str">
        <f aca="false">'Source Data'!A526</f>
        <v>Lasell College</v>
      </c>
      <c r="B529" s="5" t="str">
        <f aca="false">'Source Data'!B526</f>
        <v>Educational Services: College &amp; Universities</v>
      </c>
      <c r="C529" s="6" t="n">
        <f aca="false">'Source Data'!C526</f>
        <v>12</v>
      </c>
      <c r="D529" s="6" t="n">
        <f aca="false">'Source Data'!E526</f>
        <v>0</v>
      </c>
      <c r="E529" s="6" t="n">
        <f aca="false">IFERROR(N(C529)-N(D529),"")</f>
        <v>12</v>
      </c>
      <c r="F529" s="7" t="str">
        <f aca="false">IF(E529&gt;0,"Yes",IF(E529&lt;0,"No (Paternity higher)","Equal"))</f>
        <v>Yes</v>
      </c>
    </row>
    <row r="530" customFormat="false" ht="15" hidden="false" customHeight="false" outlineLevel="0" collapsed="false">
      <c r="A530" s="5" t="str">
        <f aca="false">'Source Data'!A527</f>
        <v>Marquette University</v>
      </c>
      <c r="B530" s="5" t="str">
        <f aca="false">'Source Data'!B527</f>
        <v>Educational Services: College &amp; Universities</v>
      </c>
      <c r="C530" s="6" t="n">
        <f aca="false">'Source Data'!C527</f>
        <v>8</v>
      </c>
      <c r="D530" s="6" t="n">
        <f aca="false">'Source Data'!E527</f>
        <v>0</v>
      </c>
      <c r="E530" s="6" t="n">
        <f aca="false">IFERROR(N(C530)-N(D530),"")</f>
        <v>8</v>
      </c>
      <c r="F530" s="7" t="str">
        <f aca="false">IF(E530&gt;0,"Yes",IF(E530&lt;0,"No (Paternity higher)","Equal"))</f>
        <v>Yes</v>
      </c>
    </row>
    <row r="531" customFormat="false" ht="15" hidden="false" customHeight="false" outlineLevel="0" collapsed="false">
      <c r="A531" s="5" t="str">
        <f aca="false">'Source Data'!A528</f>
        <v>Medical University of South Carolina</v>
      </c>
      <c r="B531" s="5" t="str">
        <f aca="false">'Source Data'!B528</f>
        <v>Educational Services: College &amp; Universities</v>
      </c>
      <c r="C531" s="6" t="n">
        <f aca="false">'Source Data'!C528</f>
        <v>6</v>
      </c>
      <c r="D531" s="6" t="n">
        <f aca="false">'Source Data'!E528</f>
        <v>0</v>
      </c>
      <c r="E531" s="6" t="n">
        <f aca="false">IFERROR(N(C531)-N(D531),"")</f>
        <v>6</v>
      </c>
      <c r="F531" s="7" t="str">
        <f aca="false">IF(E531&gt;0,"Yes",IF(E531&lt;0,"No (Paternity higher)","Equal"))</f>
        <v>Yes</v>
      </c>
    </row>
    <row r="532" customFormat="false" ht="15" hidden="false" customHeight="false" outlineLevel="0" collapsed="false">
      <c r="A532" s="5" t="str">
        <f aca="false">'Source Data'!A529</f>
        <v>New York University</v>
      </c>
      <c r="B532" s="5" t="str">
        <f aca="false">'Source Data'!B529</f>
        <v>Educational Services: College &amp; Universities</v>
      </c>
      <c r="C532" s="6" t="n">
        <f aca="false">'Source Data'!C529</f>
        <v>12</v>
      </c>
      <c r="D532" s="6" t="n">
        <f aca="false">'Source Data'!E529</f>
        <v>0</v>
      </c>
      <c r="E532" s="6" t="n">
        <f aca="false">IFERROR(N(C532)-N(D532),"")</f>
        <v>12</v>
      </c>
      <c r="F532" s="7" t="str">
        <f aca="false">IF(E532&gt;0,"Yes",IF(E532&lt;0,"No (Paternity higher)","Equal"))</f>
        <v>Yes</v>
      </c>
    </row>
    <row r="533" customFormat="false" ht="15" hidden="false" customHeight="false" outlineLevel="0" collapsed="false">
      <c r="A533" s="5" t="str">
        <f aca="false">'Source Data'!A530</f>
        <v>Northeastern University</v>
      </c>
      <c r="B533" s="5" t="str">
        <f aca="false">'Source Data'!B530</f>
        <v>Educational Services: College &amp; Universities</v>
      </c>
      <c r="C533" s="6" t="n">
        <f aca="false">'Source Data'!C530</f>
        <v>8</v>
      </c>
      <c r="D533" s="6" t="n">
        <f aca="false">'Source Data'!E530</f>
        <v>0</v>
      </c>
      <c r="E533" s="6" t="n">
        <f aca="false">IFERROR(N(C533)-N(D533),"")</f>
        <v>8</v>
      </c>
      <c r="F533" s="7" t="str">
        <f aca="false">IF(E533&gt;0,"Yes",IF(E533&lt;0,"No (Paternity higher)","Equal"))</f>
        <v>Yes</v>
      </c>
    </row>
    <row r="534" customFormat="false" ht="15" hidden="false" customHeight="false" outlineLevel="0" collapsed="false">
      <c r="A534" s="5" t="str">
        <f aca="false">'Source Data'!A531</f>
        <v>Northwestern University</v>
      </c>
      <c r="B534" s="5" t="str">
        <f aca="false">'Source Data'!B531</f>
        <v>Educational Services: College &amp; Universities</v>
      </c>
      <c r="C534" s="6" t="n">
        <f aca="false">'Source Data'!C531</f>
        <v>9</v>
      </c>
      <c r="D534" s="6" t="n">
        <f aca="false">'Source Data'!E531</f>
        <v>0</v>
      </c>
      <c r="E534" s="6" t="n">
        <f aca="false">IFERROR(N(C534)-N(D534),"")</f>
        <v>9</v>
      </c>
      <c r="F534" s="7" t="str">
        <f aca="false">IF(E534&gt;0,"Yes",IF(E534&lt;0,"No (Paternity higher)","Equal"))</f>
        <v>Yes</v>
      </c>
    </row>
    <row r="535" customFormat="false" ht="15" hidden="false" customHeight="false" outlineLevel="0" collapsed="false">
      <c r="A535" s="5" t="str">
        <f aca="false">'Source Data'!A532</f>
        <v>NYU School of Medicine</v>
      </c>
      <c r="B535" s="5" t="str">
        <f aca="false">'Source Data'!B532</f>
        <v>Educational Services: College &amp; Universities</v>
      </c>
      <c r="C535" s="6" t="n">
        <f aca="false">'Source Data'!C532</f>
        <v>5</v>
      </c>
      <c r="D535" s="6" t="n">
        <f aca="false">'Source Data'!E532</f>
        <v>0</v>
      </c>
      <c r="E535" s="6" t="n">
        <f aca="false">IFERROR(N(C535)-N(D535),"")</f>
        <v>5</v>
      </c>
      <c r="F535" s="7" t="str">
        <f aca="false">IF(E535&gt;0,"Yes",IF(E535&lt;0,"No (Paternity higher)","Equal"))</f>
        <v>Yes</v>
      </c>
    </row>
    <row r="536" customFormat="false" ht="15" hidden="false" customHeight="false" outlineLevel="0" collapsed="false">
      <c r="A536" s="5" t="str">
        <f aca="false">'Source Data'!A533</f>
        <v>Rutgers University</v>
      </c>
      <c r="B536" s="5" t="str">
        <f aca="false">'Source Data'!B533</f>
        <v>Educational Services: College &amp; Universities</v>
      </c>
      <c r="C536" s="6" t="n">
        <f aca="false">'Source Data'!C533</f>
        <v>6</v>
      </c>
      <c r="D536" s="6" t="n">
        <f aca="false">'Source Data'!E533</f>
        <v>0</v>
      </c>
      <c r="E536" s="6" t="n">
        <f aca="false">IFERROR(N(C536)-N(D536),"")</f>
        <v>6</v>
      </c>
      <c r="F536" s="7" t="str">
        <f aca="false">IF(E536&gt;0,"Yes",IF(E536&lt;0,"No (Paternity higher)","Equal"))</f>
        <v>Yes</v>
      </c>
    </row>
    <row r="537" customFormat="false" ht="15" hidden="false" customHeight="false" outlineLevel="0" collapsed="false">
      <c r="A537" s="5" t="str">
        <f aca="false">'Source Data'!A534</f>
        <v>The George Washington University</v>
      </c>
      <c r="B537" s="5" t="str">
        <f aca="false">'Source Data'!B534</f>
        <v>Educational Services: College &amp; Universities</v>
      </c>
      <c r="C537" s="6" t="n">
        <f aca="false">'Source Data'!C534</f>
        <v>6</v>
      </c>
      <c r="D537" s="6" t="n">
        <f aca="false">'Source Data'!E534</f>
        <v>0</v>
      </c>
      <c r="E537" s="6" t="n">
        <f aca="false">IFERROR(N(C537)-N(D537),"")</f>
        <v>6</v>
      </c>
      <c r="F537" s="7" t="str">
        <f aca="false">IF(E537&gt;0,"Yes",IF(E537&lt;0,"No (Paternity higher)","Equal"))</f>
        <v>Yes</v>
      </c>
    </row>
    <row r="538" customFormat="false" ht="15" hidden="false" customHeight="false" outlineLevel="0" collapsed="false">
      <c r="A538" s="5" t="str">
        <f aca="false">'Source Data'!A535</f>
        <v>The Ohio State University</v>
      </c>
      <c r="B538" s="5" t="str">
        <f aca="false">'Source Data'!B535</f>
        <v>Educational Services: College &amp; Universities</v>
      </c>
      <c r="C538" s="6" t="n">
        <f aca="false">'Source Data'!C535</f>
        <v>12</v>
      </c>
      <c r="D538" s="6" t="n">
        <f aca="false">'Source Data'!E535</f>
        <v>0</v>
      </c>
      <c r="E538" s="6" t="n">
        <f aca="false">IFERROR(N(C538)-N(D538),"")</f>
        <v>12</v>
      </c>
      <c r="F538" s="7" t="str">
        <f aca="false">IF(E538&gt;0,"Yes",IF(E538&lt;0,"No (Paternity higher)","Equal"))</f>
        <v>Yes</v>
      </c>
    </row>
    <row r="539" customFormat="false" ht="15" hidden="false" customHeight="false" outlineLevel="0" collapsed="false">
      <c r="A539" s="5" t="str">
        <f aca="false">'Source Data'!A536</f>
        <v>Tufts University</v>
      </c>
      <c r="B539" s="5" t="str">
        <f aca="false">'Source Data'!B536</f>
        <v>Educational Services: College &amp; Universities</v>
      </c>
      <c r="C539" s="6" t="n">
        <f aca="false">'Source Data'!C536</f>
        <v>12</v>
      </c>
      <c r="D539" s="6" t="n">
        <f aca="false">'Source Data'!E536</f>
        <v>0</v>
      </c>
      <c r="E539" s="6" t="n">
        <f aca="false">IFERROR(N(C539)-N(D539),"")</f>
        <v>12</v>
      </c>
      <c r="F539" s="7" t="str">
        <f aca="false">IF(E539&gt;0,"Yes",IF(E539&lt;0,"No (Paternity higher)","Equal"))</f>
        <v>Yes</v>
      </c>
    </row>
    <row r="540" customFormat="false" ht="15" hidden="false" customHeight="false" outlineLevel="0" collapsed="false">
      <c r="A540" s="5" t="str">
        <f aca="false">'Source Data'!A537</f>
        <v>UCLA</v>
      </c>
      <c r="B540" s="5" t="str">
        <f aca="false">'Source Data'!B537</f>
        <v>Educational Services: College &amp; Universities</v>
      </c>
      <c r="C540" s="6" t="n">
        <f aca="false">'Source Data'!C537</f>
        <v>13</v>
      </c>
      <c r="D540" s="6" t="n">
        <f aca="false">'Source Data'!E537</f>
        <v>0</v>
      </c>
      <c r="E540" s="6" t="n">
        <f aca="false">IFERROR(N(C540)-N(D540),"")</f>
        <v>13</v>
      </c>
      <c r="F540" s="7" t="str">
        <f aca="false">IF(E540&gt;0,"Yes",IF(E540&lt;0,"No (Paternity higher)","Equal"))</f>
        <v>Yes</v>
      </c>
    </row>
    <row r="541" customFormat="false" ht="15" hidden="false" customHeight="false" outlineLevel="0" collapsed="false">
      <c r="A541" s="5" t="str">
        <f aca="false">'Source Data'!A538</f>
        <v>University at Buffalo</v>
      </c>
      <c r="B541" s="5" t="str">
        <f aca="false">'Source Data'!B538</f>
        <v>Educational Services: College &amp; Universities</v>
      </c>
      <c r="C541" s="6" t="n">
        <f aca="false">'Source Data'!C538</f>
        <v>12</v>
      </c>
      <c r="D541" s="6" t="n">
        <f aca="false">'Source Data'!E538</f>
        <v>0</v>
      </c>
      <c r="E541" s="6" t="n">
        <f aca="false">IFERROR(N(C541)-N(D541),"")</f>
        <v>12</v>
      </c>
      <c r="F541" s="7" t="str">
        <f aca="false">IF(E541&gt;0,"Yes",IF(E541&lt;0,"No (Paternity higher)","Equal"))</f>
        <v>Yes</v>
      </c>
    </row>
    <row r="542" customFormat="false" ht="15" hidden="false" customHeight="false" outlineLevel="0" collapsed="false">
      <c r="A542" s="5" t="str">
        <f aca="false">'Source Data'!A539</f>
        <v>University of Arizona</v>
      </c>
      <c r="B542" s="5" t="str">
        <f aca="false">'Source Data'!B539</f>
        <v>Educational Services: College &amp; Universities</v>
      </c>
      <c r="C542" s="6" t="n">
        <f aca="false">'Source Data'!C539</f>
        <v>6</v>
      </c>
      <c r="D542" s="6" t="n">
        <f aca="false">'Source Data'!E539</f>
        <v>0</v>
      </c>
      <c r="E542" s="6" t="n">
        <f aca="false">IFERROR(N(C542)-N(D542),"")</f>
        <v>6</v>
      </c>
      <c r="F542" s="7" t="str">
        <f aca="false">IF(E542&gt;0,"Yes",IF(E542&lt;0,"No (Paternity higher)","Equal"))</f>
        <v>Yes</v>
      </c>
    </row>
    <row r="543" customFormat="false" ht="15" hidden="false" customHeight="false" outlineLevel="0" collapsed="false">
      <c r="A543" s="5" t="str">
        <f aca="false">'Source Data'!A540</f>
        <v>University of British Columbia</v>
      </c>
      <c r="B543" s="5" t="str">
        <f aca="false">'Source Data'!B540</f>
        <v>Educational Services: College &amp; Universities</v>
      </c>
      <c r="C543" s="6" t="n">
        <f aca="false">'Source Data'!C540</f>
        <v>52</v>
      </c>
      <c r="D543" s="6" t="n">
        <f aca="false">'Source Data'!E540</f>
        <v>0</v>
      </c>
      <c r="E543" s="6" t="n">
        <f aca="false">IFERROR(N(C543)-N(D543),"")</f>
        <v>52</v>
      </c>
      <c r="F543" s="7" t="str">
        <f aca="false">IF(E543&gt;0,"Yes",IF(E543&lt;0,"No (Paternity higher)","Equal"))</f>
        <v>Yes</v>
      </c>
    </row>
    <row r="544" customFormat="false" ht="15" hidden="false" customHeight="false" outlineLevel="0" collapsed="false">
      <c r="A544" s="5" t="str">
        <f aca="false">'Source Data'!A541</f>
        <v>University of California Berkeley</v>
      </c>
      <c r="B544" s="5" t="str">
        <f aca="false">'Source Data'!B541</f>
        <v>Educational Services: College &amp; Universities</v>
      </c>
      <c r="C544" s="6" t="n">
        <f aca="false">'Source Data'!C541</f>
        <v>12</v>
      </c>
      <c r="D544" s="6" t="n">
        <f aca="false">'Source Data'!E541</f>
        <v>0</v>
      </c>
      <c r="E544" s="6" t="n">
        <f aca="false">IFERROR(N(C544)-N(D544),"")</f>
        <v>12</v>
      </c>
      <c r="F544" s="7" t="str">
        <f aca="false">IF(E544&gt;0,"Yes",IF(E544&lt;0,"No (Paternity higher)","Equal"))</f>
        <v>Yes</v>
      </c>
    </row>
    <row r="545" customFormat="false" ht="15" hidden="false" customHeight="false" outlineLevel="0" collapsed="false">
      <c r="A545" s="5" t="str">
        <f aca="false">'Source Data'!A542</f>
        <v>University of Massachusetts Amherst</v>
      </c>
      <c r="B545" s="5" t="str">
        <f aca="false">'Source Data'!B542</f>
        <v>Educational Services: College &amp; Universities</v>
      </c>
      <c r="C545" s="6" t="n">
        <f aca="false">'Source Data'!C542</f>
        <v>12</v>
      </c>
      <c r="D545" s="6" t="n">
        <f aca="false">'Source Data'!E542</f>
        <v>0</v>
      </c>
      <c r="E545" s="6" t="n">
        <f aca="false">IFERROR(N(C545)-N(D545),"")</f>
        <v>12</v>
      </c>
      <c r="F545" s="7" t="str">
        <f aca="false">IF(E545&gt;0,"Yes",IF(E545&lt;0,"No (Paternity higher)","Equal"))</f>
        <v>Yes</v>
      </c>
    </row>
    <row r="546" customFormat="false" ht="15" hidden="false" customHeight="false" outlineLevel="0" collapsed="false">
      <c r="A546" s="5" t="str">
        <f aca="false">'Source Data'!A543</f>
        <v>University of Michigan</v>
      </c>
      <c r="B546" s="5" t="str">
        <f aca="false">'Source Data'!B543</f>
        <v>Educational Services: College &amp; Universities</v>
      </c>
      <c r="C546" s="6" t="n">
        <f aca="false">'Source Data'!C543</f>
        <v>12</v>
      </c>
      <c r="D546" s="6" t="n">
        <f aca="false">'Source Data'!E543</f>
        <v>0</v>
      </c>
      <c r="E546" s="6" t="n">
        <f aca="false">IFERROR(N(C546)-N(D546),"")</f>
        <v>12</v>
      </c>
      <c r="F546" s="7" t="str">
        <f aca="false">IF(E546&gt;0,"Yes",IF(E546&lt;0,"No (Paternity higher)","Equal"))</f>
        <v>Yes</v>
      </c>
    </row>
    <row r="547" customFormat="false" ht="15" hidden="false" customHeight="false" outlineLevel="0" collapsed="false">
      <c r="A547" s="5" t="str">
        <f aca="false">'Source Data'!A544</f>
        <v>University of New Hampshire</v>
      </c>
      <c r="B547" s="5" t="str">
        <f aca="false">'Source Data'!B544</f>
        <v>Educational Services: College &amp; Universities</v>
      </c>
      <c r="C547" s="6" t="n">
        <f aca="false">'Source Data'!C544</f>
        <v>12</v>
      </c>
      <c r="D547" s="6" t="n">
        <f aca="false">'Source Data'!E544</f>
        <v>0</v>
      </c>
      <c r="E547" s="6" t="n">
        <f aca="false">IFERROR(N(C547)-N(D547),"")</f>
        <v>12</v>
      </c>
      <c r="F547" s="7" t="str">
        <f aca="false">IF(E547&gt;0,"Yes",IF(E547&lt;0,"No (Paternity higher)","Equal"))</f>
        <v>Yes</v>
      </c>
    </row>
    <row r="548" customFormat="false" ht="15" hidden="false" customHeight="false" outlineLevel="0" collapsed="false">
      <c r="A548" s="5" t="str">
        <f aca="false">'Source Data'!A545</f>
        <v>University of Notre Dame</v>
      </c>
      <c r="B548" s="5" t="str">
        <f aca="false">'Source Data'!B545</f>
        <v>Educational Services: College &amp; Universities</v>
      </c>
      <c r="C548" s="6" t="n">
        <f aca="false">'Source Data'!C545</f>
        <v>12</v>
      </c>
      <c r="D548" s="6" t="n">
        <f aca="false">'Source Data'!E545</f>
        <v>0</v>
      </c>
      <c r="E548" s="6" t="n">
        <f aca="false">IFERROR(N(C548)-N(D548),"")</f>
        <v>12</v>
      </c>
      <c r="F548" s="7" t="str">
        <f aca="false">IF(E548&gt;0,"Yes",IF(E548&lt;0,"No (Paternity higher)","Equal"))</f>
        <v>Yes</v>
      </c>
    </row>
    <row r="549" customFormat="false" ht="15" hidden="false" customHeight="false" outlineLevel="0" collapsed="false">
      <c r="A549" s="5" t="str">
        <f aca="false">'Source Data'!A546</f>
        <v>University of Tampa</v>
      </c>
      <c r="B549" s="5" t="str">
        <f aca="false">'Source Data'!B546</f>
        <v>Educational Services: College &amp; Universities</v>
      </c>
      <c r="C549" s="6" t="n">
        <f aca="false">'Source Data'!C546</f>
        <v>6</v>
      </c>
      <c r="D549" s="6" t="n">
        <f aca="false">'Source Data'!E546</f>
        <v>0</v>
      </c>
      <c r="E549" s="6" t="n">
        <f aca="false">IFERROR(N(C549)-N(D549),"")</f>
        <v>6</v>
      </c>
      <c r="F549" s="7" t="str">
        <f aca="false">IF(E549&gt;0,"Yes",IF(E549&lt;0,"No (Paternity higher)","Equal"))</f>
        <v>Yes</v>
      </c>
    </row>
    <row r="550" customFormat="false" ht="15" hidden="false" customHeight="false" outlineLevel="0" collapsed="false">
      <c r="A550" s="5" t="str">
        <f aca="false">'Source Data'!A547</f>
        <v>Utah State University</v>
      </c>
      <c r="B550" s="5" t="str">
        <f aca="false">'Source Data'!B547</f>
        <v>Educational Services: College &amp; Universities</v>
      </c>
      <c r="C550" s="6" t="n">
        <f aca="false">'Source Data'!C547</f>
        <v>4</v>
      </c>
      <c r="D550" s="6" t="n">
        <f aca="false">'Source Data'!E547</f>
        <v>0</v>
      </c>
      <c r="E550" s="6" t="n">
        <f aca="false">IFERROR(N(C550)-N(D550),"")</f>
        <v>4</v>
      </c>
      <c r="F550" s="7" t="str">
        <f aca="false">IF(E550&gt;0,"Yes",IF(E550&lt;0,"No (Paternity higher)","Equal"))</f>
        <v>Yes</v>
      </c>
    </row>
    <row r="551" customFormat="false" ht="15" hidden="false" customHeight="false" outlineLevel="0" collapsed="false">
      <c r="A551" s="5" t="str">
        <f aca="false">'Source Data'!A548</f>
        <v>Virgina Commonwealth University</v>
      </c>
      <c r="B551" s="5" t="str">
        <f aca="false">'Source Data'!B548</f>
        <v>Educational Services: College &amp; Universities</v>
      </c>
      <c r="C551" s="6" t="n">
        <f aca="false">'Source Data'!C548</f>
        <v>4</v>
      </c>
      <c r="D551" s="6" t="n">
        <f aca="false">'Source Data'!E548</f>
        <v>0</v>
      </c>
      <c r="E551" s="6" t="n">
        <f aca="false">IFERROR(N(C551)-N(D551),"")</f>
        <v>4</v>
      </c>
      <c r="F551" s="7" t="str">
        <f aca="false">IF(E551&gt;0,"Yes",IF(E551&lt;0,"No (Paternity higher)","Equal"))</f>
        <v>Yes</v>
      </c>
    </row>
    <row r="552" customFormat="false" ht="15" hidden="false" customHeight="false" outlineLevel="0" collapsed="false">
      <c r="A552" s="5" t="str">
        <f aca="false">'Source Data'!A549</f>
        <v>Webster University</v>
      </c>
      <c r="B552" s="5" t="str">
        <f aca="false">'Source Data'!B549</f>
        <v>Educational Services: College &amp; Universities</v>
      </c>
      <c r="C552" s="6" t="n">
        <f aca="false">'Source Data'!C549</f>
        <v>6</v>
      </c>
      <c r="D552" s="6" t="n">
        <f aca="false">'Source Data'!E549</f>
        <v>0</v>
      </c>
      <c r="E552" s="6" t="n">
        <f aca="false">IFERROR(N(C552)-N(D552),"")</f>
        <v>6</v>
      </c>
      <c r="F552" s="7" t="str">
        <f aca="false">IF(E552&gt;0,"Yes",IF(E552&lt;0,"No (Paternity higher)","Equal"))</f>
        <v>Yes</v>
      </c>
    </row>
    <row r="553" customFormat="false" ht="15" hidden="false" customHeight="false" outlineLevel="0" collapsed="false">
      <c r="A553" s="5" t="str">
        <f aca="false">'Source Data'!A550</f>
        <v>Wheaton College</v>
      </c>
      <c r="B553" s="5" t="str">
        <f aca="false">'Source Data'!B550</f>
        <v>Educational Services: College &amp; Universities</v>
      </c>
      <c r="C553" s="6" t="n">
        <f aca="false">'Source Data'!C550</f>
        <v>4</v>
      </c>
      <c r="D553" s="6" t="n">
        <f aca="false">'Source Data'!E550</f>
        <v>0</v>
      </c>
      <c r="E553" s="6" t="n">
        <f aca="false">IFERROR(N(C553)-N(D553),"")</f>
        <v>4</v>
      </c>
      <c r="F553" s="7" t="str">
        <f aca="false">IF(E553&gt;0,"Yes",IF(E553&lt;0,"No (Paternity higher)","Equal"))</f>
        <v>Yes</v>
      </c>
    </row>
    <row r="554" customFormat="false" ht="15" hidden="false" customHeight="false" outlineLevel="0" collapsed="false">
      <c r="A554" s="5" t="str">
        <f aca="false">'Source Data'!A551</f>
        <v>360DigiTMG</v>
      </c>
      <c r="B554" s="5" t="str">
        <f aca="false">'Source Data'!B551</f>
        <v>Educational Services: E-Learning</v>
      </c>
      <c r="C554" s="6" t="n">
        <f aca="false">'Source Data'!C551</f>
        <v>2</v>
      </c>
      <c r="D554" s="6" t="n">
        <f aca="false">'Source Data'!E551</f>
        <v>0</v>
      </c>
      <c r="E554" s="6" t="n">
        <f aca="false">IFERROR(N(C554)-N(D554),"")</f>
        <v>2</v>
      </c>
      <c r="F554" s="7" t="str">
        <f aca="false">IF(E554&gt;0,"Yes",IF(E554&lt;0,"No (Paternity higher)","Equal"))</f>
        <v>Yes</v>
      </c>
    </row>
    <row r="555" customFormat="false" ht="15" hidden="false" customHeight="false" outlineLevel="0" collapsed="false">
      <c r="A555" s="5" t="str">
        <f aca="false">'Source Data'!A552</f>
        <v>Chegg</v>
      </c>
      <c r="B555" s="5" t="str">
        <f aca="false">'Source Data'!B552</f>
        <v>Educational Services: E-Learning</v>
      </c>
      <c r="C555" s="6" t="n">
        <f aca="false">'Source Data'!C552</f>
        <v>10</v>
      </c>
      <c r="D555" s="6" t="n">
        <f aca="false">'Source Data'!E552</f>
        <v>0</v>
      </c>
      <c r="E555" s="6" t="n">
        <f aca="false">IFERROR(N(C555)-N(D555),"")</f>
        <v>10</v>
      </c>
      <c r="F555" s="7" t="str">
        <f aca="false">IF(E555&gt;0,"Yes",IF(E555&lt;0,"No (Paternity higher)","Equal"))</f>
        <v>Yes</v>
      </c>
    </row>
    <row r="556" customFormat="false" ht="15" hidden="false" customHeight="false" outlineLevel="0" collapsed="false">
      <c r="A556" s="5" t="str">
        <f aca="false">'Source Data'!A553</f>
        <v>Clever</v>
      </c>
      <c r="B556" s="5" t="str">
        <f aca="false">'Source Data'!B553</f>
        <v>Educational Services: E-Learning</v>
      </c>
      <c r="C556" s="6" t="n">
        <f aca="false">'Source Data'!C553</f>
        <v>12</v>
      </c>
      <c r="D556" s="6" t="n">
        <f aca="false">'Source Data'!E553</f>
        <v>0</v>
      </c>
      <c r="E556" s="6" t="n">
        <f aca="false">IFERROR(N(C556)-N(D556),"")</f>
        <v>12</v>
      </c>
      <c r="F556" s="7" t="str">
        <f aca="false">IF(E556&gt;0,"Yes",IF(E556&lt;0,"No (Paternity higher)","Equal"))</f>
        <v>Yes</v>
      </c>
    </row>
    <row r="557" customFormat="false" ht="15" hidden="false" customHeight="false" outlineLevel="0" collapsed="false">
      <c r="A557" s="5" t="str">
        <f aca="false">'Source Data'!A554</f>
        <v>Degreed</v>
      </c>
      <c r="B557" s="5" t="str">
        <f aca="false">'Source Data'!B554</f>
        <v>Educational Services: E-Learning</v>
      </c>
      <c r="C557" s="6" t="n">
        <f aca="false">'Source Data'!C554</f>
        <v>32</v>
      </c>
      <c r="D557" s="6" t="n">
        <f aca="false">'Source Data'!E554</f>
        <v>0</v>
      </c>
      <c r="E557" s="6" t="n">
        <f aca="false">IFERROR(N(C557)-N(D557),"")</f>
        <v>32</v>
      </c>
      <c r="F557" s="7" t="str">
        <f aca="false">IF(E557&gt;0,"Yes",IF(E557&lt;0,"No (Paternity higher)","Equal"))</f>
        <v>Yes</v>
      </c>
    </row>
    <row r="558" customFormat="false" ht="15" hidden="false" customHeight="false" outlineLevel="0" collapsed="false">
      <c r="A558" s="5" t="str">
        <f aca="false">'Source Data'!A555</f>
        <v>Imagine Learning</v>
      </c>
      <c r="B558" s="5" t="str">
        <f aca="false">'Source Data'!B555</f>
        <v>Educational Services: E-Learning</v>
      </c>
      <c r="C558" s="6" t="n">
        <f aca="false">'Source Data'!C555</f>
        <v>6</v>
      </c>
      <c r="D558" s="6" t="n">
        <f aca="false">'Source Data'!E555</f>
        <v>0</v>
      </c>
      <c r="E558" s="6" t="n">
        <f aca="false">IFERROR(N(C558)-N(D558),"")</f>
        <v>6</v>
      </c>
      <c r="F558" s="7" t="str">
        <f aca="false">IF(E558&gt;0,"Yes",IF(E558&lt;0,"No (Paternity higher)","Equal"))</f>
        <v>Yes</v>
      </c>
    </row>
    <row r="559" customFormat="false" ht="15" hidden="false" customHeight="false" outlineLevel="0" collapsed="false">
      <c r="A559" s="5" t="str">
        <f aca="false">'Source Data'!A556</f>
        <v>Pluralsight</v>
      </c>
      <c r="B559" s="5" t="str">
        <f aca="false">'Source Data'!B556</f>
        <v>Educational Services: E-Learning</v>
      </c>
      <c r="C559" s="6" t="n">
        <f aca="false">'Source Data'!C556</f>
        <v>6</v>
      </c>
      <c r="D559" s="6" t="n">
        <f aca="false">'Source Data'!E556</f>
        <v>0</v>
      </c>
      <c r="E559" s="6" t="n">
        <f aca="false">IFERROR(N(C559)-N(D559),"")</f>
        <v>6</v>
      </c>
      <c r="F559" s="7" t="str">
        <f aca="false">IF(E559&gt;0,"Yes",IF(E559&lt;0,"No (Paternity higher)","Equal"))</f>
        <v>Yes</v>
      </c>
    </row>
    <row r="560" customFormat="false" ht="15" hidden="false" customHeight="false" outlineLevel="0" collapsed="false">
      <c r="A560" s="5" t="str">
        <f aca="false">'Source Data'!A557</f>
        <v>Renaissance Learning</v>
      </c>
      <c r="B560" s="5" t="str">
        <f aca="false">'Source Data'!B557</f>
        <v>Educational Services: E-Learning</v>
      </c>
      <c r="C560" s="6" t="n">
        <f aca="false">'Source Data'!C557</f>
        <v>9</v>
      </c>
      <c r="D560" s="6" t="n">
        <f aca="false">'Source Data'!E557</f>
        <v>0</v>
      </c>
      <c r="E560" s="6" t="n">
        <f aca="false">IFERROR(N(C560)-N(D560),"")</f>
        <v>9</v>
      </c>
      <c r="F560" s="7" t="str">
        <f aca="false">IF(E560&gt;0,"Yes",IF(E560&lt;0,"No (Paternity higher)","Equal"))</f>
        <v>Yes</v>
      </c>
    </row>
    <row r="561" customFormat="false" ht="15" hidden="false" customHeight="false" outlineLevel="0" collapsed="false">
      <c r="A561" s="5" t="str">
        <f aca="false">'Source Data'!A558</f>
        <v>Skillcrush</v>
      </c>
      <c r="B561" s="5" t="str">
        <f aca="false">'Source Data'!B558</f>
        <v>Educational Services: E-Learning</v>
      </c>
      <c r="C561" s="6" t="n">
        <f aca="false">'Source Data'!C558</f>
        <v>8</v>
      </c>
      <c r="D561" s="6" t="n">
        <f aca="false">'Source Data'!E558</f>
        <v>0</v>
      </c>
      <c r="E561" s="6" t="n">
        <f aca="false">IFERROR(N(C561)-N(D561),"")</f>
        <v>8</v>
      </c>
      <c r="F561" s="7" t="str">
        <f aca="false">IF(E561&gt;0,"Yes",IF(E561&lt;0,"No (Paternity higher)","Equal"))</f>
        <v>Yes</v>
      </c>
    </row>
    <row r="562" customFormat="false" ht="15" hidden="false" customHeight="false" outlineLevel="0" collapsed="false">
      <c r="A562" s="5" t="str">
        <f aca="false">'Source Data'!A559</f>
        <v>Soomo Learning</v>
      </c>
      <c r="B562" s="5" t="str">
        <f aca="false">'Source Data'!B559</f>
        <v>Educational Services: E-Learning</v>
      </c>
      <c r="C562" s="6" t="n">
        <f aca="false">'Source Data'!C559</f>
        <v>12</v>
      </c>
      <c r="D562" s="6" t="n">
        <f aca="false">'Source Data'!E559</f>
        <v>0</v>
      </c>
      <c r="E562" s="6" t="n">
        <f aca="false">IFERROR(N(C562)-N(D562),"")</f>
        <v>12</v>
      </c>
      <c r="F562" s="7" t="str">
        <f aca="false">IF(E562&gt;0,"Yes",IF(E562&lt;0,"No (Paternity higher)","Equal"))</f>
        <v>Yes</v>
      </c>
    </row>
    <row r="563" customFormat="false" ht="15" hidden="false" customHeight="false" outlineLevel="0" collapsed="false">
      <c r="A563" s="5" t="str">
        <f aca="false">'Source Data'!A560</f>
        <v>Zearn</v>
      </c>
      <c r="B563" s="5" t="str">
        <f aca="false">'Source Data'!B560</f>
        <v>Educational Services: E-Learning</v>
      </c>
      <c r="C563" s="6" t="n">
        <f aca="false">'Source Data'!C560</f>
        <v>12</v>
      </c>
      <c r="D563" s="6" t="n">
        <f aca="false">'Source Data'!E560</f>
        <v>0</v>
      </c>
      <c r="E563" s="6" t="n">
        <f aca="false">IFERROR(N(C563)-N(D563),"")</f>
        <v>12</v>
      </c>
      <c r="F563" s="7" t="str">
        <f aca="false">IF(E563&gt;0,"Yes",IF(E563&lt;0,"No (Paternity higher)","Equal"))</f>
        <v>Yes</v>
      </c>
    </row>
    <row r="564" customFormat="false" ht="15" hidden="false" customHeight="false" outlineLevel="0" collapsed="false">
      <c r="A564" s="5" t="str">
        <f aca="false">'Source Data'!A561</f>
        <v>CIEE</v>
      </c>
      <c r="B564" s="5" t="str">
        <f aca="false">'Source Data'!B561</f>
        <v>Educational Services: Management</v>
      </c>
      <c r="C564" s="6" t="n">
        <f aca="false">'Source Data'!C561</f>
        <v>12</v>
      </c>
      <c r="D564" s="6" t="n">
        <f aca="false">'Source Data'!E561</f>
        <v>0</v>
      </c>
      <c r="E564" s="6" t="n">
        <f aca="false">IFERROR(N(C564)-N(D564),"")</f>
        <v>12</v>
      </c>
      <c r="F564" s="7" t="str">
        <f aca="false">IF(E564&gt;0,"Yes",IF(E564&lt;0,"No (Paternity higher)","Equal"))</f>
        <v>Yes</v>
      </c>
    </row>
    <row r="565" customFormat="false" ht="15" hidden="false" customHeight="false" outlineLevel="0" collapsed="false">
      <c r="A565" s="5" t="str">
        <f aca="false">'Source Data'!A562</f>
        <v>General Assembly</v>
      </c>
      <c r="B565" s="5" t="str">
        <f aca="false">'Source Data'!B562</f>
        <v>Educational Services: Management</v>
      </c>
      <c r="C565" s="6" t="n">
        <f aca="false">'Source Data'!C562</f>
        <v>16</v>
      </c>
      <c r="D565" s="6" t="n">
        <f aca="false">'Source Data'!E562</f>
        <v>0</v>
      </c>
      <c r="E565" s="6" t="n">
        <f aca="false">IFERROR(N(C565)-N(D565),"")</f>
        <v>16</v>
      </c>
      <c r="F565" s="7" t="str">
        <f aca="false">IF(E565&gt;0,"Yes",IF(E565&lt;0,"No (Paternity higher)","Equal"))</f>
        <v>Yes</v>
      </c>
    </row>
    <row r="566" customFormat="false" ht="15" hidden="false" customHeight="false" outlineLevel="0" collapsed="false">
      <c r="A566" s="5" t="str">
        <f aca="false">'Source Data'!A563</f>
        <v>NWEA</v>
      </c>
      <c r="B566" s="5" t="str">
        <f aca="false">'Source Data'!B563</f>
        <v>Educational Services: Management</v>
      </c>
      <c r="C566" s="6" t="n">
        <f aca="false">'Source Data'!C563</f>
        <v>8</v>
      </c>
      <c r="D566" s="6" t="n">
        <f aca="false">'Source Data'!E563</f>
        <v>0</v>
      </c>
      <c r="E566" s="6" t="n">
        <f aca="false">IFERROR(N(C566)-N(D566),"")</f>
        <v>8</v>
      </c>
      <c r="F566" s="7" t="str">
        <f aca="false">IF(E566&gt;0,"Yes",IF(E566&lt;0,"No (Paternity higher)","Equal"))</f>
        <v>Yes</v>
      </c>
    </row>
    <row r="567" customFormat="false" ht="15" hidden="false" customHeight="false" outlineLevel="0" collapsed="false">
      <c r="A567" s="5" t="str">
        <f aca="false">'Source Data'!A564</f>
        <v>Prince William County Public Schools</v>
      </c>
      <c r="B567" s="5" t="str">
        <f aca="false">'Source Data'!B564</f>
        <v>Educational Services: Management</v>
      </c>
      <c r="C567" s="6" t="n">
        <f aca="false">'Source Data'!C564</f>
        <v>12</v>
      </c>
      <c r="D567" s="6" t="n">
        <f aca="false">'Source Data'!E564</f>
        <v>0</v>
      </c>
      <c r="E567" s="6" t="n">
        <f aca="false">IFERROR(N(C567)-N(D567),"")</f>
        <v>12</v>
      </c>
      <c r="F567" s="7" t="str">
        <f aca="false">IF(E567&gt;0,"Yes",IF(E567&lt;0,"No (Paternity higher)","Equal"))</f>
        <v>Yes</v>
      </c>
    </row>
    <row r="568" customFormat="false" ht="15" hidden="false" customHeight="false" outlineLevel="0" collapsed="false">
      <c r="A568" s="5" t="str">
        <f aca="false">'Source Data'!A565</f>
        <v>Santa Fe Public Schools</v>
      </c>
      <c r="B568" s="5" t="str">
        <f aca="false">'Source Data'!B565</f>
        <v>Educational Services: Management</v>
      </c>
      <c r="C568" s="6" t="n">
        <f aca="false">'Source Data'!C565</f>
        <v>4</v>
      </c>
      <c r="D568" s="6" t="n">
        <f aca="false">'Source Data'!E565</f>
        <v>0</v>
      </c>
      <c r="E568" s="6" t="n">
        <f aca="false">IFERROR(N(C568)-N(D568),"")</f>
        <v>4</v>
      </c>
      <c r="F568" s="7" t="str">
        <f aca="false">IF(E568&gt;0,"Yes",IF(E568&lt;0,"No (Paternity higher)","Equal"))</f>
        <v>Yes</v>
      </c>
    </row>
    <row r="569" customFormat="false" ht="15" hidden="false" customHeight="false" outlineLevel="0" collapsed="false">
      <c r="A569" s="5" t="str">
        <f aca="false">'Source Data'!A566</f>
        <v>Teachstone</v>
      </c>
      <c r="B569" s="5" t="str">
        <f aca="false">'Source Data'!B566</f>
        <v>Educational Services: Management</v>
      </c>
      <c r="C569" s="6" t="n">
        <f aca="false">'Source Data'!C566</f>
        <v>2</v>
      </c>
      <c r="D569" s="6" t="n">
        <f aca="false">'Source Data'!E566</f>
        <v>0</v>
      </c>
      <c r="E569" s="6" t="n">
        <f aca="false">IFERROR(N(C569)-N(D569),"")</f>
        <v>2</v>
      </c>
      <c r="F569" s="7" t="str">
        <f aca="false">IF(E569&gt;0,"Yes",IF(E569&lt;0,"No (Paternity higher)","Equal"))</f>
        <v>Yes</v>
      </c>
    </row>
    <row r="570" customFormat="false" ht="15" hidden="false" customHeight="false" outlineLevel="0" collapsed="false">
      <c r="A570" s="5" t="str">
        <f aca="false">'Source Data'!A567</f>
        <v>The College Board</v>
      </c>
      <c r="B570" s="5" t="str">
        <f aca="false">'Source Data'!B567</f>
        <v>Educational Services: Management</v>
      </c>
      <c r="C570" s="6" t="n">
        <f aca="false">'Source Data'!C567</f>
        <v>8</v>
      </c>
      <c r="D570" s="6" t="n">
        <f aca="false">'Source Data'!E567</f>
        <v>0</v>
      </c>
      <c r="E570" s="6" t="n">
        <f aca="false">IFERROR(N(C570)-N(D570),"")</f>
        <v>8</v>
      </c>
      <c r="F570" s="7" t="str">
        <f aca="false">IF(E570&gt;0,"Yes",IF(E570&lt;0,"No (Paternity higher)","Equal"))</f>
        <v>Yes</v>
      </c>
    </row>
    <row r="571" customFormat="false" ht="15" hidden="false" customHeight="false" outlineLevel="0" collapsed="false">
      <c r="A571" s="5" t="str">
        <f aca="false">'Source Data'!A568</f>
        <v>ACT, Inc</v>
      </c>
      <c r="B571" s="5" t="str">
        <f aca="false">'Source Data'!B568</f>
        <v>Educational Services: Other</v>
      </c>
      <c r="C571" s="6" t="n">
        <f aca="false">'Source Data'!C568</f>
        <v>6</v>
      </c>
      <c r="D571" s="6" t="n">
        <f aca="false">'Source Data'!E568</f>
        <v>0</v>
      </c>
      <c r="E571" s="6" t="n">
        <f aca="false">IFERROR(N(C571)-N(D571),"")</f>
        <v>6</v>
      </c>
      <c r="F571" s="7" t="str">
        <f aca="false">IF(E571&gt;0,"Yes",IF(E571&lt;0,"No (Paternity higher)","Equal"))</f>
        <v>Yes</v>
      </c>
    </row>
    <row r="572" customFormat="false" ht="15" hidden="false" customHeight="false" outlineLevel="0" collapsed="false">
      <c r="A572" s="5" t="str">
        <f aca="false">'Source Data'!A569</f>
        <v>British Council</v>
      </c>
      <c r="B572" s="5" t="str">
        <f aca="false">'Source Data'!B569</f>
        <v>Educational Services: Other</v>
      </c>
      <c r="C572" s="6" t="n">
        <f aca="false">'Source Data'!C569</f>
        <v>26</v>
      </c>
      <c r="D572" s="6" t="n">
        <f aca="false">'Source Data'!E569</f>
        <v>0</v>
      </c>
      <c r="E572" s="6" t="n">
        <f aca="false">IFERROR(N(C572)-N(D572),"")</f>
        <v>26</v>
      </c>
      <c r="F572" s="7" t="str">
        <f aca="false">IF(E572&gt;0,"Yes",IF(E572&lt;0,"No (Paternity higher)","Equal"))</f>
        <v>Yes</v>
      </c>
    </row>
    <row r="573" customFormat="false" ht="15" hidden="false" customHeight="false" outlineLevel="0" collapsed="false">
      <c r="A573" s="5" t="str">
        <f aca="false">'Source Data'!A570</f>
        <v>Pearson</v>
      </c>
      <c r="B573" s="5" t="str">
        <f aca="false">'Source Data'!B570</f>
        <v>Educational Services: Other</v>
      </c>
      <c r="C573" s="6" t="n">
        <f aca="false">'Source Data'!C570</f>
        <v>8.5</v>
      </c>
      <c r="D573" s="6" t="n">
        <f aca="false">'Source Data'!E570</f>
        <v>0</v>
      </c>
      <c r="E573" s="6" t="n">
        <f aca="false">IFERROR(N(C573)-N(D573),"")</f>
        <v>8.5</v>
      </c>
      <c r="F573" s="7" t="str">
        <f aca="false">IF(E573&gt;0,"Yes",IF(E573&lt;0,"No (Paternity higher)","Equal"))</f>
        <v>Yes</v>
      </c>
    </row>
    <row r="574" customFormat="false" ht="15" hidden="false" customHeight="false" outlineLevel="0" collapsed="false">
      <c r="A574" s="5" t="str">
        <f aca="false">'Source Data'!A571</f>
        <v>Savvas Learning Company</v>
      </c>
      <c r="B574" s="5" t="str">
        <f aca="false">'Source Data'!B571</f>
        <v>Educational Services: Other</v>
      </c>
      <c r="C574" s="6" t="n">
        <f aca="false">'Source Data'!C571</f>
        <v>3</v>
      </c>
      <c r="D574" s="6" t="n">
        <f aca="false">'Source Data'!E571</f>
        <v>0</v>
      </c>
      <c r="E574" s="6" t="n">
        <f aca="false">IFERROR(N(C574)-N(D574),"")</f>
        <v>3</v>
      </c>
      <c r="F574" s="7" t="str">
        <f aca="false">IF(E574&gt;0,"Yes",IF(E574&lt;0,"No (Paternity higher)","Equal"))</f>
        <v>Yes</v>
      </c>
    </row>
    <row r="575" customFormat="false" ht="15" hidden="false" customHeight="false" outlineLevel="0" collapsed="false">
      <c r="A575" s="5" t="str">
        <f aca="false">'Source Data'!A572</f>
        <v>Texas A&amp;M AgriLife Research</v>
      </c>
      <c r="B575" s="5" t="str">
        <f aca="false">'Source Data'!B572</f>
        <v>Educational Services: Other</v>
      </c>
      <c r="C575" s="6" t="n">
        <f aca="false">'Source Data'!C572</f>
        <v>26</v>
      </c>
      <c r="D575" s="6" t="n">
        <f aca="false">'Source Data'!E572</f>
        <v>0</v>
      </c>
      <c r="E575" s="6" t="n">
        <f aca="false">IFERROR(N(C575)-N(D575),"")</f>
        <v>26</v>
      </c>
      <c r="F575" s="7" t="str">
        <f aca="false">IF(E575&gt;0,"Yes",IF(E575&lt;0,"No (Paternity higher)","Equal"))</f>
        <v>Yes</v>
      </c>
    </row>
    <row r="576" customFormat="false" ht="15" hidden="false" customHeight="false" outlineLevel="0" collapsed="false">
      <c r="A576" s="5" t="str">
        <f aca="false">'Source Data'!A573</f>
        <v>The Concord Consortium</v>
      </c>
      <c r="B576" s="5" t="str">
        <f aca="false">'Source Data'!B573</f>
        <v>Educational Services: Other</v>
      </c>
      <c r="C576" s="6" t="n">
        <f aca="false">'Source Data'!C573</f>
        <v>8</v>
      </c>
      <c r="D576" s="6" t="n">
        <f aca="false">'Source Data'!E573</f>
        <v>0</v>
      </c>
      <c r="E576" s="6" t="n">
        <f aca="false">IFERROR(N(C576)-N(D576),"")</f>
        <v>8</v>
      </c>
      <c r="F576" s="7" t="str">
        <f aca="false">IF(E576&gt;0,"Yes",IF(E576&lt;0,"No (Paternity higher)","Equal"))</f>
        <v>Yes</v>
      </c>
    </row>
    <row r="577" customFormat="false" ht="15" hidden="false" customHeight="false" outlineLevel="0" collapsed="false">
      <c r="A577" s="5" t="str">
        <f aca="false">'Source Data'!A574</f>
        <v>KinderCare Learning Companies</v>
      </c>
      <c r="B577" s="5" t="str">
        <f aca="false">'Source Data'!B574</f>
        <v>Educational Services: Preschool</v>
      </c>
      <c r="C577" s="6" t="n">
        <f aca="false">'Source Data'!C574</f>
        <v>6</v>
      </c>
      <c r="D577" s="6" t="n">
        <f aca="false">'Source Data'!E574</f>
        <v>0</v>
      </c>
      <c r="E577" s="6" t="n">
        <f aca="false">IFERROR(N(C577)-N(D577),"")</f>
        <v>6</v>
      </c>
      <c r="F577" s="7" t="str">
        <f aca="false">IF(E577&gt;0,"Yes",IF(E577&lt;0,"No (Paternity higher)","Equal"))</f>
        <v>Yes</v>
      </c>
    </row>
    <row r="578" customFormat="false" ht="15" hidden="false" customHeight="false" outlineLevel="0" collapsed="false">
      <c r="A578" s="5" t="str">
        <f aca="false">'Source Data'!A575</f>
        <v>Aperian Global</v>
      </c>
      <c r="B578" s="5" t="str">
        <f aca="false">'Source Data'!B575</f>
        <v>Educational Services: Professional Training</v>
      </c>
      <c r="C578" s="6" t="n">
        <f aca="false">'Source Data'!C575</f>
        <v>4</v>
      </c>
      <c r="D578" s="6" t="n">
        <f aca="false">'Source Data'!E575</f>
        <v>0</v>
      </c>
      <c r="E578" s="6" t="n">
        <f aca="false">IFERROR(N(C578)-N(D578),"")</f>
        <v>4</v>
      </c>
      <c r="F578" s="7" t="str">
        <f aca="false">IF(E578&gt;0,"Yes",IF(E578&lt;0,"No (Paternity higher)","Equal"))</f>
        <v>Yes</v>
      </c>
    </row>
    <row r="579" customFormat="false" ht="15" hidden="false" customHeight="false" outlineLevel="0" collapsed="false">
      <c r="A579" s="5" t="str">
        <f aca="false">'Source Data'!A576</f>
        <v>Achievement First</v>
      </c>
      <c r="B579" s="5" t="str">
        <f aca="false">'Source Data'!B576</f>
        <v>Educational Services: School</v>
      </c>
      <c r="C579" s="6" t="n">
        <f aca="false">'Source Data'!C576</f>
        <v>42</v>
      </c>
      <c r="D579" s="6" t="n">
        <f aca="false">'Source Data'!E576</f>
        <v>0</v>
      </c>
      <c r="E579" s="6" t="n">
        <f aca="false">IFERROR(N(C579)-N(D579),"")</f>
        <v>42</v>
      </c>
      <c r="F579" s="7" t="str">
        <f aca="false">IF(E579&gt;0,"Yes",IF(E579&lt;0,"No (Paternity higher)","Equal"))</f>
        <v>Yes</v>
      </c>
    </row>
    <row r="580" customFormat="false" ht="15" hidden="false" customHeight="false" outlineLevel="0" collapsed="false">
      <c r="A580" s="5" t="str">
        <f aca="false">'Source Data'!A577</f>
        <v>Cobb County School District</v>
      </c>
      <c r="B580" s="5" t="str">
        <f aca="false">'Source Data'!B577</f>
        <v>Educational Services: School</v>
      </c>
      <c r="C580" s="6" t="n">
        <f aca="false">'Source Data'!C577</f>
        <v>6</v>
      </c>
      <c r="D580" s="6" t="n">
        <f aca="false">'Source Data'!E577</f>
        <v>0</v>
      </c>
      <c r="E580" s="6" t="n">
        <f aca="false">IFERROR(N(C580)-N(D580),"")</f>
        <v>6</v>
      </c>
      <c r="F580" s="7" t="str">
        <f aca="false">IF(E580&gt;0,"Yes",IF(E580&lt;0,"No (Paternity higher)","Equal"))</f>
        <v>Yes</v>
      </c>
    </row>
    <row r="581" customFormat="false" ht="15" hidden="false" customHeight="false" outlineLevel="0" collapsed="false">
      <c r="A581" s="5" t="str">
        <f aca="false">'Source Data'!A578</f>
        <v>Curtis Institute of Music</v>
      </c>
      <c r="B581" s="5" t="str">
        <f aca="false">'Source Data'!B578</f>
        <v>Educational Services: School</v>
      </c>
      <c r="C581" s="6" t="n">
        <f aca="false">'Source Data'!C578</f>
        <v>12</v>
      </c>
      <c r="D581" s="6" t="n">
        <f aca="false">'Source Data'!E578</f>
        <v>12</v>
      </c>
      <c r="E581" s="6" t="n">
        <f aca="false">IFERROR(N(C581)-N(D581),"")</f>
        <v>0</v>
      </c>
      <c r="F581" s="7" t="str">
        <f aca="false">IF(E581&gt;0,"Yes",IF(E581&lt;0,"No (Paternity higher)","Equal"))</f>
        <v>Equal</v>
      </c>
    </row>
    <row r="582" customFormat="false" ht="15" hidden="false" customHeight="false" outlineLevel="0" collapsed="false">
      <c r="A582" s="5" t="str">
        <f aca="false">'Source Data'!A579</f>
        <v>Henderson Collegiate</v>
      </c>
      <c r="B582" s="5" t="str">
        <f aca="false">'Source Data'!B579</f>
        <v>Educational Services: School</v>
      </c>
      <c r="C582" s="6" t="n">
        <f aca="false">'Source Data'!C579</f>
        <v>9</v>
      </c>
      <c r="D582" s="6" t="n">
        <f aca="false">'Source Data'!E579</f>
        <v>0</v>
      </c>
      <c r="E582" s="6" t="n">
        <f aca="false">IFERROR(N(C582)-N(D582),"")</f>
        <v>9</v>
      </c>
      <c r="F582" s="7" t="str">
        <f aca="false">IF(E582&gt;0,"Yes",IF(E582&lt;0,"No (Paternity higher)","Equal"))</f>
        <v>Yes</v>
      </c>
    </row>
    <row r="583" customFormat="false" ht="15" hidden="false" customHeight="false" outlineLevel="0" collapsed="false">
      <c r="A583" s="5" t="str">
        <f aca="false">'Source Data'!A580</f>
        <v>Humble Independent School District</v>
      </c>
      <c r="B583" s="5" t="str">
        <f aca="false">'Source Data'!B580</f>
        <v>Educational Services: School</v>
      </c>
      <c r="C583" s="6" t="n">
        <f aca="false">'Source Data'!C580</f>
        <v>12</v>
      </c>
      <c r="D583" s="6" t="n">
        <f aca="false">'Source Data'!E580</f>
        <v>0</v>
      </c>
      <c r="E583" s="6" t="n">
        <f aca="false">IFERROR(N(C583)-N(D583),"")</f>
        <v>12</v>
      </c>
      <c r="F583" s="7" t="str">
        <f aca="false">IF(E583&gt;0,"Yes",IF(E583&lt;0,"No (Paternity higher)","Equal"))</f>
        <v>Yes</v>
      </c>
    </row>
    <row r="584" customFormat="false" ht="15" hidden="false" customHeight="false" outlineLevel="0" collapsed="false">
      <c r="A584" s="5" t="str">
        <f aca="false">'Source Data'!A581</f>
        <v>IDEA Public Schools</v>
      </c>
      <c r="B584" s="5" t="str">
        <f aca="false">'Source Data'!B581</f>
        <v>Educational Services: School</v>
      </c>
      <c r="C584" s="6" t="n">
        <f aca="false">'Source Data'!C581</f>
        <v>6</v>
      </c>
      <c r="D584" s="6" t="n">
        <f aca="false">'Source Data'!E581</f>
        <v>0</v>
      </c>
      <c r="E584" s="6" t="n">
        <f aca="false">IFERROR(N(C584)-N(D584),"")</f>
        <v>6</v>
      </c>
      <c r="F584" s="7" t="str">
        <f aca="false">IF(E584&gt;0,"Yes",IF(E584&lt;0,"No (Paternity higher)","Equal"))</f>
        <v>Yes</v>
      </c>
    </row>
    <row r="585" customFormat="false" ht="15" hidden="false" customHeight="false" outlineLevel="0" collapsed="false">
      <c r="A585" s="5" t="str">
        <f aca="false">'Source Data'!A582</f>
        <v>Long Trail School</v>
      </c>
      <c r="B585" s="5" t="str">
        <f aca="false">'Source Data'!B582</f>
        <v>Educational Services: School</v>
      </c>
      <c r="C585" s="6" t="n">
        <f aca="false">'Source Data'!C582</f>
        <v>6</v>
      </c>
      <c r="D585" s="6" t="n">
        <f aca="false">'Source Data'!E582</f>
        <v>0</v>
      </c>
      <c r="E585" s="6" t="n">
        <f aca="false">IFERROR(N(C585)-N(D585),"")</f>
        <v>6</v>
      </c>
      <c r="F585" s="7" t="str">
        <f aca="false">IF(E585&gt;0,"Yes",IF(E585&lt;0,"No (Paternity higher)","Equal"))</f>
        <v>Yes</v>
      </c>
    </row>
    <row r="586" customFormat="false" ht="15" hidden="false" customHeight="false" outlineLevel="0" collapsed="false">
      <c r="A586" s="5" t="str">
        <f aca="false">'Source Data'!A583</f>
        <v>San Francisco Unified School District</v>
      </c>
      <c r="B586" s="5" t="str">
        <f aca="false">'Source Data'!B583</f>
        <v>Educational Services: School</v>
      </c>
      <c r="C586" s="6" t="n">
        <f aca="false">'Source Data'!C583</f>
        <v>6</v>
      </c>
      <c r="D586" s="6" t="n">
        <f aca="false">'Source Data'!E583</f>
        <v>0</v>
      </c>
      <c r="E586" s="6" t="n">
        <f aca="false">IFERROR(N(C586)-N(D586),"")</f>
        <v>6</v>
      </c>
      <c r="F586" s="7" t="str">
        <f aca="false">IF(E586&gt;0,"Yes",IF(E586&lt;0,"No (Paternity higher)","Equal"))</f>
        <v>Yes</v>
      </c>
    </row>
    <row r="587" customFormat="false" ht="15" hidden="false" customHeight="false" outlineLevel="0" collapsed="false">
      <c r="A587" s="5" t="str">
        <f aca="false">'Source Data'!A584</f>
        <v>The Meadowbrook School of Weston</v>
      </c>
      <c r="B587" s="5" t="str">
        <f aca="false">'Source Data'!B584</f>
        <v>Educational Services: School</v>
      </c>
      <c r="C587" s="6" t="n">
        <f aca="false">'Source Data'!C584</f>
        <v>12</v>
      </c>
      <c r="D587" s="6" t="n">
        <f aca="false">'Source Data'!E584</f>
        <v>0</v>
      </c>
      <c r="E587" s="6" t="n">
        <f aca="false">IFERROR(N(C587)-N(D587),"")</f>
        <v>12</v>
      </c>
      <c r="F587" s="7" t="str">
        <f aca="false">IF(E587&gt;0,"Yes",IF(E587&lt;0,"No (Paternity higher)","Equal"))</f>
        <v>Yes</v>
      </c>
    </row>
    <row r="588" customFormat="false" ht="15" hidden="false" customHeight="false" outlineLevel="0" collapsed="false">
      <c r="A588" s="5" t="str">
        <f aca="false">'Source Data'!A585</f>
        <v>Creative Education Services</v>
      </c>
      <c r="B588" s="5" t="str">
        <f aca="false">'Source Data'!B585</f>
        <v>Educational Services: Tutoring</v>
      </c>
      <c r="C588" s="6" t="n">
        <f aca="false">'Source Data'!C585</f>
        <v>16</v>
      </c>
      <c r="D588" s="6" t="n">
        <f aca="false">'Source Data'!E585</f>
        <v>0</v>
      </c>
      <c r="E588" s="6" t="n">
        <f aca="false">IFERROR(N(C588)-N(D588),"")</f>
        <v>16</v>
      </c>
      <c r="F588" s="7" t="str">
        <f aca="false">IF(E588&gt;0,"Yes",IF(E588&lt;0,"No (Paternity higher)","Equal"))</f>
        <v>Yes</v>
      </c>
    </row>
    <row r="589" customFormat="false" ht="15" hidden="false" customHeight="false" outlineLevel="0" collapsed="false">
      <c r="A589" s="5" t="str">
        <f aca="false">'Source Data'!A586</f>
        <v>Armada Technologies</v>
      </c>
      <c r="B589" s="5" t="str">
        <f aca="false">'Source Data'!B586</f>
        <v>Electronics: Manufacturing</v>
      </c>
      <c r="C589" s="6" t="n">
        <f aca="false">'Source Data'!C586</f>
        <v>2</v>
      </c>
      <c r="D589" s="6" t="n">
        <f aca="false">'Source Data'!E586</f>
        <v>0</v>
      </c>
      <c r="E589" s="6" t="n">
        <f aca="false">IFERROR(N(C589)-N(D589),"")</f>
        <v>2</v>
      </c>
      <c r="F589" s="7" t="str">
        <f aca="false">IF(E589&gt;0,"Yes",IF(E589&lt;0,"No (Paternity higher)","Equal"))</f>
        <v>Yes</v>
      </c>
    </row>
    <row r="590" customFormat="false" ht="15" hidden="false" customHeight="false" outlineLevel="0" collapsed="false">
      <c r="A590" s="5" t="str">
        <f aca="false">'Source Data'!A587</f>
        <v>Bose</v>
      </c>
      <c r="B590" s="5" t="str">
        <f aca="false">'Source Data'!B587</f>
        <v>Electronics: Manufacturing</v>
      </c>
      <c r="C590" s="6" t="n">
        <f aca="false">'Source Data'!C587</f>
        <v>12</v>
      </c>
      <c r="D590" s="6" t="n">
        <f aca="false">'Source Data'!E587</f>
        <v>0</v>
      </c>
      <c r="E590" s="6" t="n">
        <f aca="false">IFERROR(N(C590)-N(D590),"")</f>
        <v>12</v>
      </c>
      <c r="F590" s="7" t="str">
        <f aca="false">IF(E590&gt;0,"Yes",IF(E590&lt;0,"No (Paternity higher)","Equal"))</f>
        <v>Yes</v>
      </c>
    </row>
    <row r="591" customFormat="false" ht="15" hidden="false" customHeight="false" outlineLevel="0" collapsed="false">
      <c r="A591" s="5" t="str">
        <f aca="false">'Source Data'!A588</f>
        <v>Harman International Industries</v>
      </c>
      <c r="B591" s="5" t="str">
        <f aca="false">'Source Data'!B588</f>
        <v>Electronics: Manufacturing</v>
      </c>
      <c r="C591" s="6" t="n">
        <f aca="false">'Source Data'!C588</f>
        <v>12</v>
      </c>
      <c r="D591" s="6" t="n">
        <f aca="false">'Source Data'!E588</f>
        <v>0</v>
      </c>
      <c r="E591" s="6" t="n">
        <f aca="false">IFERROR(N(C591)-N(D591),"")</f>
        <v>12</v>
      </c>
      <c r="F591" s="7" t="str">
        <f aca="false">IF(E591&gt;0,"Yes",IF(E591&lt;0,"No (Paternity higher)","Equal"))</f>
        <v>Yes</v>
      </c>
    </row>
    <row r="592" customFormat="false" ht="15" hidden="false" customHeight="false" outlineLevel="0" collapsed="false">
      <c r="A592" s="5" t="str">
        <f aca="false">'Source Data'!A589</f>
        <v>iRobot</v>
      </c>
      <c r="B592" s="5" t="str">
        <f aca="false">'Source Data'!B589</f>
        <v>Electronics: Manufacturing</v>
      </c>
      <c r="C592" s="6" t="n">
        <f aca="false">'Source Data'!C589</f>
        <v>15</v>
      </c>
      <c r="D592" s="6" t="n">
        <f aca="false">'Source Data'!E589</f>
        <v>0</v>
      </c>
      <c r="E592" s="6" t="n">
        <f aca="false">IFERROR(N(C592)-N(D592),"")</f>
        <v>15</v>
      </c>
      <c r="F592" s="7" t="str">
        <f aca="false">IF(E592&gt;0,"Yes",IF(E592&lt;0,"No (Paternity higher)","Equal"))</f>
        <v>Yes</v>
      </c>
    </row>
    <row r="593" customFormat="false" ht="15" hidden="false" customHeight="false" outlineLevel="0" collapsed="false">
      <c r="A593" s="5" t="str">
        <f aca="false">'Source Data'!A590</f>
        <v>Keysight Technologies</v>
      </c>
      <c r="B593" s="5" t="str">
        <f aca="false">'Source Data'!B590</f>
        <v>Electronics: Manufacturing</v>
      </c>
      <c r="C593" s="6" t="n">
        <f aca="false">'Source Data'!C590</f>
        <v>8</v>
      </c>
      <c r="D593" s="6" t="n">
        <f aca="false">'Source Data'!E590</f>
        <v>0</v>
      </c>
      <c r="E593" s="6" t="n">
        <f aca="false">IFERROR(N(C593)-N(D593),"")</f>
        <v>8</v>
      </c>
      <c r="F593" s="7" t="str">
        <f aca="false">IF(E593&gt;0,"Yes",IF(E593&lt;0,"No (Paternity higher)","Equal"))</f>
        <v>Yes</v>
      </c>
    </row>
    <row r="594" customFormat="false" ht="15" hidden="false" customHeight="false" outlineLevel="0" collapsed="false">
      <c r="A594" s="5" t="str">
        <f aca="false">'Source Data'!A591</f>
        <v>Legrand</v>
      </c>
      <c r="B594" s="5" t="str">
        <f aca="false">'Source Data'!B591</f>
        <v>Electronics: Manufacturing</v>
      </c>
      <c r="C594" s="6" t="n">
        <f aca="false">'Source Data'!C591</f>
        <v>12</v>
      </c>
      <c r="D594" s="6" t="n">
        <f aca="false">'Source Data'!E591</f>
        <v>0</v>
      </c>
      <c r="E594" s="6" t="n">
        <f aca="false">IFERROR(N(C594)-N(D594),"")</f>
        <v>12</v>
      </c>
      <c r="F594" s="7" t="str">
        <f aca="false">IF(E594&gt;0,"Yes",IF(E594&lt;0,"No (Paternity higher)","Equal"))</f>
        <v>Yes</v>
      </c>
    </row>
    <row r="595" customFormat="false" ht="15" hidden="false" customHeight="false" outlineLevel="0" collapsed="false">
      <c r="A595" s="5" t="str">
        <f aca="false">'Source Data'!A592</f>
        <v>Maxim Integrated Products</v>
      </c>
      <c r="B595" s="5" t="str">
        <f aca="false">'Source Data'!B592</f>
        <v>Electronics: Manufacturing</v>
      </c>
      <c r="C595" s="6" t="n">
        <f aca="false">'Source Data'!C592</f>
        <v>8</v>
      </c>
      <c r="D595" s="6" t="n">
        <f aca="false">'Source Data'!E592</f>
        <v>0</v>
      </c>
      <c r="E595" s="6" t="n">
        <f aca="false">IFERROR(N(C595)-N(D595),"")</f>
        <v>8</v>
      </c>
      <c r="F595" s="7" t="str">
        <f aca="false">IF(E595&gt;0,"Yes",IF(E595&lt;0,"No (Paternity higher)","Equal"))</f>
        <v>Yes</v>
      </c>
    </row>
    <row r="596" customFormat="false" ht="15" hidden="false" customHeight="false" outlineLevel="0" collapsed="false">
      <c r="A596" s="5" t="str">
        <f aca="false">'Source Data'!A593</f>
        <v>Philips</v>
      </c>
      <c r="B596" s="5" t="str">
        <f aca="false">'Source Data'!B593</f>
        <v>Electronics: Manufacturing</v>
      </c>
      <c r="C596" s="6" t="n">
        <f aca="false">'Source Data'!C593</f>
        <v>8</v>
      </c>
      <c r="D596" s="6" t="n">
        <f aca="false">'Source Data'!E593</f>
        <v>0</v>
      </c>
      <c r="E596" s="6" t="n">
        <f aca="false">IFERROR(N(C596)-N(D596),"")</f>
        <v>8</v>
      </c>
      <c r="F596" s="7" t="str">
        <f aca="false">IF(E596&gt;0,"Yes",IF(E596&lt;0,"No (Paternity higher)","Equal"))</f>
        <v>Yes</v>
      </c>
    </row>
    <row r="597" customFormat="false" ht="15" hidden="false" customHeight="false" outlineLevel="0" collapsed="false">
      <c r="A597" s="5" t="str">
        <f aca="false">'Source Data'!A594</f>
        <v>Radar</v>
      </c>
      <c r="B597" s="5" t="str">
        <f aca="false">'Source Data'!B594</f>
        <v>Electronics: Manufacturing</v>
      </c>
      <c r="C597" s="6" t="n">
        <f aca="false">'Source Data'!C594</f>
        <v>12</v>
      </c>
      <c r="D597" s="6" t="n">
        <f aca="false">'Source Data'!E594</f>
        <v>0</v>
      </c>
      <c r="E597" s="6" t="n">
        <f aca="false">IFERROR(N(C597)-N(D597),"")</f>
        <v>12</v>
      </c>
      <c r="F597" s="7" t="str">
        <f aca="false">IF(E597&gt;0,"Yes",IF(E597&lt;0,"No (Paternity higher)","Equal"))</f>
        <v>Yes</v>
      </c>
    </row>
    <row r="598" customFormat="false" ht="15" hidden="false" customHeight="false" outlineLevel="0" collapsed="false">
      <c r="A598" s="5" t="str">
        <f aca="false">'Source Data'!A595</f>
        <v>Sanmina</v>
      </c>
      <c r="B598" s="5" t="str">
        <f aca="false">'Source Data'!B595</f>
        <v>Electronics: Manufacturing</v>
      </c>
      <c r="C598" s="6" t="n">
        <f aca="false">'Source Data'!C595</f>
        <v>6</v>
      </c>
      <c r="D598" s="6" t="n">
        <f aca="false">'Source Data'!E595</f>
        <v>0</v>
      </c>
      <c r="E598" s="6" t="n">
        <f aca="false">IFERROR(N(C598)-N(D598),"")</f>
        <v>6</v>
      </c>
      <c r="F598" s="7" t="str">
        <f aca="false">IF(E598&gt;0,"Yes",IF(E598&lt;0,"No (Paternity higher)","Equal"))</f>
        <v>Yes</v>
      </c>
    </row>
    <row r="599" customFormat="false" ht="15" hidden="false" customHeight="false" outlineLevel="0" collapsed="false">
      <c r="A599" s="5" t="str">
        <f aca="false">'Source Data'!A596</f>
        <v>Trane Technologies</v>
      </c>
      <c r="B599" s="5" t="str">
        <f aca="false">'Source Data'!B596</f>
        <v>Electronics: Manufacturing</v>
      </c>
      <c r="C599" s="6" t="n">
        <f aca="false">'Source Data'!C596</f>
        <v>11</v>
      </c>
      <c r="D599" s="6" t="n">
        <f aca="false">'Source Data'!E596</f>
        <v>0</v>
      </c>
      <c r="E599" s="6" t="n">
        <f aca="false">IFERROR(N(C599)-N(D599),"")</f>
        <v>11</v>
      </c>
      <c r="F599" s="7" t="str">
        <f aca="false">IF(E599&gt;0,"Yes",IF(E599&lt;0,"No (Paternity higher)","Equal"))</f>
        <v>Yes</v>
      </c>
    </row>
    <row r="600" customFormat="false" ht="15" hidden="false" customHeight="false" outlineLevel="0" collapsed="false">
      <c r="A600" s="5" t="str">
        <f aca="false">'Source Data'!A597</f>
        <v>Reprise</v>
      </c>
      <c r="B600" s="5" t="str">
        <f aca="false">'Source Data'!B597</f>
        <v>Engineering</v>
      </c>
      <c r="C600" s="6" t="n">
        <f aca="false">'Source Data'!C597</f>
        <v>12</v>
      </c>
      <c r="D600" s="6" t="n">
        <f aca="false">'Source Data'!E597</f>
        <v>0</v>
      </c>
      <c r="E600" s="6" t="n">
        <f aca="false">IFERROR(N(C600)-N(D600),"")</f>
        <v>12</v>
      </c>
      <c r="F600" s="7" t="str">
        <f aca="false">IF(E600&gt;0,"Yes",IF(E600&lt;0,"No (Paternity higher)","Equal"))</f>
        <v>Yes</v>
      </c>
    </row>
    <row r="601" customFormat="false" ht="15" hidden="false" customHeight="false" outlineLevel="0" collapsed="false">
      <c r="A601" s="5" t="str">
        <f aca="false">'Source Data'!A598</f>
        <v>Barclays</v>
      </c>
      <c r="B601" s="5" t="str">
        <f aca="false">'Source Data'!B598</f>
        <v>Finance</v>
      </c>
      <c r="C601" s="6" t="n">
        <f aca="false">'Source Data'!C598</f>
        <v>16</v>
      </c>
      <c r="D601" s="6" t="n">
        <f aca="false">'Source Data'!E598</f>
        <v>0</v>
      </c>
      <c r="E601" s="6" t="n">
        <f aca="false">IFERROR(N(C601)-N(D601),"")</f>
        <v>16</v>
      </c>
      <c r="F601" s="7" t="str">
        <f aca="false">IF(E601&gt;0,"Yes",IF(E601&lt;0,"No (Paternity higher)","Equal"))</f>
        <v>Yes</v>
      </c>
    </row>
    <row r="602" customFormat="false" ht="15" hidden="false" customHeight="false" outlineLevel="0" collapsed="false">
      <c r="A602" s="5" t="str">
        <f aca="false">'Source Data'!A599</f>
        <v>Progressive Leasing</v>
      </c>
      <c r="B602" s="5" t="str">
        <f aca="false">'Source Data'!B599</f>
        <v>Finance</v>
      </c>
      <c r="C602" s="6" t="n">
        <f aca="false">'Source Data'!C599</f>
        <v>12</v>
      </c>
      <c r="D602" s="6" t="n">
        <f aca="false">'Source Data'!E599</f>
        <v>0</v>
      </c>
      <c r="E602" s="6" t="n">
        <f aca="false">IFERROR(N(C602)-N(D602),"")</f>
        <v>12</v>
      </c>
      <c r="F602" s="7" t="str">
        <f aca="false">IF(E602&gt;0,"Yes",IF(E602&lt;0,"No (Paternity higher)","Equal"))</f>
        <v>Yes</v>
      </c>
    </row>
    <row r="603" customFormat="false" ht="15" hidden="false" customHeight="false" outlineLevel="0" collapsed="false">
      <c r="A603" s="5" t="str">
        <f aca="false">'Source Data'!A600</f>
        <v>Acorns</v>
      </c>
      <c r="B603" s="5" t="str">
        <f aca="false">'Source Data'!B600</f>
        <v>Finance: Asset Management</v>
      </c>
      <c r="C603" s="6" t="n">
        <f aca="false">'Source Data'!C600</f>
        <v>12</v>
      </c>
      <c r="D603" s="6" t="n">
        <f aca="false">'Source Data'!E600</f>
        <v>0</v>
      </c>
      <c r="E603" s="6" t="n">
        <f aca="false">IFERROR(N(C603)-N(D603),"")</f>
        <v>12</v>
      </c>
      <c r="F603" s="7" t="str">
        <f aca="false">IF(E603&gt;0,"Yes",IF(E603&lt;0,"No (Paternity higher)","Equal"))</f>
        <v>Yes</v>
      </c>
    </row>
    <row r="604" customFormat="false" ht="15" hidden="false" customHeight="false" outlineLevel="0" collapsed="false">
      <c r="A604" s="5" t="str">
        <f aca="false">'Source Data'!A601</f>
        <v>AllianceBernstein LP</v>
      </c>
      <c r="B604" s="5" t="str">
        <f aca="false">'Source Data'!B601</f>
        <v>Finance: Asset Management</v>
      </c>
      <c r="C604" s="6" t="n">
        <f aca="false">'Source Data'!C601</f>
        <v>12</v>
      </c>
      <c r="D604" s="6" t="n">
        <f aca="false">'Source Data'!E601</f>
        <v>0</v>
      </c>
      <c r="E604" s="6" t="n">
        <f aca="false">IFERROR(N(C604)-N(D604),"")</f>
        <v>12</v>
      </c>
      <c r="F604" s="7" t="str">
        <f aca="false">IF(E604&gt;0,"Yes",IF(E604&lt;0,"No (Paternity higher)","Equal"))</f>
        <v>Yes</v>
      </c>
    </row>
    <row r="605" customFormat="false" ht="15" hidden="false" customHeight="false" outlineLevel="0" collapsed="false">
      <c r="A605" s="5" t="str">
        <f aca="false">'Source Data'!A602</f>
        <v>American Century Investments</v>
      </c>
      <c r="B605" s="5" t="str">
        <f aca="false">'Source Data'!B602</f>
        <v>Finance: Asset Management</v>
      </c>
      <c r="C605" s="6" t="n">
        <f aca="false">'Source Data'!C602</f>
        <v>6</v>
      </c>
      <c r="D605" s="6" t="n">
        <f aca="false">'Source Data'!E602</f>
        <v>0</v>
      </c>
      <c r="E605" s="6" t="n">
        <f aca="false">IFERROR(N(C605)-N(D605),"")</f>
        <v>6</v>
      </c>
      <c r="F605" s="7" t="str">
        <f aca="false">IF(E605&gt;0,"Yes",IF(E605&lt;0,"No (Paternity higher)","Equal"))</f>
        <v>Yes</v>
      </c>
    </row>
    <row r="606" customFormat="false" ht="15" hidden="false" customHeight="false" outlineLevel="0" collapsed="false">
      <c r="A606" s="5" t="str">
        <f aca="false">'Source Data'!A603</f>
        <v>American Endowment Foundation</v>
      </c>
      <c r="B606" s="5" t="str">
        <f aca="false">'Source Data'!B603</f>
        <v>Finance: Asset Management</v>
      </c>
      <c r="C606" s="6" t="n">
        <f aca="false">'Source Data'!C603</f>
        <v>0</v>
      </c>
      <c r="D606" s="6" t="n">
        <f aca="false">'Source Data'!E603</f>
        <v>0</v>
      </c>
      <c r="E606" s="6" t="n">
        <f aca="false">IFERROR(N(C606)-N(D606),"")</f>
        <v>0</v>
      </c>
      <c r="F606" s="7" t="str">
        <f aca="false">IF(E606&gt;0,"Yes",IF(E606&lt;0,"No (Paternity higher)","Equal"))</f>
        <v>Equal</v>
      </c>
    </row>
    <row r="607" customFormat="false" ht="15" hidden="false" customHeight="false" outlineLevel="0" collapsed="false">
      <c r="A607" s="5" t="str">
        <f aca="false">'Source Data'!A604</f>
        <v>BNY Mellon</v>
      </c>
      <c r="B607" s="5" t="str">
        <f aca="false">'Source Data'!B604</f>
        <v>Finance: Asset Management</v>
      </c>
      <c r="C607" s="6" t="n">
        <f aca="false">'Source Data'!C604</f>
        <v>16</v>
      </c>
      <c r="D607" s="6" t="n">
        <f aca="false">'Source Data'!E604</f>
        <v>0</v>
      </c>
      <c r="E607" s="6" t="n">
        <f aca="false">IFERROR(N(C607)-N(D607),"")</f>
        <v>16</v>
      </c>
      <c r="F607" s="7" t="str">
        <f aca="false">IF(E607&gt;0,"Yes",IF(E607&lt;0,"No (Paternity higher)","Equal"))</f>
        <v>Yes</v>
      </c>
    </row>
    <row r="608" customFormat="false" ht="15" hidden="false" customHeight="false" outlineLevel="0" collapsed="false">
      <c r="A608" s="5" t="str">
        <f aca="false">'Source Data'!A605</f>
        <v>Bridgewater Associates</v>
      </c>
      <c r="B608" s="5" t="str">
        <f aca="false">'Source Data'!B605</f>
        <v>Finance: Asset Management</v>
      </c>
      <c r="C608" s="6" t="n">
        <f aca="false">'Source Data'!C605</f>
        <v>11</v>
      </c>
      <c r="D608" s="6" t="n">
        <f aca="false">'Source Data'!E605</f>
        <v>0</v>
      </c>
      <c r="E608" s="6" t="n">
        <f aca="false">IFERROR(N(C608)-N(D608),"")</f>
        <v>11</v>
      </c>
      <c r="F608" s="7" t="str">
        <f aca="false">IF(E608&gt;0,"Yes",IF(E608&lt;0,"No (Paternity higher)","Equal"))</f>
        <v>Yes</v>
      </c>
    </row>
    <row r="609" customFormat="false" ht="15" hidden="false" customHeight="false" outlineLevel="0" collapsed="false">
      <c r="A609" s="5" t="str">
        <f aca="false">'Source Data'!A606</f>
        <v>Cantella &amp; Co., Inc.</v>
      </c>
      <c r="B609" s="5" t="str">
        <f aca="false">'Source Data'!B606</f>
        <v>Finance: Asset Management</v>
      </c>
      <c r="C609" s="6" t="n">
        <f aca="false">'Source Data'!C606</f>
        <v>8</v>
      </c>
      <c r="D609" s="6" t="n">
        <f aca="false">'Source Data'!E606</f>
        <v>0</v>
      </c>
      <c r="E609" s="6" t="n">
        <f aca="false">IFERROR(N(C609)-N(D609),"")</f>
        <v>8</v>
      </c>
      <c r="F609" s="7" t="str">
        <f aca="false">IF(E609&gt;0,"Yes",IF(E609&lt;0,"No (Paternity higher)","Equal"))</f>
        <v>Yes</v>
      </c>
    </row>
    <row r="610" customFormat="false" ht="15" hidden="false" customHeight="false" outlineLevel="0" collapsed="false">
      <c r="A610" s="5" t="str">
        <f aca="false">'Source Data'!A607</f>
        <v>Citadel</v>
      </c>
      <c r="B610" s="5" t="str">
        <f aca="false">'Source Data'!B607</f>
        <v>Finance: Asset Management</v>
      </c>
      <c r="C610" s="6" t="n">
        <f aca="false">'Source Data'!C607</f>
        <v>12</v>
      </c>
      <c r="D610" s="6" t="n">
        <f aca="false">'Source Data'!E607</f>
        <v>0</v>
      </c>
      <c r="E610" s="6" t="n">
        <f aca="false">IFERROR(N(C610)-N(D610),"")</f>
        <v>12</v>
      </c>
      <c r="F610" s="7" t="str">
        <f aca="false">IF(E610&gt;0,"Yes",IF(E610&lt;0,"No (Paternity higher)","Equal"))</f>
        <v>Yes</v>
      </c>
    </row>
    <row r="611" customFormat="false" ht="15" hidden="false" customHeight="false" outlineLevel="0" collapsed="false">
      <c r="A611" s="5" t="str">
        <f aca="false">'Source Data'!A608</f>
        <v>Coller Capital Ltd.</v>
      </c>
      <c r="B611" s="5" t="str">
        <f aca="false">'Source Data'!B608</f>
        <v>Finance: Asset Management</v>
      </c>
      <c r="C611" s="6" t="n">
        <f aca="false">'Source Data'!C608</f>
        <v>6</v>
      </c>
      <c r="D611" s="6" t="n">
        <f aca="false">'Source Data'!E608</f>
        <v>0</v>
      </c>
      <c r="E611" s="6" t="n">
        <f aca="false">IFERROR(N(C611)-N(D611),"")</f>
        <v>6</v>
      </c>
      <c r="F611" s="7" t="str">
        <f aca="false">IF(E611&gt;0,"Yes",IF(E611&lt;0,"No (Paternity higher)","Equal"))</f>
        <v>Yes</v>
      </c>
    </row>
    <row r="612" customFormat="false" ht="15" hidden="false" customHeight="false" outlineLevel="0" collapsed="false">
      <c r="A612" s="5" t="str">
        <f aca="false">'Source Data'!A609</f>
        <v>DWS</v>
      </c>
      <c r="B612" s="5" t="str">
        <f aca="false">'Source Data'!B609</f>
        <v>Finance: Asset Management</v>
      </c>
      <c r="C612" s="6" t="n">
        <f aca="false">'Source Data'!C609</f>
        <v>16</v>
      </c>
      <c r="D612" s="6" t="n">
        <f aca="false">'Source Data'!E609</f>
        <v>0</v>
      </c>
      <c r="E612" s="6" t="n">
        <f aca="false">IFERROR(N(C612)-N(D612),"")</f>
        <v>16</v>
      </c>
      <c r="F612" s="7" t="str">
        <f aca="false">IF(E612&gt;0,"Yes",IF(E612&lt;0,"No (Paternity higher)","Equal"))</f>
        <v>Yes</v>
      </c>
    </row>
    <row r="613" customFormat="false" ht="15" hidden="false" customHeight="false" outlineLevel="0" collapsed="false">
      <c r="A613" s="5" t="str">
        <f aca="false">'Source Data'!A610</f>
        <v>Fisher Investments</v>
      </c>
      <c r="B613" s="5" t="str">
        <f aca="false">'Source Data'!B610</f>
        <v>Finance: Asset Management</v>
      </c>
      <c r="C613" s="6" t="n">
        <f aca="false">'Source Data'!C610</f>
        <v>8</v>
      </c>
      <c r="D613" s="6" t="n">
        <f aca="false">'Source Data'!E610</f>
        <v>0</v>
      </c>
      <c r="E613" s="6" t="n">
        <f aca="false">IFERROR(N(C613)-N(D613),"")</f>
        <v>8</v>
      </c>
      <c r="F613" s="7" t="str">
        <f aca="false">IF(E613&gt;0,"Yes",IF(E613&lt;0,"No (Paternity higher)","Equal"))</f>
        <v>Yes</v>
      </c>
    </row>
    <row r="614" customFormat="false" ht="15" hidden="false" customHeight="false" outlineLevel="0" collapsed="false">
      <c r="A614" s="5" t="str">
        <f aca="false">'Source Data'!A611</f>
        <v>Gemini Trust Company</v>
      </c>
      <c r="B614" s="5" t="str">
        <f aca="false">'Source Data'!B611</f>
        <v>Finance: Asset Management</v>
      </c>
      <c r="C614" s="6" t="n">
        <f aca="false">'Source Data'!C611</f>
        <v>18</v>
      </c>
      <c r="D614" s="6" t="n">
        <f aca="false">'Source Data'!E611</f>
        <v>0</v>
      </c>
      <c r="E614" s="6" t="n">
        <f aca="false">IFERROR(N(C614)-N(D614),"")</f>
        <v>18</v>
      </c>
      <c r="F614" s="7" t="str">
        <f aca="false">IF(E614&gt;0,"Yes",IF(E614&lt;0,"No (Paternity higher)","Equal"))</f>
        <v>Yes</v>
      </c>
    </row>
    <row r="615" customFormat="false" ht="15" hidden="false" customHeight="false" outlineLevel="0" collapsed="false">
      <c r="A615" s="5" t="str">
        <f aca="false">'Source Data'!A612</f>
        <v>Golub Capital</v>
      </c>
      <c r="B615" s="5" t="str">
        <f aca="false">'Source Data'!B612</f>
        <v>Finance: Asset Management</v>
      </c>
      <c r="C615" s="6" t="n">
        <f aca="false">'Source Data'!C612</f>
        <v>3</v>
      </c>
      <c r="D615" s="6" t="n">
        <f aca="false">'Source Data'!E612</f>
        <v>0</v>
      </c>
      <c r="E615" s="6" t="n">
        <f aca="false">IFERROR(N(C615)-N(D615),"")</f>
        <v>3</v>
      </c>
      <c r="F615" s="7" t="str">
        <f aca="false">IF(E615&gt;0,"Yes",IF(E615&lt;0,"No (Paternity higher)","Equal"))</f>
        <v>Yes</v>
      </c>
    </row>
    <row r="616" customFormat="false" ht="15" hidden="false" customHeight="false" outlineLevel="0" collapsed="false">
      <c r="A616" s="5" t="str">
        <f aca="false">'Source Data'!A613</f>
        <v>Invesco</v>
      </c>
      <c r="B616" s="5" t="str">
        <f aca="false">'Source Data'!B613</f>
        <v>Finance: Asset Management</v>
      </c>
      <c r="C616" s="6" t="n">
        <f aca="false">'Source Data'!C613</f>
        <v>12</v>
      </c>
      <c r="D616" s="6" t="n">
        <f aca="false">'Source Data'!E613</f>
        <v>0</v>
      </c>
      <c r="E616" s="6" t="n">
        <f aca="false">IFERROR(N(C616)-N(D616),"")</f>
        <v>12</v>
      </c>
      <c r="F616" s="7" t="str">
        <f aca="false">IF(E616&gt;0,"Yes",IF(E616&lt;0,"No (Paternity higher)","Equal"))</f>
        <v>Yes</v>
      </c>
    </row>
    <row r="617" customFormat="false" ht="15" hidden="false" customHeight="false" outlineLevel="0" collapsed="false">
      <c r="A617" s="5" t="str">
        <f aca="false">'Source Data'!A614</f>
        <v>North Star Resource Group</v>
      </c>
      <c r="B617" s="5" t="str">
        <f aca="false">'Source Data'!B614</f>
        <v>Finance: Asset Management</v>
      </c>
      <c r="C617" s="6" t="n">
        <f aca="false">'Source Data'!C614</f>
        <v>6</v>
      </c>
      <c r="D617" s="6" t="n">
        <f aca="false">'Source Data'!E614</f>
        <v>0</v>
      </c>
      <c r="E617" s="6" t="n">
        <f aca="false">IFERROR(N(C617)-N(D617),"")</f>
        <v>6</v>
      </c>
      <c r="F617" s="7" t="str">
        <f aca="false">IF(E617&gt;0,"Yes",IF(E617&lt;0,"No (Paternity higher)","Equal"))</f>
        <v>Yes</v>
      </c>
    </row>
    <row r="618" customFormat="false" ht="15" hidden="false" customHeight="false" outlineLevel="0" collapsed="false">
      <c r="A618" s="5" t="str">
        <f aca="false">'Source Data'!A615</f>
        <v>The StepStone Group LP</v>
      </c>
      <c r="B618" s="5" t="str">
        <f aca="false">'Source Data'!B615</f>
        <v>Finance: Asset Management</v>
      </c>
      <c r="C618" s="6" t="n">
        <f aca="false">'Source Data'!C615</f>
        <v>16</v>
      </c>
      <c r="D618" s="6" t="n">
        <f aca="false">'Source Data'!E615</f>
        <v>0</v>
      </c>
      <c r="E618" s="6" t="n">
        <f aca="false">IFERROR(N(C618)-N(D618),"")</f>
        <v>16</v>
      </c>
      <c r="F618" s="7" t="str">
        <f aca="false">IF(E618&gt;0,"Yes",IF(E618&lt;0,"No (Paternity higher)","Equal"))</f>
        <v>Yes</v>
      </c>
    </row>
    <row r="619" customFormat="false" ht="15" hidden="false" customHeight="false" outlineLevel="0" collapsed="false">
      <c r="A619" s="5" t="str">
        <f aca="false">'Source Data'!A616</f>
        <v>TIAA</v>
      </c>
      <c r="B619" s="5" t="str">
        <f aca="false">'Source Data'!B616</f>
        <v>Finance: Asset Management</v>
      </c>
      <c r="C619" s="6" t="n">
        <f aca="false">'Source Data'!C616</f>
        <v>16</v>
      </c>
      <c r="D619" s="6" t="n">
        <f aca="false">'Source Data'!E616</f>
        <v>0</v>
      </c>
      <c r="E619" s="6" t="n">
        <f aca="false">IFERROR(N(C619)-N(D619),"")</f>
        <v>16</v>
      </c>
      <c r="F619" s="7" t="str">
        <f aca="false">IF(E619&gt;0,"Yes",IF(E619&lt;0,"No (Paternity higher)","Equal"))</f>
        <v>Yes</v>
      </c>
    </row>
    <row r="620" customFormat="false" ht="15" hidden="false" customHeight="false" outlineLevel="0" collapsed="false">
      <c r="A620" s="5" t="str">
        <f aca="false">'Source Data'!A617</f>
        <v>TPG Capital</v>
      </c>
      <c r="B620" s="5" t="str">
        <f aca="false">'Source Data'!B617</f>
        <v>Finance: Asset Management</v>
      </c>
      <c r="C620" s="6" t="n">
        <f aca="false">'Source Data'!C617</f>
        <v>16</v>
      </c>
      <c r="D620" s="6" t="n">
        <f aca="false">'Source Data'!E617</f>
        <v>0</v>
      </c>
      <c r="E620" s="6" t="n">
        <f aca="false">IFERROR(N(C620)-N(D620),"")</f>
        <v>16</v>
      </c>
      <c r="F620" s="7" t="str">
        <f aca="false">IF(E620&gt;0,"Yes",IF(E620&lt;0,"No (Paternity higher)","Equal"))</f>
        <v>Yes</v>
      </c>
    </row>
    <row r="621" customFormat="false" ht="15" hidden="false" customHeight="false" outlineLevel="0" collapsed="false">
      <c r="A621" s="5" t="str">
        <f aca="false">'Source Data'!A618</f>
        <v>Trinity Lifetime</v>
      </c>
      <c r="B621" s="5" t="str">
        <f aca="false">'Source Data'!B618</f>
        <v>Finance: Asset Management</v>
      </c>
      <c r="C621" s="6" t="n">
        <f aca="false">'Source Data'!C618</f>
        <v>39</v>
      </c>
      <c r="D621" s="6" t="n">
        <f aca="false">'Source Data'!E618</f>
        <v>0</v>
      </c>
      <c r="E621" s="6" t="n">
        <f aca="false">IFERROR(N(C621)-N(D621),"")</f>
        <v>39</v>
      </c>
      <c r="F621" s="7" t="str">
        <f aca="false">IF(E621&gt;0,"Yes",IF(E621&lt;0,"No (Paternity higher)","Equal"))</f>
        <v>Yes</v>
      </c>
    </row>
    <row r="622" customFormat="false" ht="15" hidden="false" customHeight="false" outlineLevel="0" collapsed="false">
      <c r="A622" s="5" t="str">
        <f aca="false">'Source Data'!A619</f>
        <v>Vanguard Group</v>
      </c>
      <c r="B622" s="5" t="str">
        <f aca="false">'Source Data'!B619</f>
        <v>Finance: Asset Management</v>
      </c>
      <c r="C622" s="6" t="n">
        <f aca="false">'Source Data'!C619</f>
        <v>10</v>
      </c>
      <c r="D622" s="6" t="n">
        <f aca="false">'Source Data'!E619</f>
        <v>0</v>
      </c>
      <c r="E622" s="6" t="n">
        <f aca="false">IFERROR(N(C622)-N(D622),"")</f>
        <v>10</v>
      </c>
      <c r="F622" s="7" t="str">
        <f aca="false">IF(E622&gt;0,"Yes",IF(E622&lt;0,"No (Paternity higher)","Equal"))</f>
        <v>Yes</v>
      </c>
    </row>
    <row r="623" customFormat="false" ht="15" hidden="false" customHeight="false" outlineLevel="0" collapsed="false">
      <c r="A623" s="5" t="str">
        <f aca="false">'Source Data'!A620</f>
        <v>American Express</v>
      </c>
      <c r="B623" s="5" t="str">
        <f aca="false">'Source Data'!B620</f>
        <v>Finance: Credit &amp; Fund Services</v>
      </c>
      <c r="C623" s="6" t="n">
        <f aca="false">'Source Data'!C620</f>
        <v>20</v>
      </c>
      <c r="D623" s="6" t="n">
        <f aca="false">'Source Data'!E620</f>
        <v>0</v>
      </c>
      <c r="E623" s="6" t="n">
        <f aca="false">IFERROR(N(C623)-N(D623),"")</f>
        <v>20</v>
      </c>
      <c r="F623" s="7" t="str">
        <f aca="false">IF(E623&gt;0,"Yes",IF(E623&lt;0,"No (Paternity higher)","Equal"))</f>
        <v>Yes</v>
      </c>
    </row>
    <row r="624" customFormat="false" ht="15" hidden="false" customHeight="false" outlineLevel="0" collapsed="false">
      <c r="A624" s="5" t="str">
        <f aca="false">'Source Data'!A621</f>
        <v>American Honda Finance Corp</v>
      </c>
      <c r="B624" s="5" t="str">
        <f aca="false">'Source Data'!B621</f>
        <v>Finance: Credit &amp; Fund Services</v>
      </c>
      <c r="C624" s="6" t="n">
        <f aca="false">'Source Data'!C621</f>
        <v>12</v>
      </c>
      <c r="D624" s="6" t="n">
        <f aca="false">'Source Data'!E621</f>
        <v>0</v>
      </c>
      <c r="E624" s="6" t="n">
        <f aca="false">IFERROR(N(C624)-N(D624),"")</f>
        <v>12</v>
      </c>
      <c r="F624" s="7" t="str">
        <f aca="false">IF(E624&gt;0,"Yes",IF(E624&lt;0,"No (Paternity higher)","Equal"))</f>
        <v>Yes</v>
      </c>
    </row>
    <row r="625" customFormat="false" ht="15" hidden="false" customHeight="false" outlineLevel="0" collapsed="false">
      <c r="A625" s="5" t="str">
        <f aca="false">'Source Data'!A622</f>
        <v>Navy Federal Credit Union</v>
      </c>
      <c r="B625" s="5" t="str">
        <f aca="false">'Source Data'!B622</f>
        <v>Finance: Credit Unions</v>
      </c>
      <c r="C625" s="6" t="n">
        <f aca="false">'Source Data'!C622</f>
        <v>16</v>
      </c>
      <c r="D625" s="6" t="n">
        <f aca="false">'Source Data'!E622</f>
        <v>0</v>
      </c>
      <c r="E625" s="6" t="n">
        <f aca="false">IFERROR(N(C625)-N(D625),"")</f>
        <v>16</v>
      </c>
      <c r="F625" s="7" t="str">
        <f aca="false">IF(E625&gt;0,"Yes",IF(E625&lt;0,"No (Paternity higher)","Equal"))</f>
        <v>Yes</v>
      </c>
    </row>
    <row r="626" customFormat="false" ht="15" hidden="false" customHeight="false" outlineLevel="0" collapsed="false">
      <c r="A626" s="5" t="str">
        <f aca="false">'Source Data'!A623</f>
        <v>Achieve</v>
      </c>
      <c r="B626" s="5" t="str">
        <f aca="false">'Source Data'!B623</f>
        <v>Finance: Diversified</v>
      </c>
      <c r="C626" s="6" t="n">
        <f aca="false">'Source Data'!C623</f>
        <v>4</v>
      </c>
      <c r="D626" s="6" t="n">
        <f aca="false">'Source Data'!E623</f>
        <v>0</v>
      </c>
      <c r="E626" s="6" t="n">
        <f aca="false">IFERROR(N(C626)-N(D626),"")</f>
        <v>4</v>
      </c>
      <c r="F626" s="7" t="str">
        <f aca="false">IF(E626&gt;0,"Yes",IF(E626&lt;0,"No (Paternity higher)","Equal"))</f>
        <v>Yes</v>
      </c>
    </row>
    <row r="627" customFormat="false" ht="15" hidden="false" customHeight="false" outlineLevel="0" collapsed="false">
      <c r="A627" s="5" t="str">
        <f aca="false">'Source Data'!A624</f>
        <v>Andrew Davidson &amp; Co</v>
      </c>
      <c r="B627" s="5" t="str">
        <f aca="false">'Source Data'!B624</f>
        <v>Finance: Diversified</v>
      </c>
      <c r="C627" s="6" t="n">
        <f aca="false">'Source Data'!C624</f>
        <v>12</v>
      </c>
      <c r="D627" s="6" t="n">
        <f aca="false">'Source Data'!E624</f>
        <v>0</v>
      </c>
      <c r="E627" s="6" t="n">
        <f aca="false">IFERROR(N(C627)-N(D627),"")</f>
        <v>12</v>
      </c>
      <c r="F627" s="7" t="str">
        <f aca="false">IF(E627&gt;0,"Yes",IF(E627&lt;0,"No (Paternity higher)","Equal"))</f>
        <v>Yes</v>
      </c>
    </row>
    <row r="628" customFormat="false" ht="15" hidden="false" customHeight="false" outlineLevel="0" collapsed="false">
      <c r="A628" s="5" t="str">
        <f aca="false">'Source Data'!A625</f>
        <v>ASB Bank</v>
      </c>
      <c r="B628" s="5" t="str">
        <f aca="false">'Source Data'!B625</f>
        <v>Finance: Diversified</v>
      </c>
      <c r="C628" s="6" t="n">
        <f aca="false">'Source Data'!C625</f>
        <v>26</v>
      </c>
      <c r="D628" s="6" t="n">
        <f aca="false">'Source Data'!E625</f>
        <v>0</v>
      </c>
      <c r="E628" s="6" t="n">
        <f aca="false">IFERROR(N(C628)-N(D628),"")</f>
        <v>26</v>
      </c>
      <c r="F628" s="7" t="str">
        <f aca="false">IF(E628&gt;0,"Yes",IF(E628&lt;0,"No (Paternity higher)","Equal"))</f>
        <v>Yes</v>
      </c>
    </row>
    <row r="629" customFormat="false" ht="15" hidden="false" customHeight="false" outlineLevel="0" collapsed="false">
      <c r="A629" s="5" t="str">
        <f aca="false">'Source Data'!A626</f>
        <v>Bank of America</v>
      </c>
      <c r="B629" s="5" t="str">
        <f aca="false">'Source Data'!B626</f>
        <v>Finance: Diversified</v>
      </c>
      <c r="C629" s="6" t="n">
        <f aca="false">'Source Data'!C626</f>
        <v>16</v>
      </c>
      <c r="D629" s="6" t="n">
        <f aca="false">'Source Data'!E626</f>
        <v>0</v>
      </c>
      <c r="E629" s="6" t="n">
        <f aca="false">IFERROR(N(C629)-N(D629),"")</f>
        <v>16</v>
      </c>
      <c r="F629" s="7" t="str">
        <f aca="false">IF(E629&gt;0,"Yes",IF(E629&lt;0,"No (Paternity higher)","Equal"))</f>
        <v>Yes</v>
      </c>
    </row>
    <row r="630" customFormat="false" ht="15" hidden="false" customHeight="false" outlineLevel="0" collapsed="false">
      <c r="A630" s="5" t="str">
        <f aca="false">'Source Data'!A627</f>
        <v>BB&amp;T Corporation</v>
      </c>
      <c r="B630" s="5" t="str">
        <f aca="false">'Source Data'!B627</f>
        <v>Finance: Diversified</v>
      </c>
      <c r="C630" s="6" t="n">
        <f aca="false">'Source Data'!C627</f>
        <v>6</v>
      </c>
      <c r="D630" s="6" t="n">
        <f aca="false">'Source Data'!E627</f>
        <v>0</v>
      </c>
      <c r="E630" s="6" t="n">
        <f aca="false">IFERROR(N(C630)-N(D630),"")</f>
        <v>6</v>
      </c>
      <c r="F630" s="7" t="str">
        <f aca="false">IF(E630&gt;0,"Yes",IF(E630&lt;0,"No (Paternity higher)","Equal"))</f>
        <v>Yes</v>
      </c>
    </row>
    <row r="631" customFormat="false" ht="15" hidden="false" customHeight="false" outlineLevel="0" collapsed="false">
      <c r="A631" s="5" t="str">
        <f aca="false">'Source Data'!A628</f>
        <v>BBVA</v>
      </c>
      <c r="B631" s="5" t="str">
        <f aca="false">'Source Data'!B628</f>
        <v>Finance: Diversified</v>
      </c>
      <c r="C631" s="6" t="n">
        <f aca="false">'Source Data'!C628</f>
        <v>12</v>
      </c>
      <c r="D631" s="6" t="n">
        <f aca="false">'Source Data'!E628</f>
        <v>0</v>
      </c>
      <c r="E631" s="6" t="n">
        <f aca="false">IFERROR(N(C631)-N(D631),"")</f>
        <v>12</v>
      </c>
      <c r="F631" s="7" t="str">
        <f aca="false">IF(E631&gt;0,"Yes",IF(E631&lt;0,"No (Paternity higher)","Equal"))</f>
        <v>Yes</v>
      </c>
    </row>
    <row r="632" customFormat="false" ht="15" hidden="false" customHeight="false" outlineLevel="0" collapsed="false">
      <c r="A632" s="5" t="str">
        <f aca="false">'Source Data'!A629</f>
        <v>BNP Paribas</v>
      </c>
      <c r="B632" s="5" t="str">
        <f aca="false">'Source Data'!B629</f>
        <v>Finance: Diversified</v>
      </c>
      <c r="C632" s="6" t="n">
        <f aca="false">'Source Data'!C629</f>
        <v>16</v>
      </c>
      <c r="D632" s="6" t="n">
        <f aca="false">'Source Data'!E629</f>
        <v>0</v>
      </c>
      <c r="E632" s="6" t="n">
        <f aca="false">IFERROR(N(C632)-N(D632),"")</f>
        <v>16</v>
      </c>
      <c r="F632" s="7" t="str">
        <f aca="false">IF(E632&gt;0,"Yes",IF(E632&lt;0,"No (Paternity higher)","Equal"))</f>
        <v>Yes</v>
      </c>
    </row>
    <row r="633" customFormat="false" ht="15" hidden="false" customHeight="false" outlineLevel="0" collapsed="false">
      <c r="A633" s="5" t="str">
        <f aca="false">'Source Data'!A630</f>
        <v>Capital One</v>
      </c>
      <c r="B633" s="5" t="str">
        <f aca="false">'Source Data'!B630</f>
        <v>Finance: Diversified</v>
      </c>
      <c r="C633" s="6" t="n">
        <f aca="false">'Source Data'!C630</f>
        <v>18</v>
      </c>
      <c r="D633" s="6" t="n">
        <f aca="false">'Source Data'!E630</f>
        <v>0</v>
      </c>
      <c r="E633" s="6" t="n">
        <f aca="false">IFERROR(N(C633)-N(D633),"")</f>
        <v>18</v>
      </c>
      <c r="F633" s="7" t="str">
        <f aca="false">IF(E633&gt;0,"Yes",IF(E633&lt;0,"No (Paternity higher)","Equal"))</f>
        <v>Yes</v>
      </c>
    </row>
    <row r="634" customFormat="false" ht="15" hidden="false" customHeight="false" outlineLevel="0" collapsed="false">
      <c r="A634" s="5" t="str">
        <f aca="false">'Source Data'!A631</f>
        <v>CAPTRUST</v>
      </c>
      <c r="B634" s="5" t="str">
        <f aca="false">'Source Data'!B631</f>
        <v>Finance: Diversified</v>
      </c>
      <c r="C634" s="6" t="n">
        <f aca="false">'Source Data'!C631</f>
        <v>2</v>
      </c>
      <c r="D634" s="6" t="n">
        <f aca="false">'Source Data'!E631</f>
        <v>0</v>
      </c>
      <c r="E634" s="6" t="n">
        <f aca="false">IFERROR(N(C634)-N(D634),"")</f>
        <v>2</v>
      </c>
      <c r="F634" s="7" t="str">
        <f aca="false">IF(E634&gt;0,"Yes",IF(E634&lt;0,"No (Paternity higher)","Equal"))</f>
        <v>Yes</v>
      </c>
    </row>
    <row r="635" customFormat="false" ht="15" hidden="false" customHeight="false" outlineLevel="0" collapsed="false">
      <c r="A635" s="5" t="str">
        <f aca="false">'Source Data'!A632</f>
        <v>CME Group</v>
      </c>
      <c r="B635" s="5" t="str">
        <f aca="false">'Source Data'!B632</f>
        <v>Finance: Diversified</v>
      </c>
      <c r="C635" s="6" t="n">
        <f aca="false">'Source Data'!C632</f>
        <v>12</v>
      </c>
      <c r="D635" s="6" t="n">
        <f aca="false">'Source Data'!E632</f>
        <v>4</v>
      </c>
      <c r="E635" s="6" t="n">
        <f aca="false">IFERROR(N(C635)-N(D635),"")</f>
        <v>8</v>
      </c>
      <c r="F635" s="7" t="str">
        <f aca="false">IF(E635&gt;0,"Yes",IF(E635&lt;0,"No (Paternity higher)","Equal"))</f>
        <v>Yes</v>
      </c>
    </row>
    <row r="636" customFormat="false" ht="15" hidden="false" customHeight="false" outlineLevel="0" collapsed="false">
      <c r="A636" s="5" t="str">
        <f aca="false">'Source Data'!A633</f>
        <v>Computershare</v>
      </c>
      <c r="B636" s="5" t="str">
        <f aca="false">'Source Data'!B633</f>
        <v>Finance: Diversified</v>
      </c>
      <c r="C636" s="6" t="n">
        <f aca="false">'Source Data'!C633</f>
        <v>7</v>
      </c>
      <c r="D636" s="6" t="n">
        <f aca="false">'Source Data'!E633</f>
        <v>0</v>
      </c>
      <c r="E636" s="6" t="n">
        <f aca="false">IFERROR(N(C636)-N(D636),"")</f>
        <v>7</v>
      </c>
      <c r="F636" s="7" t="str">
        <f aca="false">IF(E636&gt;0,"Yes",IF(E636&lt;0,"No (Paternity higher)","Equal"))</f>
        <v>Yes</v>
      </c>
    </row>
    <row r="637" customFormat="false" ht="15" hidden="false" customHeight="false" outlineLevel="0" collapsed="false">
      <c r="A637" s="5" t="str">
        <f aca="false">'Source Data'!A634</f>
        <v>Credit Suisse</v>
      </c>
      <c r="B637" s="5" t="str">
        <f aca="false">'Source Data'!B634</f>
        <v>Finance: Diversified</v>
      </c>
      <c r="C637" s="6" t="n">
        <f aca="false">'Source Data'!C634</f>
        <v>20</v>
      </c>
      <c r="D637" s="6" t="n">
        <f aca="false">'Source Data'!E634</f>
        <v>0</v>
      </c>
      <c r="E637" s="6" t="n">
        <f aca="false">IFERROR(N(C637)-N(D637),"")</f>
        <v>20</v>
      </c>
      <c r="F637" s="7" t="str">
        <f aca="false">IF(E637&gt;0,"Yes",IF(E637&lt;0,"No (Paternity higher)","Equal"))</f>
        <v>Yes</v>
      </c>
    </row>
    <row r="638" customFormat="false" ht="15" hidden="false" customHeight="false" outlineLevel="0" collapsed="false">
      <c r="A638" s="5" t="str">
        <f aca="false">'Source Data'!A635</f>
        <v>Digistream Investigations</v>
      </c>
      <c r="B638" s="5" t="str">
        <f aca="false">'Source Data'!B635</f>
        <v>Finance: Diversified</v>
      </c>
      <c r="C638" s="6" t="n">
        <f aca="false">'Source Data'!C635</f>
        <v>12</v>
      </c>
      <c r="D638" s="6" t="n">
        <f aca="false">'Source Data'!E635</f>
        <v>0</v>
      </c>
      <c r="E638" s="6" t="n">
        <f aca="false">IFERROR(N(C638)-N(D638),"")</f>
        <v>12</v>
      </c>
      <c r="F638" s="7" t="str">
        <f aca="false">IF(E638&gt;0,"Yes",IF(E638&lt;0,"No (Paternity higher)","Equal"))</f>
        <v>Yes</v>
      </c>
    </row>
    <row r="639" customFormat="false" ht="15" hidden="false" customHeight="false" outlineLevel="0" collapsed="false">
      <c r="A639" s="5" t="str">
        <f aca="false">'Source Data'!A636</f>
        <v>Edward Jones</v>
      </c>
      <c r="B639" s="5" t="str">
        <f aca="false">'Source Data'!B636</f>
        <v>Finance: Diversified</v>
      </c>
      <c r="C639" s="6" t="n">
        <f aca="false">'Source Data'!C636</f>
        <v>16</v>
      </c>
      <c r="D639" s="6" t="n">
        <f aca="false">'Source Data'!E636</f>
        <v>0</v>
      </c>
      <c r="E639" s="6" t="n">
        <f aca="false">IFERROR(N(C639)-N(D639),"")</f>
        <v>16</v>
      </c>
      <c r="F639" s="7" t="str">
        <f aca="false">IF(E639&gt;0,"Yes",IF(E639&lt;0,"No (Paternity higher)","Equal"))</f>
        <v>Yes</v>
      </c>
    </row>
    <row r="640" customFormat="false" ht="15" hidden="false" customHeight="false" outlineLevel="0" collapsed="false">
      <c r="A640" s="5" t="str">
        <f aca="false">'Source Data'!A637</f>
        <v>Fidelity Investments</v>
      </c>
      <c r="B640" s="5" t="str">
        <f aca="false">'Source Data'!B637</f>
        <v>Finance: Diversified</v>
      </c>
      <c r="C640" s="6" t="n">
        <f aca="false">'Source Data'!C637</f>
        <v>15</v>
      </c>
      <c r="D640" s="6" t="n">
        <f aca="false">'Source Data'!E637</f>
        <v>0</v>
      </c>
      <c r="E640" s="6" t="n">
        <f aca="false">IFERROR(N(C640)-N(D640),"")</f>
        <v>15</v>
      </c>
      <c r="F640" s="7" t="str">
        <f aca="false">IF(E640&gt;0,"Yes",IF(E640&lt;0,"No (Paternity higher)","Equal"))</f>
        <v>Yes</v>
      </c>
    </row>
    <row r="641" customFormat="false" ht="15" hidden="false" customHeight="false" outlineLevel="0" collapsed="false">
      <c r="A641" s="5" t="str">
        <f aca="false">'Source Data'!A638</f>
        <v>First Citizens Bank</v>
      </c>
      <c r="B641" s="5" t="str">
        <f aca="false">'Source Data'!B638</f>
        <v>Finance: Diversified</v>
      </c>
      <c r="C641" s="6" t="n">
        <f aca="false">'Source Data'!C638</f>
        <v>4</v>
      </c>
      <c r="D641" s="6" t="n">
        <f aca="false">'Source Data'!E638</f>
        <v>0</v>
      </c>
      <c r="E641" s="6" t="n">
        <f aca="false">IFERROR(N(C641)-N(D641),"")</f>
        <v>4</v>
      </c>
      <c r="F641" s="7" t="str">
        <f aca="false">IF(E641&gt;0,"Yes",IF(E641&lt;0,"No (Paternity higher)","Equal"))</f>
        <v>Yes</v>
      </c>
    </row>
    <row r="642" customFormat="false" ht="15" hidden="false" customHeight="false" outlineLevel="0" collapsed="false">
      <c r="A642" s="5" t="str">
        <f aca="false">'Source Data'!A639</f>
        <v>Geller &amp; Company</v>
      </c>
      <c r="B642" s="5" t="str">
        <f aca="false">'Source Data'!B639</f>
        <v>Finance: Diversified</v>
      </c>
      <c r="C642" s="6" t="n">
        <f aca="false">'Source Data'!C639</f>
        <v>12</v>
      </c>
      <c r="D642" s="6" t="n">
        <f aca="false">'Source Data'!E639</f>
        <v>0</v>
      </c>
      <c r="E642" s="6" t="n">
        <f aca="false">IFERROR(N(C642)-N(D642),"")</f>
        <v>12</v>
      </c>
      <c r="F642" s="7" t="str">
        <f aca="false">IF(E642&gt;0,"Yes",IF(E642&lt;0,"No (Paternity higher)","Equal"))</f>
        <v>Yes</v>
      </c>
    </row>
    <row r="643" customFormat="false" ht="15" hidden="false" customHeight="false" outlineLevel="0" collapsed="false">
      <c r="A643" s="5" t="str">
        <f aca="false">'Source Data'!A640</f>
        <v>HSBC</v>
      </c>
      <c r="B643" s="5" t="str">
        <f aca="false">'Source Data'!B640</f>
        <v>Finance: Diversified</v>
      </c>
      <c r="C643" s="6" t="n">
        <f aca="false">'Source Data'!C640</f>
        <v>19</v>
      </c>
      <c r="D643" s="6" t="n">
        <f aca="false">'Source Data'!E640</f>
        <v>0</v>
      </c>
      <c r="E643" s="6" t="n">
        <f aca="false">IFERROR(N(C643)-N(D643),"")</f>
        <v>19</v>
      </c>
      <c r="F643" s="7" t="str">
        <f aca="false">IF(E643&gt;0,"Yes",IF(E643&lt;0,"No (Paternity higher)","Equal"))</f>
        <v>Yes</v>
      </c>
    </row>
    <row r="644" customFormat="false" ht="15" hidden="false" customHeight="false" outlineLevel="0" collapsed="false">
      <c r="A644" s="5" t="str">
        <f aca="false">'Source Data'!A641</f>
        <v>JMP Group LLC</v>
      </c>
      <c r="B644" s="5" t="str">
        <f aca="false">'Source Data'!B641</f>
        <v>Finance: Diversified</v>
      </c>
      <c r="C644" s="6" t="n">
        <f aca="false">'Source Data'!C641</f>
        <v>12</v>
      </c>
      <c r="D644" s="6" t="n">
        <f aca="false">'Source Data'!E641</f>
        <v>0</v>
      </c>
      <c r="E644" s="6" t="n">
        <f aca="false">IFERROR(N(C644)-N(D644),"")</f>
        <v>12</v>
      </c>
      <c r="F644" s="7" t="str">
        <f aca="false">IF(E644&gt;0,"Yes",IF(E644&lt;0,"No (Paternity higher)","Equal"))</f>
        <v>Yes</v>
      </c>
    </row>
    <row r="645" customFormat="false" ht="15" hidden="false" customHeight="false" outlineLevel="0" collapsed="false">
      <c r="A645" s="5" t="str">
        <f aca="false">'Source Data'!A642</f>
        <v>JPMorgan Chase</v>
      </c>
      <c r="B645" s="5" t="str">
        <f aca="false">'Source Data'!B642</f>
        <v>Finance: Diversified</v>
      </c>
      <c r="C645" s="6" t="n">
        <f aca="false">'Source Data'!C642</f>
        <v>12.5</v>
      </c>
      <c r="D645" s="6" t="n">
        <f aca="false">'Source Data'!E642</f>
        <v>0</v>
      </c>
      <c r="E645" s="6" t="n">
        <f aca="false">IFERROR(N(C645)-N(D645),"")</f>
        <v>12.5</v>
      </c>
      <c r="F645" s="7" t="str">
        <f aca="false">IF(E645&gt;0,"Yes",IF(E645&lt;0,"No (Paternity higher)","Equal"))</f>
        <v>Yes</v>
      </c>
    </row>
    <row r="646" customFormat="false" ht="15" hidden="false" customHeight="false" outlineLevel="0" collapsed="false">
      <c r="A646" s="5" t="str">
        <f aca="false">'Source Data'!A643</f>
        <v>Kasasa by BancVue</v>
      </c>
      <c r="B646" s="5" t="str">
        <f aca="false">'Source Data'!B643</f>
        <v>Finance: Diversified</v>
      </c>
      <c r="C646" s="6" t="n">
        <f aca="false">'Source Data'!C643</f>
        <v>12</v>
      </c>
      <c r="D646" s="6" t="n">
        <f aca="false">'Source Data'!E643</f>
        <v>0</v>
      </c>
      <c r="E646" s="6" t="n">
        <f aca="false">IFERROR(N(C646)-N(D646),"")</f>
        <v>12</v>
      </c>
      <c r="F646" s="7" t="str">
        <f aca="false">IF(E646&gt;0,"Yes",IF(E646&lt;0,"No (Paternity higher)","Equal"))</f>
        <v>Yes</v>
      </c>
    </row>
    <row r="647" customFormat="false" ht="15" hidden="false" customHeight="false" outlineLevel="0" collapsed="false">
      <c r="A647" s="5" t="str">
        <f aca="false">'Source Data'!A644</f>
        <v>Lincoln Financial Group</v>
      </c>
      <c r="B647" s="5" t="str">
        <f aca="false">'Source Data'!B644</f>
        <v>Finance: Diversified</v>
      </c>
      <c r="C647" s="6" t="n">
        <f aca="false">'Source Data'!C644</f>
        <v>10</v>
      </c>
      <c r="D647" s="6" t="n">
        <f aca="false">'Source Data'!E644</f>
        <v>0</v>
      </c>
      <c r="E647" s="6" t="n">
        <f aca="false">IFERROR(N(C647)-N(D647),"")</f>
        <v>10</v>
      </c>
      <c r="F647" s="7" t="str">
        <f aca="false">IF(E647&gt;0,"Yes",IF(E647&lt;0,"No (Paternity higher)","Equal"))</f>
        <v>Yes</v>
      </c>
    </row>
    <row r="648" customFormat="false" ht="15" hidden="false" customHeight="false" outlineLevel="0" collapsed="false">
      <c r="A648" s="5" t="str">
        <f aca="false">'Source Data'!A645</f>
        <v>Marsh McLennan</v>
      </c>
      <c r="B648" s="5" t="str">
        <f aca="false">'Source Data'!B645</f>
        <v>Finance: Diversified</v>
      </c>
      <c r="C648" s="6" t="n">
        <f aca="false">'Source Data'!C645</f>
        <v>8.5</v>
      </c>
      <c r="D648" s="6" t="n">
        <f aca="false">'Source Data'!E645</f>
        <v>0</v>
      </c>
      <c r="E648" s="6" t="n">
        <f aca="false">IFERROR(N(C648)-N(D648),"")</f>
        <v>8.5</v>
      </c>
      <c r="F648" s="7" t="str">
        <f aca="false">IF(E648&gt;0,"Yes",IF(E648&lt;0,"No (Paternity higher)","Equal"))</f>
        <v>Yes</v>
      </c>
    </row>
    <row r="649" customFormat="false" ht="15" hidden="false" customHeight="false" outlineLevel="0" collapsed="false">
      <c r="A649" s="5" t="str">
        <f aca="false">'Source Data'!A646</f>
        <v>Morgan Stanley</v>
      </c>
      <c r="B649" s="5" t="str">
        <f aca="false">'Source Data'!B646</f>
        <v>Finance: Diversified</v>
      </c>
      <c r="C649" s="6" t="n">
        <f aca="false">'Source Data'!C646</f>
        <v>16</v>
      </c>
      <c r="D649" s="6" t="n">
        <f aca="false">'Source Data'!E646</f>
        <v>0</v>
      </c>
      <c r="E649" s="6" t="n">
        <f aca="false">IFERROR(N(C649)-N(D649),"")</f>
        <v>16</v>
      </c>
      <c r="F649" s="7" t="str">
        <f aca="false">IF(E649&gt;0,"Yes",IF(E649&lt;0,"No (Paternity higher)","Equal"))</f>
        <v>Yes</v>
      </c>
    </row>
    <row r="650" customFormat="false" ht="15" hidden="false" customHeight="false" outlineLevel="0" collapsed="false">
      <c r="A650" s="5" t="str">
        <f aca="false">'Source Data'!A647</f>
        <v>Nomura</v>
      </c>
      <c r="B650" s="5" t="str">
        <f aca="false">'Source Data'!B647</f>
        <v>Finance: Diversified</v>
      </c>
      <c r="C650" s="6" t="n">
        <f aca="false">'Source Data'!C647</f>
        <v>16</v>
      </c>
      <c r="D650" s="6" t="n">
        <f aca="false">'Source Data'!E647</f>
        <v>2</v>
      </c>
      <c r="E650" s="6" t="n">
        <f aca="false">IFERROR(N(C650)-N(D650),"")</f>
        <v>14</v>
      </c>
      <c r="F650" s="7" t="str">
        <f aca="false">IF(E650&gt;0,"Yes",IF(E650&lt;0,"No (Paternity higher)","Equal"))</f>
        <v>Yes</v>
      </c>
    </row>
    <row r="651" customFormat="false" ht="15" hidden="false" customHeight="false" outlineLevel="0" collapsed="false">
      <c r="A651" s="5" t="str">
        <f aca="false">'Source Data'!A648</f>
        <v>Scotiabank</v>
      </c>
      <c r="B651" s="5" t="str">
        <f aca="false">'Source Data'!B648</f>
        <v>Finance: Diversified</v>
      </c>
      <c r="C651" s="6" t="n">
        <f aca="false">'Source Data'!C648</f>
        <v>14</v>
      </c>
      <c r="D651" s="6" t="n">
        <f aca="false">'Source Data'!E648</f>
        <v>0</v>
      </c>
      <c r="E651" s="6" t="n">
        <f aca="false">IFERROR(N(C651)-N(D651),"")</f>
        <v>14</v>
      </c>
      <c r="F651" s="7" t="str">
        <f aca="false">IF(E651&gt;0,"Yes",IF(E651&lt;0,"No (Paternity higher)","Equal"))</f>
        <v>Yes</v>
      </c>
    </row>
    <row r="652" customFormat="false" ht="15" hidden="false" customHeight="false" outlineLevel="0" collapsed="false">
      <c r="A652" s="5" t="str">
        <f aca="false">'Source Data'!A649</f>
        <v>Securian Financial Group Inc.</v>
      </c>
      <c r="B652" s="5" t="str">
        <f aca="false">'Source Data'!B649</f>
        <v>Finance: Diversified</v>
      </c>
      <c r="C652" s="6" t="n">
        <f aca="false">'Source Data'!C649</f>
        <v>12</v>
      </c>
      <c r="D652" s="6" t="n">
        <f aca="false">'Source Data'!E649</f>
        <v>0</v>
      </c>
      <c r="E652" s="6" t="n">
        <f aca="false">IFERROR(N(C652)-N(D652),"")</f>
        <v>12</v>
      </c>
      <c r="F652" s="7" t="str">
        <f aca="false">IF(E652&gt;0,"Yes",IF(E652&lt;0,"No (Paternity higher)","Equal"))</f>
        <v>Yes</v>
      </c>
    </row>
    <row r="653" customFormat="false" ht="15" hidden="false" customHeight="false" outlineLevel="0" collapsed="false">
      <c r="A653" s="5" t="str">
        <f aca="false">'Source Data'!A650</f>
        <v>Standard Chartered</v>
      </c>
      <c r="B653" s="5" t="str">
        <f aca="false">'Source Data'!B650</f>
        <v>Finance: Diversified</v>
      </c>
      <c r="C653" s="6" t="n">
        <f aca="false">'Source Data'!C650</f>
        <v>20</v>
      </c>
      <c r="D653" s="6" t="n">
        <f aca="false">'Source Data'!E650</f>
        <v>2</v>
      </c>
      <c r="E653" s="6" t="n">
        <f aca="false">IFERROR(N(C653)-N(D653),"")</f>
        <v>18</v>
      </c>
      <c r="F653" s="7" t="str">
        <f aca="false">IF(E653&gt;0,"Yes",IF(E653&lt;0,"No (Paternity higher)","Equal"))</f>
        <v>Yes</v>
      </c>
    </row>
    <row r="654" customFormat="false" ht="15" hidden="false" customHeight="false" outlineLevel="0" collapsed="false">
      <c r="A654" s="5" t="str">
        <f aca="false">'Source Data'!A651</f>
        <v>State Street Corporation</v>
      </c>
      <c r="B654" s="5" t="str">
        <f aca="false">'Source Data'!B651</f>
        <v>Finance: Diversified</v>
      </c>
      <c r="C654" s="6" t="n">
        <f aca="false">'Source Data'!C651</f>
        <v>8</v>
      </c>
      <c r="D654" s="6" t="n">
        <f aca="false">'Source Data'!E651</f>
        <v>0</v>
      </c>
      <c r="E654" s="6" t="n">
        <f aca="false">IFERROR(N(C654)-N(D654),"")</f>
        <v>8</v>
      </c>
      <c r="F654" s="7" t="str">
        <f aca="false">IF(E654&gt;0,"Yes",IF(E654&lt;0,"No (Paternity higher)","Equal"))</f>
        <v>Yes</v>
      </c>
    </row>
    <row r="655" customFormat="false" ht="15" hidden="false" customHeight="false" outlineLevel="0" collapsed="false">
      <c r="A655" s="5" t="str">
        <f aca="false">'Source Data'!A652</f>
        <v>Stifel Nicolaus &amp; Co.</v>
      </c>
      <c r="B655" s="5" t="str">
        <f aca="false">'Source Data'!B652</f>
        <v>Finance: Diversified</v>
      </c>
      <c r="C655" s="6" t="n">
        <f aca="false">'Source Data'!C652</f>
        <v>16</v>
      </c>
      <c r="D655" s="6" t="n">
        <f aca="false">'Source Data'!E652</f>
        <v>8</v>
      </c>
      <c r="E655" s="6" t="n">
        <f aca="false">IFERROR(N(C655)-N(D655),"")</f>
        <v>8</v>
      </c>
      <c r="F655" s="7" t="str">
        <f aca="false">IF(E655&gt;0,"Yes",IF(E655&lt;0,"No (Paternity higher)","Equal"))</f>
        <v>Yes</v>
      </c>
    </row>
    <row r="656" customFormat="false" ht="15" hidden="false" customHeight="false" outlineLevel="0" collapsed="false">
      <c r="A656" s="5" t="str">
        <f aca="false">'Source Data'!A653</f>
        <v>USAA</v>
      </c>
      <c r="B656" s="5" t="str">
        <f aca="false">'Source Data'!B653</f>
        <v>Finance: Diversified</v>
      </c>
      <c r="C656" s="6" t="n">
        <f aca="false">'Source Data'!C653</f>
        <v>12</v>
      </c>
      <c r="D656" s="6" t="n">
        <f aca="false">'Source Data'!E653</f>
        <v>0</v>
      </c>
      <c r="E656" s="6" t="n">
        <f aca="false">IFERROR(N(C656)-N(D656),"")</f>
        <v>12</v>
      </c>
      <c r="F656" s="7" t="str">
        <f aca="false">IF(E656&gt;0,"Yes",IF(E656&lt;0,"No (Paternity higher)","Equal"))</f>
        <v>Yes</v>
      </c>
    </row>
    <row r="657" customFormat="false" ht="15" hidden="false" customHeight="false" outlineLevel="0" collapsed="false">
      <c r="A657" s="5" t="str">
        <f aca="false">'Source Data'!A654</f>
        <v>Northwestern Mutual Ð Corporate Careers</v>
      </c>
      <c r="B657" s="5" t="str">
        <f aca="false">'Source Data'!B654</f>
        <v>Finance: Life</v>
      </c>
      <c r="C657" s="6" t="n">
        <f aca="false">'Source Data'!C654</f>
        <v>12</v>
      </c>
      <c r="D657" s="6" t="n">
        <f aca="false">'Source Data'!E654</f>
        <v>0</v>
      </c>
      <c r="E657" s="6" t="n">
        <f aca="false">IFERROR(N(C657)-N(D657),"")</f>
        <v>12</v>
      </c>
      <c r="F657" s="7" t="str">
        <f aca="false">IF(E657&gt;0,"Yes",IF(E657&lt;0,"No (Paternity higher)","Equal"))</f>
        <v>Yes</v>
      </c>
    </row>
    <row r="658" customFormat="false" ht="15" hidden="false" customHeight="false" outlineLevel="0" collapsed="false">
      <c r="A658" s="5" t="str">
        <f aca="false">'Source Data'!A655</f>
        <v>Better Mortgage</v>
      </c>
      <c r="B658" s="5" t="str">
        <f aca="false">'Source Data'!B655</f>
        <v>Finance: Loans</v>
      </c>
      <c r="C658" s="6" t="n">
        <f aca="false">'Source Data'!C655</f>
        <v>16.5</v>
      </c>
      <c r="D658" s="6" t="n">
        <f aca="false">'Source Data'!E655</f>
        <v>0</v>
      </c>
      <c r="E658" s="6" t="n">
        <f aca="false">IFERROR(N(C658)-N(D658),"")</f>
        <v>16.5</v>
      </c>
      <c r="F658" s="7" t="str">
        <f aca="false">IF(E658&gt;0,"Yes",IF(E658&lt;0,"No (Paternity higher)","Equal"))</f>
        <v>Yes</v>
      </c>
    </row>
    <row r="659" customFormat="false" ht="15" hidden="false" customHeight="false" outlineLevel="0" collapsed="false">
      <c r="A659" s="5" t="str">
        <f aca="false">'Source Data'!A656</f>
        <v>OneMain Financial</v>
      </c>
      <c r="B659" s="5" t="str">
        <f aca="false">'Source Data'!B656</f>
        <v>Finance: Loans</v>
      </c>
      <c r="C659" s="6" t="n">
        <f aca="false">'Source Data'!C656</f>
        <v>8</v>
      </c>
      <c r="D659" s="6" t="n">
        <f aca="false">'Source Data'!E656</f>
        <v>0</v>
      </c>
      <c r="E659" s="6" t="n">
        <f aca="false">IFERROR(N(C659)-N(D659),"")</f>
        <v>8</v>
      </c>
      <c r="F659" s="7" t="str">
        <f aca="false">IF(E659&gt;0,"Yes",IF(E659&lt;0,"No (Paternity higher)","Equal"))</f>
        <v>Yes</v>
      </c>
    </row>
    <row r="660" customFormat="false" ht="15" hidden="false" customHeight="false" outlineLevel="0" collapsed="false">
      <c r="A660" s="5" t="str">
        <f aca="false">'Source Data'!A657</f>
        <v>Quicken Loans Inc.</v>
      </c>
      <c r="B660" s="5" t="str">
        <f aca="false">'Source Data'!B657</f>
        <v>Finance: Loans</v>
      </c>
      <c r="C660" s="6" t="n">
        <f aca="false">'Source Data'!C657</f>
        <v>6</v>
      </c>
      <c r="D660" s="6" t="n">
        <f aca="false">'Source Data'!E657</f>
        <v>0</v>
      </c>
      <c r="E660" s="6" t="n">
        <f aca="false">IFERROR(N(C660)-N(D660),"")</f>
        <v>6</v>
      </c>
      <c r="F660" s="7" t="str">
        <f aca="false">IF(E660&gt;0,"Yes",IF(E660&lt;0,"No (Paternity higher)","Equal"))</f>
        <v>Yes</v>
      </c>
    </row>
    <row r="661" customFormat="false" ht="15" hidden="false" customHeight="false" outlineLevel="0" collapsed="false">
      <c r="A661" s="5" t="str">
        <f aca="false">'Source Data'!A658</f>
        <v>Veterans United Home Loans</v>
      </c>
      <c r="B661" s="5" t="str">
        <f aca="false">'Source Data'!B658</f>
        <v>Finance: Loans</v>
      </c>
      <c r="C661" s="6" t="n">
        <f aca="false">'Source Data'!C658</f>
        <v>8</v>
      </c>
      <c r="D661" s="6" t="n">
        <f aca="false">'Source Data'!E658</f>
        <v>0</v>
      </c>
      <c r="E661" s="6" t="n">
        <f aca="false">IFERROR(N(C661)-N(D661),"")</f>
        <v>8</v>
      </c>
      <c r="F661" s="7" t="str">
        <f aca="false">IF(E661&gt;0,"Yes",IF(E661&lt;0,"No (Paternity higher)","Equal"))</f>
        <v>Yes</v>
      </c>
    </row>
    <row r="662" customFormat="false" ht="15" hidden="false" customHeight="false" outlineLevel="0" collapsed="false">
      <c r="A662" s="5" t="str">
        <f aca="false">'Source Data'!A659</f>
        <v>ANZ</v>
      </c>
      <c r="B662" s="5" t="str">
        <f aca="false">'Source Data'!B659</f>
        <v>Finance: Personal &amp; Commercial Banking</v>
      </c>
      <c r="C662" s="6" t="n">
        <f aca="false">'Source Data'!C659</f>
        <v>12</v>
      </c>
      <c r="D662" s="6" t="n">
        <f aca="false">'Source Data'!E659</f>
        <v>0</v>
      </c>
      <c r="E662" s="6" t="n">
        <f aca="false">IFERROR(N(C662)-N(D662),"")</f>
        <v>12</v>
      </c>
      <c r="F662" s="7" t="str">
        <f aca="false">IF(E662&gt;0,"Yes",IF(E662&lt;0,"No (Paternity higher)","Equal"))</f>
        <v>Yes</v>
      </c>
    </row>
    <row r="663" customFormat="false" ht="15" hidden="false" customHeight="false" outlineLevel="0" collapsed="false">
      <c r="A663" s="5" t="str">
        <f aca="false">'Source Data'!A660</f>
        <v>Bank of the West</v>
      </c>
      <c r="B663" s="5" t="str">
        <f aca="false">'Source Data'!B660</f>
        <v>Finance: Personal &amp; Commercial Banking</v>
      </c>
      <c r="C663" s="6" t="n">
        <f aca="false">'Source Data'!C660</f>
        <v>16</v>
      </c>
      <c r="D663" s="6" t="n">
        <f aca="false">'Source Data'!E660</f>
        <v>0</v>
      </c>
      <c r="E663" s="6" t="n">
        <f aca="false">IFERROR(N(C663)-N(D663),"")</f>
        <v>16</v>
      </c>
      <c r="F663" s="7" t="str">
        <f aca="false">IF(E663&gt;0,"Yes",IF(E663&lt;0,"No (Paternity higher)","Equal"))</f>
        <v>Yes</v>
      </c>
    </row>
    <row r="664" customFormat="false" ht="15" hidden="false" customHeight="false" outlineLevel="0" collapsed="false">
      <c r="A664" s="5" t="str">
        <f aca="false">'Source Data'!A661</f>
        <v>BMO Harris Bank</v>
      </c>
      <c r="B664" s="5" t="str">
        <f aca="false">'Source Data'!B661</f>
        <v>Finance: Personal &amp; Commercial Banking</v>
      </c>
      <c r="C664" s="6" t="n">
        <f aca="false">'Source Data'!C661</f>
        <v>12</v>
      </c>
      <c r="D664" s="6" t="n">
        <f aca="false">'Source Data'!E661</f>
        <v>0</v>
      </c>
      <c r="E664" s="6" t="n">
        <f aca="false">IFERROR(N(C664)-N(D664),"")</f>
        <v>12</v>
      </c>
      <c r="F664" s="7" t="str">
        <f aca="false">IF(E664&gt;0,"Yes",IF(E664&lt;0,"No (Paternity higher)","Equal"))</f>
        <v>Yes</v>
      </c>
    </row>
    <row r="665" customFormat="false" ht="15" hidden="false" customHeight="false" outlineLevel="0" collapsed="false">
      <c r="A665" s="5" t="str">
        <f aca="false">'Source Data'!A662</f>
        <v>CIT</v>
      </c>
      <c r="B665" s="5" t="str">
        <f aca="false">'Source Data'!B662</f>
        <v>Finance: Personal &amp; Commercial Banking</v>
      </c>
      <c r="C665" s="6" t="n">
        <f aca="false">'Source Data'!C662</f>
        <v>20</v>
      </c>
      <c r="D665" s="6" t="n">
        <f aca="false">'Source Data'!E662</f>
        <v>0</v>
      </c>
      <c r="E665" s="6" t="n">
        <f aca="false">IFERROR(N(C665)-N(D665),"")</f>
        <v>20</v>
      </c>
      <c r="F665" s="7" t="str">
        <f aca="false">IF(E665&gt;0,"Yes",IF(E665&lt;0,"No (Paternity higher)","Equal"))</f>
        <v>Yes</v>
      </c>
    </row>
    <row r="666" customFormat="false" ht="15" hidden="false" customHeight="false" outlineLevel="0" collapsed="false">
      <c r="A666" s="5" t="str">
        <f aca="false">'Source Data'!A663</f>
        <v>Citizens Bank</v>
      </c>
      <c r="B666" s="5" t="str">
        <f aca="false">'Source Data'!B663</f>
        <v>Finance: Personal &amp; Commercial Banking</v>
      </c>
      <c r="C666" s="6" t="n">
        <f aca="false">'Source Data'!C663</f>
        <v>12</v>
      </c>
      <c r="D666" s="6" t="n">
        <f aca="false">'Source Data'!E663</f>
        <v>0</v>
      </c>
      <c r="E666" s="6" t="n">
        <f aca="false">IFERROR(N(C666)-N(D666),"")</f>
        <v>12</v>
      </c>
      <c r="F666" s="7" t="str">
        <f aca="false">IF(E666&gt;0,"Yes",IF(E666&lt;0,"No (Paternity higher)","Equal"))</f>
        <v>Yes</v>
      </c>
    </row>
    <row r="667" customFormat="false" ht="15" hidden="false" customHeight="false" outlineLevel="0" collapsed="false">
      <c r="A667" s="5" t="str">
        <f aca="false">'Source Data'!A664</f>
        <v>Commonwealth Bank of Australia</v>
      </c>
      <c r="B667" s="5" t="str">
        <f aca="false">'Source Data'!B664</f>
        <v>Finance: Personal &amp; Commercial Banking</v>
      </c>
      <c r="C667" s="6" t="n">
        <f aca="false">'Source Data'!C664</f>
        <v>12</v>
      </c>
      <c r="D667" s="6" t="n">
        <f aca="false">'Source Data'!E664</f>
        <v>0</v>
      </c>
      <c r="E667" s="6" t="n">
        <f aca="false">IFERROR(N(C667)-N(D667),"")</f>
        <v>12</v>
      </c>
      <c r="F667" s="7" t="str">
        <f aca="false">IF(E667&gt;0,"Yes",IF(E667&lt;0,"No (Paternity higher)","Equal"))</f>
        <v>Yes</v>
      </c>
    </row>
    <row r="668" customFormat="false" ht="15" hidden="false" customHeight="false" outlineLevel="0" collapsed="false">
      <c r="A668" s="5" t="str">
        <f aca="false">'Source Data'!A665</f>
        <v>Federal Home Loan Bank Of New York</v>
      </c>
      <c r="B668" s="5" t="str">
        <f aca="false">'Source Data'!B665</f>
        <v>Finance: Personal &amp; Commercial Banking</v>
      </c>
      <c r="C668" s="6" t="n">
        <f aca="false">'Source Data'!C665</f>
        <v>12</v>
      </c>
      <c r="D668" s="6" t="n">
        <f aca="false">'Source Data'!E665</f>
        <v>0</v>
      </c>
      <c r="E668" s="6" t="n">
        <f aca="false">IFERROR(N(C668)-N(D668),"")</f>
        <v>12</v>
      </c>
      <c r="F668" s="7" t="str">
        <f aca="false">IF(E668&gt;0,"Yes",IF(E668&lt;0,"No (Paternity higher)","Equal"))</f>
        <v>Yes</v>
      </c>
    </row>
    <row r="669" customFormat="false" ht="15" hidden="false" customHeight="false" outlineLevel="0" collapsed="false">
      <c r="A669" s="5" t="str">
        <f aca="false">'Source Data'!A666</f>
        <v>Fifth Third Bank</v>
      </c>
      <c r="B669" s="5" t="str">
        <f aca="false">'Source Data'!B666</f>
        <v>Finance: Personal &amp; Commercial Banking</v>
      </c>
      <c r="C669" s="6" t="n">
        <f aca="false">'Source Data'!C666</f>
        <v>9</v>
      </c>
      <c r="D669" s="6" t="n">
        <f aca="false">'Source Data'!E666</f>
        <v>0</v>
      </c>
      <c r="E669" s="6" t="n">
        <f aca="false">IFERROR(N(C669)-N(D669),"")</f>
        <v>9</v>
      </c>
      <c r="F669" s="7" t="str">
        <f aca="false">IF(E669&gt;0,"Yes",IF(E669&lt;0,"No (Paternity higher)","Equal"))</f>
        <v>Yes</v>
      </c>
    </row>
    <row r="670" customFormat="false" ht="15" hidden="false" customHeight="false" outlineLevel="0" collapsed="false">
      <c r="A670" s="5" t="str">
        <f aca="false">'Source Data'!A667</f>
        <v>First Republic Bank</v>
      </c>
      <c r="B670" s="5" t="str">
        <f aca="false">'Source Data'!B667</f>
        <v>Finance: Personal &amp; Commercial Banking</v>
      </c>
      <c r="C670" s="6" t="n">
        <f aca="false">'Source Data'!C667</f>
        <v>12</v>
      </c>
      <c r="D670" s="6" t="n">
        <f aca="false">'Source Data'!E667</f>
        <v>0</v>
      </c>
      <c r="E670" s="6" t="n">
        <f aca="false">IFERROR(N(C670)-N(D670),"")</f>
        <v>12</v>
      </c>
      <c r="F670" s="7" t="str">
        <f aca="false">IF(E670&gt;0,"Yes",IF(E670&lt;0,"No (Paternity higher)","Equal"))</f>
        <v>Yes</v>
      </c>
    </row>
    <row r="671" customFormat="false" ht="15" hidden="false" customHeight="false" outlineLevel="0" collapsed="false">
      <c r="A671" s="5" t="str">
        <f aca="false">'Source Data'!A668</f>
        <v>Huntington Bank</v>
      </c>
      <c r="B671" s="5" t="str">
        <f aca="false">'Source Data'!B668</f>
        <v>Finance: Personal &amp; Commercial Banking</v>
      </c>
      <c r="C671" s="6" t="n">
        <f aca="false">'Source Data'!C668</f>
        <v>4</v>
      </c>
      <c r="D671" s="6" t="n">
        <f aca="false">'Source Data'!E668</f>
        <v>0</v>
      </c>
      <c r="E671" s="6" t="n">
        <f aca="false">IFERROR(N(C671)-N(D671),"")</f>
        <v>4</v>
      </c>
      <c r="F671" s="7" t="str">
        <f aca="false">IF(E671&gt;0,"Yes",IF(E671&lt;0,"No (Paternity higher)","Equal"))</f>
        <v>Yes</v>
      </c>
    </row>
    <row r="672" customFormat="false" ht="15" hidden="false" customHeight="false" outlineLevel="0" collapsed="false">
      <c r="A672" s="5" t="str">
        <f aca="false">'Source Data'!A669</f>
        <v>KeyBank</v>
      </c>
      <c r="B672" s="5" t="str">
        <f aca="false">'Source Data'!B669</f>
        <v>Finance: Personal &amp; Commercial Banking</v>
      </c>
      <c r="C672" s="6" t="n">
        <f aca="false">'Source Data'!C669</f>
        <v>12</v>
      </c>
      <c r="D672" s="6" t="n">
        <f aca="false">'Source Data'!E669</f>
        <v>0</v>
      </c>
      <c r="E672" s="6" t="n">
        <f aca="false">IFERROR(N(C672)-N(D672),"")</f>
        <v>12</v>
      </c>
      <c r="F672" s="7" t="str">
        <f aca="false">IF(E672&gt;0,"Yes",IF(E672&lt;0,"No (Paternity higher)","Equal"))</f>
        <v>Yes</v>
      </c>
    </row>
    <row r="673" customFormat="false" ht="15" hidden="false" customHeight="false" outlineLevel="0" collapsed="false">
      <c r="A673" s="5" t="str">
        <f aca="false">'Source Data'!A670</f>
        <v>M&amp;T Bank Corporation</v>
      </c>
      <c r="B673" s="5" t="str">
        <f aca="false">'Source Data'!B670</f>
        <v>Finance: Personal &amp; Commercial Banking</v>
      </c>
      <c r="C673" s="6" t="n">
        <f aca="false">'Source Data'!C670</f>
        <v>12</v>
      </c>
      <c r="D673" s="6" t="n">
        <f aca="false">'Source Data'!E670</f>
        <v>0</v>
      </c>
      <c r="E673" s="6" t="n">
        <f aca="false">IFERROR(N(C673)-N(D673),"")</f>
        <v>12</v>
      </c>
      <c r="F673" s="7" t="str">
        <f aca="false">IF(E673&gt;0,"Yes",IF(E673&lt;0,"No (Paternity higher)","Equal"))</f>
        <v>Yes</v>
      </c>
    </row>
    <row r="674" customFormat="false" ht="15" hidden="false" customHeight="false" outlineLevel="0" collapsed="false">
      <c r="A674" s="5" t="str">
        <f aca="false">'Source Data'!A671</f>
        <v>Santander US</v>
      </c>
      <c r="B674" s="5" t="str">
        <f aca="false">'Source Data'!B671</f>
        <v>Finance: Personal &amp; Commercial Banking</v>
      </c>
      <c r="C674" s="6" t="n">
        <f aca="false">'Source Data'!C671</f>
        <v>6</v>
      </c>
      <c r="D674" s="6" t="n">
        <f aca="false">'Source Data'!E671</f>
        <v>0</v>
      </c>
      <c r="E674" s="6" t="n">
        <f aca="false">IFERROR(N(C674)-N(D674),"")</f>
        <v>6</v>
      </c>
      <c r="F674" s="7" t="str">
        <f aca="false">IF(E674&gt;0,"Yes",IF(E674&lt;0,"No (Paternity higher)","Equal"))</f>
        <v>Yes</v>
      </c>
    </row>
    <row r="675" customFormat="false" ht="15" hidden="false" customHeight="false" outlineLevel="0" collapsed="false">
      <c r="A675" s="5" t="str">
        <f aca="false">'Source Data'!A672</f>
        <v>Socit Gnrale</v>
      </c>
      <c r="B675" s="5" t="str">
        <f aca="false">'Source Data'!B672</f>
        <v>Finance: Personal &amp; Commercial Banking</v>
      </c>
      <c r="C675" s="6" t="n">
        <f aca="false">'Source Data'!C672</f>
        <v>12</v>
      </c>
      <c r="D675" s="6" t="n">
        <f aca="false">'Source Data'!E672</f>
        <v>0</v>
      </c>
      <c r="E675" s="6" t="n">
        <f aca="false">IFERROR(N(C675)-N(D675),"")</f>
        <v>12</v>
      </c>
      <c r="F675" s="7" t="str">
        <f aca="false">IF(E675&gt;0,"Yes",IF(E675&lt;0,"No (Paternity higher)","Equal"))</f>
        <v>Yes</v>
      </c>
    </row>
    <row r="676" customFormat="false" ht="15" hidden="false" customHeight="false" outlineLevel="0" collapsed="false">
      <c r="A676" s="5" t="str">
        <f aca="false">'Source Data'!A673</f>
        <v>Stanbic IBTC Bank</v>
      </c>
      <c r="B676" s="5" t="str">
        <f aca="false">'Source Data'!B673</f>
        <v>Finance: Personal &amp; Commercial Banking</v>
      </c>
      <c r="C676" s="6" t="n">
        <f aca="false">'Source Data'!C673</f>
        <v>12</v>
      </c>
      <c r="D676" s="6" t="n">
        <f aca="false">'Source Data'!E673</f>
        <v>0</v>
      </c>
      <c r="E676" s="6" t="n">
        <f aca="false">IFERROR(N(C676)-N(D676),"")</f>
        <v>12</v>
      </c>
      <c r="F676" s="7" t="str">
        <f aca="false">IF(E676&gt;0,"Yes",IF(E676&lt;0,"No (Paternity higher)","Equal"))</f>
        <v>Yes</v>
      </c>
    </row>
    <row r="677" customFormat="false" ht="15" hidden="false" customHeight="false" outlineLevel="0" collapsed="false">
      <c r="A677" s="5" t="str">
        <f aca="false">'Source Data'!A674</f>
        <v>SunTrust Banks</v>
      </c>
      <c r="B677" s="5" t="str">
        <f aca="false">'Source Data'!B674</f>
        <v>Finance: Personal &amp; Commercial Banking</v>
      </c>
      <c r="C677" s="6" t="n">
        <f aca="false">'Source Data'!C674</f>
        <v>16</v>
      </c>
      <c r="D677" s="6" t="n">
        <f aca="false">'Source Data'!E674</f>
        <v>0</v>
      </c>
      <c r="E677" s="6" t="n">
        <f aca="false">IFERROR(N(C677)-N(D677),"")</f>
        <v>16</v>
      </c>
      <c r="F677" s="7" t="str">
        <f aca="false">IF(E677&gt;0,"Yes",IF(E677&lt;0,"No (Paternity higher)","Equal"))</f>
        <v>Yes</v>
      </c>
    </row>
    <row r="678" customFormat="false" ht="15" hidden="false" customHeight="false" outlineLevel="0" collapsed="false">
      <c r="A678" s="5" t="str">
        <f aca="false">'Source Data'!A675</f>
        <v>U.S. Bank</v>
      </c>
      <c r="B678" s="5" t="str">
        <f aca="false">'Source Data'!B675</f>
        <v>Finance: Personal &amp; Commercial Banking</v>
      </c>
      <c r="C678" s="6" t="n">
        <f aca="false">'Source Data'!C675</f>
        <v>13</v>
      </c>
      <c r="D678" s="6" t="n">
        <f aca="false">'Source Data'!E675</f>
        <v>0</v>
      </c>
      <c r="E678" s="6" t="n">
        <f aca="false">IFERROR(N(C678)-N(D678),"")</f>
        <v>13</v>
      </c>
      <c r="F678" s="7" t="str">
        <f aca="false">IF(E678&gt;0,"Yes",IF(E678&lt;0,"No (Paternity higher)","Equal"))</f>
        <v>Yes</v>
      </c>
    </row>
    <row r="679" customFormat="false" ht="15" hidden="false" customHeight="false" outlineLevel="0" collapsed="false">
      <c r="A679" s="5" t="str">
        <f aca="false">'Source Data'!A676</f>
        <v>Union Bank</v>
      </c>
      <c r="B679" s="5" t="str">
        <f aca="false">'Source Data'!B676</f>
        <v>Finance: Personal &amp; Commercial Banking</v>
      </c>
      <c r="C679" s="6" t="n">
        <f aca="false">'Source Data'!C676</f>
        <v>21</v>
      </c>
      <c r="D679" s="6" t="n">
        <f aca="false">'Source Data'!E676</f>
        <v>0</v>
      </c>
      <c r="E679" s="6" t="n">
        <f aca="false">IFERROR(N(C679)-N(D679),"")</f>
        <v>21</v>
      </c>
      <c r="F679" s="7" t="str">
        <f aca="false">IF(E679&gt;0,"Yes",IF(E679&lt;0,"No (Paternity higher)","Equal"))</f>
        <v>Yes</v>
      </c>
    </row>
    <row r="680" customFormat="false" ht="15" hidden="false" customHeight="false" outlineLevel="0" collapsed="false">
      <c r="A680" s="5" t="str">
        <f aca="false">'Source Data'!A677</f>
        <v>Vanquis Bank</v>
      </c>
      <c r="B680" s="5" t="str">
        <f aca="false">'Source Data'!B677</f>
        <v>Finance: Personal &amp; Commercial Banking</v>
      </c>
      <c r="C680" s="6" t="n">
        <f aca="false">'Source Data'!C677</f>
        <v>20</v>
      </c>
      <c r="D680" s="6" t="n">
        <f aca="false">'Source Data'!E677</f>
        <v>0</v>
      </c>
      <c r="E680" s="6" t="n">
        <f aca="false">IFERROR(N(C680)-N(D680),"")</f>
        <v>20</v>
      </c>
      <c r="F680" s="7" t="str">
        <f aca="false">IF(E680&gt;0,"Yes",IF(E680&lt;0,"No (Paternity higher)","Equal"))</f>
        <v>Yes</v>
      </c>
    </row>
    <row r="681" customFormat="false" ht="15" hidden="false" customHeight="false" outlineLevel="0" collapsed="false">
      <c r="A681" s="5" t="str">
        <f aca="false">'Source Data'!A678</f>
        <v>Wintrust Financial Corporation</v>
      </c>
      <c r="B681" s="5" t="str">
        <f aca="false">'Source Data'!B678</f>
        <v>Finance: Personal &amp; Commercial Banking</v>
      </c>
      <c r="C681" s="6" t="n">
        <f aca="false">'Source Data'!C678</f>
        <v>10</v>
      </c>
      <c r="D681" s="6" t="n">
        <f aca="false">'Source Data'!E678</f>
        <v>0</v>
      </c>
      <c r="E681" s="6" t="n">
        <f aca="false">IFERROR(N(C681)-N(D681),"")</f>
        <v>10</v>
      </c>
      <c r="F681" s="7" t="str">
        <f aca="false">IF(E681&gt;0,"Yes",IF(E681&lt;0,"No (Paternity higher)","Equal"))</f>
        <v>Yes</v>
      </c>
    </row>
    <row r="682" customFormat="false" ht="15" hidden="false" customHeight="false" outlineLevel="0" collapsed="false">
      <c r="A682" s="5" t="str">
        <f aca="false">'Source Data'!A679</f>
        <v>Adams Street Partners, LLC</v>
      </c>
      <c r="B682" s="5" t="str">
        <f aca="false">'Source Data'!B679</f>
        <v>Finance: Venture Capital</v>
      </c>
      <c r="C682" s="6" t="n">
        <f aca="false">'Source Data'!C679</f>
        <v>12</v>
      </c>
      <c r="D682" s="6" t="n">
        <f aca="false">'Source Data'!E679</f>
        <v>0</v>
      </c>
      <c r="E682" s="6" t="n">
        <f aca="false">IFERROR(N(C682)-N(D682),"")</f>
        <v>12</v>
      </c>
      <c r="F682" s="7" t="str">
        <f aca="false">IF(E682&gt;0,"Yes",IF(E682&lt;0,"No (Paternity higher)","Equal"))</f>
        <v>Yes</v>
      </c>
    </row>
    <row r="683" customFormat="false" ht="15" hidden="false" customHeight="false" outlineLevel="0" collapsed="false">
      <c r="A683" s="5" t="str">
        <f aca="false">'Source Data'!A680</f>
        <v>Guggenheim Partners, LLC</v>
      </c>
      <c r="B683" s="5" t="str">
        <f aca="false">'Source Data'!B680</f>
        <v>Finance: Venture Capital</v>
      </c>
      <c r="C683" s="6" t="n">
        <f aca="false">'Source Data'!C680</f>
        <v>18</v>
      </c>
      <c r="D683" s="6" t="n">
        <f aca="false">'Source Data'!E680</f>
        <v>18</v>
      </c>
      <c r="E683" s="6" t="n">
        <f aca="false">IFERROR(N(C683)-N(D683),"")</f>
        <v>0</v>
      </c>
      <c r="F683" s="7" t="str">
        <f aca="false">IF(E683&gt;0,"Yes",IF(E683&lt;0,"No (Paternity higher)","Equal"))</f>
        <v>Equal</v>
      </c>
    </row>
    <row r="684" customFormat="false" ht="15" hidden="false" customHeight="false" outlineLevel="0" collapsed="false">
      <c r="A684" s="5" t="str">
        <f aca="false">'Source Data'!A681</f>
        <v>City of Virginia Beach</v>
      </c>
      <c r="B684" s="5" t="str">
        <f aca="false">'Source Data'!B681</f>
        <v>Government: City</v>
      </c>
      <c r="C684" s="6" t="n">
        <f aca="false">'Source Data'!C681</f>
        <v>6</v>
      </c>
      <c r="D684" s="6" t="n">
        <f aca="false">'Source Data'!E681</f>
        <v>0</v>
      </c>
      <c r="E684" s="6" t="n">
        <f aca="false">IFERROR(N(C684)-N(D684),"")</f>
        <v>6</v>
      </c>
      <c r="F684" s="7" t="str">
        <f aca="false">IF(E684&gt;0,"Yes",IF(E684&lt;0,"No (Paternity higher)","Equal"))</f>
        <v>Yes</v>
      </c>
    </row>
    <row r="685" customFormat="false" ht="15" hidden="false" customHeight="false" outlineLevel="0" collapsed="false">
      <c r="A685" s="5" t="str">
        <f aca="false">'Source Data'!A682</f>
        <v>New York City</v>
      </c>
      <c r="B685" s="5" t="str">
        <f aca="false">'Source Data'!B682</f>
        <v>Government: City</v>
      </c>
      <c r="C685" s="6" t="n">
        <f aca="false">'Source Data'!C682</f>
        <v>12</v>
      </c>
      <c r="D685" s="6" t="n">
        <f aca="false">'Source Data'!E682</f>
        <v>0</v>
      </c>
      <c r="E685" s="6" t="n">
        <f aca="false">IFERROR(N(C685)-N(D685),"")</f>
        <v>12</v>
      </c>
      <c r="F685" s="7" t="str">
        <f aca="false">IF(E685&gt;0,"Yes",IF(E685&lt;0,"No (Paternity higher)","Equal"))</f>
        <v>Yes</v>
      </c>
    </row>
    <row r="686" customFormat="false" ht="15" hidden="false" customHeight="false" outlineLevel="0" collapsed="false">
      <c r="A686" s="5" t="str">
        <f aca="false">'Source Data'!A683</f>
        <v>New York City Economic Development Corporation</v>
      </c>
      <c r="B686" s="5" t="str">
        <f aca="false">'Source Data'!B683</f>
        <v>Government: City</v>
      </c>
      <c r="C686" s="6" t="n">
        <f aca="false">'Source Data'!C683</f>
        <v>6</v>
      </c>
      <c r="D686" s="6" t="n">
        <f aca="false">'Source Data'!E683</f>
        <v>0</v>
      </c>
      <c r="E686" s="6" t="n">
        <f aca="false">IFERROR(N(C686)-N(D686),"")</f>
        <v>6</v>
      </c>
      <c r="F686" s="7" t="str">
        <f aca="false">IF(E686&gt;0,"Yes",IF(E686&lt;0,"No (Paternity higher)","Equal"))</f>
        <v>Yes</v>
      </c>
    </row>
    <row r="687" customFormat="false" ht="15" hidden="false" customHeight="false" outlineLevel="0" collapsed="false">
      <c r="A687" s="5" t="str">
        <f aca="false">'Source Data'!A684</f>
        <v>The City of Portland</v>
      </c>
      <c r="B687" s="5" t="str">
        <f aca="false">'Source Data'!B684</f>
        <v>Government: City</v>
      </c>
      <c r="C687" s="6" t="n">
        <f aca="false">'Source Data'!C684</f>
        <v>6</v>
      </c>
      <c r="D687" s="6" t="n">
        <f aca="false">'Source Data'!E684</f>
        <v>0</v>
      </c>
      <c r="E687" s="6" t="n">
        <f aca="false">IFERROR(N(C687)-N(D687),"")</f>
        <v>6</v>
      </c>
      <c r="F687" s="7" t="str">
        <f aca="false">IF(E687&gt;0,"Yes",IF(E687&lt;0,"No (Paternity higher)","Equal"))</f>
        <v>Yes</v>
      </c>
    </row>
    <row r="688" customFormat="false" ht="15" hidden="false" customHeight="false" outlineLevel="0" collapsed="false">
      <c r="A688" s="5" t="str">
        <f aca="false">'Source Data'!A685</f>
        <v>The City of San Antonio</v>
      </c>
      <c r="B688" s="5" t="str">
        <f aca="false">'Source Data'!B685</f>
        <v>Government: City</v>
      </c>
      <c r="C688" s="6" t="n">
        <f aca="false">'Source Data'!C685</f>
        <v>6</v>
      </c>
      <c r="D688" s="6" t="n">
        <f aca="false">'Source Data'!E685</f>
        <v>0</v>
      </c>
      <c r="E688" s="6" t="n">
        <f aca="false">IFERROR(N(C688)-N(D688),"")</f>
        <v>6</v>
      </c>
      <c r="F688" s="7" t="str">
        <f aca="false">IF(E688&gt;0,"Yes",IF(E688&lt;0,"No (Paternity higher)","Equal"))</f>
        <v>Yes</v>
      </c>
    </row>
    <row r="689" customFormat="false" ht="15" hidden="false" customHeight="false" outlineLevel="0" collapsed="false">
      <c r="A689" s="5" t="str">
        <f aca="false">'Source Data'!A686</f>
        <v>Peraton</v>
      </c>
      <c r="B689" s="5" t="str">
        <f aca="false">'Source Data'!B686</f>
        <v>Government: Contractor</v>
      </c>
      <c r="C689" s="6" t="n">
        <f aca="false">'Source Data'!C686</f>
        <v>1.5</v>
      </c>
      <c r="D689" s="6" t="n">
        <f aca="false">'Source Data'!E686</f>
        <v>0</v>
      </c>
      <c r="E689" s="6" t="n">
        <f aca="false">IFERROR(N(C689)-N(D689),"")</f>
        <v>1.5</v>
      </c>
      <c r="F689" s="7" t="str">
        <f aca="false">IF(E689&gt;0,"Yes",IF(E689&lt;0,"No (Paternity higher)","Equal"))</f>
        <v>Yes</v>
      </c>
    </row>
    <row r="690" customFormat="false" ht="15" hidden="false" customHeight="false" outlineLevel="0" collapsed="false">
      <c r="A690" s="5" t="str">
        <f aca="false">'Source Data'!A687</f>
        <v>Marion County Sheriff's Office</v>
      </c>
      <c r="B690" s="5" t="str">
        <f aca="false">'Source Data'!B687</f>
        <v>Government: County</v>
      </c>
      <c r="C690" s="6" t="n">
        <f aca="false">'Source Data'!C687</f>
        <v>13</v>
      </c>
      <c r="D690" s="6" t="n">
        <f aca="false">'Source Data'!E687</f>
        <v>0</v>
      </c>
      <c r="E690" s="6" t="n">
        <f aca="false">IFERROR(N(C690)-N(D690),"")</f>
        <v>13</v>
      </c>
      <c r="F690" s="7" t="str">
        <f aca="false">IF(E690&gt;0,"Yes",IF(E690&lt;0,"No (Paternity higher)","Equal"))</f>
        <v>Yes</v>
      </c>
    </row>
    <row r="691" customFormat="false" ht="15" hidden="false" customHeight="false" outlineLevel="0" collapsed="false">
      <c r="A691" s="5" t="str">
        <f aca="false">'Source Data'!A688</f>
        <v>Multnomah County, Oregon</v>
      </c>
      <c r="B691" s="5" t="str">
        <f aca="false">'Source Data'!B688</f>
        <v>Government: County</v>
      </c>
      <c r="C691" s="6" t="n">
        <f aca="false">'Source Data'!C688</f>
        <v>12</v>
      </c>
      <c r="D691" s="6" t="n">
        <f aca="false">'Source Data'!E688</f>
        <v>0</v>
      </c>
      <c r="E691" s="6" t="n">
        <f aca="false">IFERROR(N(C691)-N(D691),"")</f>
        <v>12</v>
      </c>
      <c r="F691" s="7" t="str">
        <f aca="false">IF(E691&gt;0,"Yes",IF(E691&lt;0,"No (Paternity higher)","Equal"))</f>
        <v>Yes</v>
      </c>
    </row>
    <row r="692" customFormat="false" ht="15" hidden="false" customHeight="false" outlineLevel="0" collapsed="false">
      <c r="A692" s="5" t="str">
        <f aca="false">'Source Data'!A689</f>
        <v>Spokane County</v>
      </c>
      <c r="B692" s="5" t="str">
        <f aca="false">'Source Data'!B689</f>
        <v>Government: County</v>
      </c>
      <c r="C692" s="6" t="n">
        <f aca="false">'Source Data'!C689</f>
        <v>52</v>
      </c>
      <c r="D692" s="6" t="n">
        <f aca="false">'Source Data'!E689</f>
        <v>0</v>
      </c>
      <c r="E692" s="6" t="n">
        <f aca="false">IFERROR(N(C692)-N(D692),"")</f>
        <v>52</v>
      </c>
      <c r="F692" s="7" t="str">
        <f aca="false">IF(E692&gt;0,"Yes",IF(E692&lt;0,"No (Paternity higher)","Equal"))</f>
        <v>Yes</v>
      </c>
    </row>
    <row r="693" customFormat="false" ht="15" hidden="false" customHeight="false" outlineLevel="0" collapsed="false">
      <c r="A693" s="5" t="str">
        <f aca="false">'Source Data'!A690</f>
        <v>Corporation for National and Community Service</v>
      </c>
      <c r="B693" s="5" t="str">
        <f aca="false">'Source Data'!B690</f>
        <v>Government: Federal</v>
      </c>
      <c r="C693" s="6" t="n">
        <f aca="false">'Source Data'!C690</f>
        <v>0</v>
      </c>
      <c r="D693" s="6" t="n">
        <f aca="false">'Source Data'!E690</f>
        <v>0</v>
      </c>
      <c r="E693" s="6" t="n">
        <f aca="false">IFERROR(N(C693)-N(D693),"")</f>
        <v>0</v>
      </c>
      <c r="F693" s="7" t="str">
        <f aca="false">IF(E693&gt;0,"Yes",IF(E693&lt;0,"No (Paternity higher)","Equal"))</f>
        <v>Equal</v>
      </c>
    </row>
    <row r="694" customFormat="false" ht="15" hidden="false" customHeight="false" outlineLevel="0" collapsed="false">
      <c r="A694" s="5" t="str">
        <f aca="false">'Source Data'!A691</f>
        <v>Federal Deposit Insurance Corporation</v>
      </c>
      <c r="B694" s="5" t="str">
        <f aca="false">'Source Data'!B691</f>
        <v>Government: Federal</v>
      </c>
      <c r="C694" s="6" t="n">
        <f aca="false">'Source Data'!C691</f>
        <v>12</v>
      </c>
      <c r="D694" s="6" t="n">
        <f aca="false">'Source Data'!E691</f>
        <v>0</v>
      </c>
      <c r="E694" s="6" t="n">
        <f aca="false">IFERROR(N(C694)-N(D694),"")</f>
        <v>12</v>
      </c>
      <c r="F694" s="7" t="str">
        <f aca="false">IF(E694&gt;0,"Yes",IF(E694&lt;0,"No (Paternity higher)","Equal"))</f>
        <v>Yes</v>
      </c>
    </row>
    <row r="695" customFormat="false" ht="15" hidden="false" customHeight="false" outlineLevel="0" collapsed="false">
      <c r="A695" s="5" t="str">
        <f aca="false">'Source Data'!A692</f>
        <v>Federal Public Defender</v>
      </c>
      <c r="B695" s="5" t="str">
        <f aca="false">'Source Data'!B692</f>
        <v>Government: Federal</v>
      </c>
      <c r="C695" s="6" t="n">
        <f aca="false">'Source Data'!C692</f>
        <v>12</v>
      </c>
      <c r="D695" s="6" t="n">
        <f aca="false">'Source Data'!E692</f>
        <v>0</v>
      </c>
      <c r="E695" s="6" t="n">
        <f aca="false">IFERROR(N(C695)-N(D695),"")</f>
        <v>12</v>
      </c>
      <c r="F695" s="7" t="str">
        <f aca="false">IF(E695&gt;0,"Yes",IF(E695&lt;0,"No (Paternity higher)","Equal"))</f>
        <v>Yes</v>
      </c>
    </row>
    <row r="696" customFormat="false" ht="15" hidden="false" customHeight="false" outlineLevel="0" collapsed="false">
      <c r="A696" s="5" t="str">
        <f aca="false">'Source Data'!A693</f>
        <v>Federal Reserve Bank of New York</v>
      </c>
      <c r="B696" s="5" t="str">
        <f aca="false">'Source Data'!B693</f>
        <v>Government: Federal</v>
      </c>
      <c r="C696" s="6" t="n">
        <f aca="false">'Source Data'!C693</f>
        <v>8</v>
      </c>
      <c r="D696" s="6" t="n">
        <f aca="false">'Source Data'!E693</f>
        <v>0</v>
      </c>
      <c r="E696" s="6" t="n">
        <f aca="false">IFERROR(N(C696)-N(D696),"")</f>
        <v>8</v>
      </c>
      <c r="F696" s="7" t="str">
        <f aca="false">IF(E696&gt;0,"Yes",IF(E696&lt;0,"No (Paternity higher)","Equal"))</f>
        <v>Yes</v>
      </c>
    </row>
    <row r="697" customFormat="false" ht="15" hidden="false" customHeight="false" outlineLevel="0" collapsed="false">
      <c r="A697" s="5" t="str">
        <f aca="false">'Source Data'!A694</f>
        <v>Los Alamos National Laboratory</v>
      </c>
      <c r="B697" s="5" t="str">
        <f aca="false">'Source Data'!B694</f>
        <v>Government: Federal</v>
      </c>
      <c r="C697" s="6" t="n">
        <f aca="false">'Source Data'!C694</f>
        <v>3</v>
      </c>
      <c r="D697" s="6" t="n">
        <f aca="false">'Source Data'!E694</f>
        <v>0</v>
      </c>
      <c r="E697" s="6" t="n">
        <f aca="false">IFERROR(N(C697)-N(D697),"")</f>
        <v>3</v>
      </c>
      <c r="F697" s="7" t="str">
        <f aca="false">IF(E697&gt;0,"Yes",IF(E697&lt;0,"No (Paternity higher)","Equal"))</f>
        <v>Yes</v>
      </c>
    </row>
    <row r="698" customFormat="false" ht="15" hidden="false" customHeight="false" outlineLevel="0" collapsed="false">
      <c r="A698" s="5" t="str">
        <f aca="false">'Source Data'!A695</f>
        <v>NASA Jet Propulsion Laboratory</v>
      </c>
      <c r="B698" s="5" t="str">
        <f aca="false">'Source Data'!B695</f>
        <v>Government: Federal</v>
      </c>
      <c r="C698" s="6" t="n">
        <f aca="false">'Source Data'!C695</f>
        <v>12</v>
      </c>
      <c r="D698" s="6" t="n">
        <f aca="false">'Source Data'!E695</f>
        <v>0</v>
      </c>
      <c r="E698" s="6" t="n">
        <f aca="false">IFERROR(N(C698)-N(D698),"")</f>
        <v>12</v>
      </c>
      <c r="F698" s="7" t="str">
        <f aca="false">IF(E698&gt;0,"Yes",IF(E698&lt;0,"No (Paternity higher)","Equal"))</f>
        <v>Yes</v>
      </c>
    </row>
    <row r="699" customFormat="false" ht="15" hidden="false" customHeight="false" outlineLevel="0" collapsed="false">
      <c r="A699" s="5" t="str">
        <f aca="false">'Source Data'!A696</f>
        <v>Naval Medical Center Portsmouth</v>
      </c>
      <c r="B699" s="5" t="str">
        <f aca="false">'Source Data'!B696</f>
        <v>Government: Federal</v>
      </c>
      <c r="C699" s="6" t="n">
        <f aca="false">'Source Data'!C696</f>
        <v>46</v>
      </c>
      <c r="D699" s="6" t="n">
        <f aca="false">'Source Data'!E696</f>
        <v>0</v>
      </c>
      <c r="E699" s="6" t="n">
        <f aca="false">IFERROR(N(C699)-N(D699),"")</f>
        <v>46</v>
      </c>
      <c r="F699" s="7" t="str">
        <f aca="false">IF(E699&gt;0,"Yes",IF(E699&lt;0,"No (Paternity higher)","Equal"))</f>
        <v>Yes</v>
      </c>
    </row>
    <row r="700" customFormat="false" ht="15" hidden="false" customHeight="false" outlineLevel="0" collapsed="false">
      <c r="A700" s="5" t="str">
        <f aca="false">'Source Data'!A697</f>
        <v>NavSea</v>
      </c>
      <c r="B700" s="5" t="str">
        <f aca="false">'Source Data'!B697</f>
        <v>Government: Federal</v>
      </c>
      <c r="C700" s="6" t="n">
        <f aca="false">'Source Data'!C697</f>
        <v>11</v>
      </c>
      <c r="D700" s="6" t="n">
        <f aca="false">'Source Data'!E697</f>
        <v>0</v>
      </c>
      <c r="E700" s="6" t="n">
        <f aca="false">IFERROR(N(C700)-N(D700),"")</f>
        <v>11</v>
      </c>
      <c r="F700" s="7" t="str">
        <f aca="false">IF(E700&gt;0,"Yes",IF(E700&lt;0,"No (Paternity higher)","Equal"))</f>
        <v>Yes</v>
      </c>
    </row>
    <row r="701" customFormat="false" ht="15" hidden="false" customHeight="false" outlineLevel="0" collapsed="false">
      <c r="A701" s="5" t="str">
        <f aca="false">'Source Data'!A698</f>
        <v>NSA</v>
      </c>
      <c r="B701" s="5" t="str">
        <f aca="false">'Source Data'!B698</f>
        <v>Government: Federal</v>
      </c>
      <c r="C701" s="6" t="n">
        <f aca="false">'Source Data'!C698</f>
        <v>8</v>
      </c>
      <c r="D701" s="6" t="n">
        <f aca="false">'Source Data'!E698</f>
        <v>0</v>
      </c>
      <c r="E701" s="6" t="n">
        <f aca="false">IFERROR(N(C701)-N(D701),"")</f>
        <v>8</v>
      </c>
      <c r="F701" s="7" t="str">
        <f aca="false">IF(E701&gt;0,"Yes",IF(E701&lt;0,"No (Paternity higher)","Equal"))</f>
        <v>Yes</v>
      </c>
    </row>
    <row r="702" customFormat="false" ht="15" hidden="false" customHeight="false" outlineLevel="0" collapsed="false">
      <c r="A702" s="5" t="str">
        <f aca="false">'Source Data'!A699</f>
        <v>The United States Air Force</v>
      </c>
      <c r="B702" s="5" t="str">
        <f aca="false">'Source Data'!B699</f>
        <v>Government: Federal</v>
      </c>
      <c r="C702" s="6" t="n">
        <f aca="false">'Source Data'!C699</f>
        <v>12</v>
      </c>
      <c r="D702" s="6" t="n">
        <f aca="false">'Source Data'!E699</f>
        <v>0</v>
      </c>
      <c r="E702" s="6" t="n">
        <f aca="false">IFERROR(N(C702)-N(D702),"")</f>
        <v>12</v>
      </c>
      <c r="F702" s="7" t="str">
        <f aca="false">IF(E702&gt;0,"Yes",IF(E702&lt;0,"No (Paternity higher)","Equal"))</f>
        <v>Yes</v>
      </c>
    </row>
    <row r="703" customFormat="false" ht="15" hidden="false" customHeight="false" outlineLevel="0" collapsed="false">
      <c r="A703" s="5" t="str">
        <f aca="false">'Source Data'!A700</f>
        <v>U.S. Department of Education</v>
      </c>
      <c r="B703" s="5" t="str">
        <f aca="false">'Source Data'!B700</f>
        <v>Government: Federal</v>
      </c>
      <c r="C703" s="6" t="n">
        <f aca="false">'Source Data'!C700</f>
        <v>0</v>
      </c>
      <c r="D703" s="6" t="n">
        <f aca="false">'Source Data'!E700</f>
        <v>0</v>
      </c>
      <c r="E703" s="6" t="n">
        <f aca="false">IFERROR(N(C703)-N(D703),"")</f>
        <v>0</v>
      </c>
      <c r="F703" s="7" t="str">
        <f aca="false">IF(E703&gt;0,"Yes",IF(E703&lt;0,"No (Paternity higher)","Equal"))</f>
        <v>Equal</v>
      </c>
    </row>
    <row r="704" customFormat="false" ht="15" hidden="false" customHeight="false" outlineLevel="0" collapsed="false">
      <c r="A704" s="5" t="str">
        <f aca="false">'Source Data'!A701</f>
        <v>U.S. Department of Veterans Affairs</v>
      </c>
      <c r="B704" s="5" t="str">
        <f aca="false">'Source Data'!B701</f>
        <v>Government: Federal</v>
      </c>
      <c r="C704" s="6" t="n">
        <f aca="false">'Source Data'!C701</f>
        <v>11</v>
      </c>
      <c r="D704" s="6" t="n">
        <f aca="false">'Source Data'!E701</f>
        <v>0</v>
      </c>
      <c r="E704" s="6" t="n">
        <f aca="false">IFERROR(N(C704)-N(D704),"")</f>
        <v>11</v>
      </c>
      <c r="F704" s="7" t="str">
        <f aca="false">IF(E704&gt;0,"Yes",IF(E704&lt;0,"No (Paternity higher)","Equal"))</f>
        <v>Yes</v>
      </c>
    </row>
    <row r="705" customFormat="false" ht="15" hidden="false" customHeight="false" outlineLevel="0" collapsed="false">
      <c r="A705" s="5" t="str">
        <f aca="false">'Source Data'!A702</f>
        <v>U.S. Social Security Administration</v>
      </c>
      <c r="B705" s="5" t="str">
        <f aca="false">'Source Data'!B702</f>
        <v>Government: Federal</v>
      </c>
      <c r="C705" s="6" t="n">
        <f aca="false">'Source Data'!C702</f>
        <v>6</v>
      </c>
      <c r="D705" s="6" t="n">
        <f aca="false">'Source Data'!E702</f>
        <v>0</v>
      </c>
      <c r="E705" s="6" t="n">
        <f aca="false">IFERROR(N(C705)-N(D705),"")</f>
        <v>6</v>
      </c>
      <c r="F705" s="7" t="str">
        <f aca="false">IF(E705&gt;0,"Yes",IF(E705&lt;0,"No (Paternity higher)","Equal"))</f>
        <v>Yes</v>
      </c>
    </row>
    <row r="706" customFormat="false" ht="15" hidden="false" customHeight="false" outlineLevel="0" collapsed="false">
      <c r="A706" s="5" t="str">
        <f aca="false">'Source Data'!A703</f>
        <v>United States Army</v>
      </c>
      <c r="B706" s="5" t="str">
        <f aca="false">'Source Data'!B703</f>
        <v>Government: Federal</v>
      </c>
      <c r="C706" s="6" t="n">
        <f aca="false">'Source Data'!C703</f>
        <v>6</v>
      </c>
      <c r="D706" s="6" t="n">
        <f aca="false">'Source Data'!E703</f>
        <v>0</v>
      </c>
      <c r="E706" s="6" t="n">
        <f aca="false">IFERROR(N(C706)-N(D706),"")</f>
        <v>6</v>
      </c>
      <c r="F706" s="7" t="str">
        <f aca="false">IF(E706&gt;0,"Yes",IF(E706&lt;0,"No (Paternity higher)","Equal"))</f>
        <v>Yes</v>
      </c>
    </row>
    <row r="707" customFormat="false" ht="15" hidden="false" customHeight="false" outlineLevel="0" collapsed="false">
      <c r="A707" s="5" t="str">
        <f aca="false">'Source Data'!A704</f>
        <v>United States Department of State</v>
      </c>
      <c r="B707" s="5" t="str">
        <f aca="false">'Source Data'!B704</f>
        <v>Government: Federal</v>
      </c>
      <c r="C707" s="6" t="n">
        <f aca="false">'Source Data'!C704</f>
        <v>9</v>
      </c>
      <c r="D707" s="6" t="n">
        <f aca="false">'Source Data'!E704</f>
        <v>0</v>
      </c>
      <c r="E707" s="6" t="n">
        <f aca="false">IFERROR(N(C707)-N(D707),"")</f>
        <v>9</v>
      </c>
      <c r="F707" s="7" t="str">
        <f aca="false">IF(E707&gt;0,"Yes",IF(E707&lt;0,"No (Paternity higher)","Equal"))</f>
        <v>Yes</v>
      </c>
    </row>
    <row r="708" customFormat="false" ht="15" hidden="false" customHeight="false" outlineLevel="0" collapsed="false">
      <c r="A708" s="5" t="str">
        <f aca="false">'Source Data'!A705</f>
        <v>United States Trade and Development Agency</v>
      </c>
      <c r="B708" s="5" t="str">
        <f aca="false">'Source Data'!B705</f>
        <v>Government: Federal</v>
      </c>
      <c r="C708" s="6" t="n">
        <f aca="false">'Source Data'!C705</f>
        <v>12</v>
      </c>
      <c r="D708" s="6" t="n">
        <f aca="false">'Source Data'!E705</f>
        <v>0</v>
      </c>
      <c r="E708" s="6" t="n">
        <f aca="false">IFERROR(N(C708)-N(D708),"")</f>
        <v>12</v>
      </c>
      <c r="F708" s="7" t="str">
        <f aca="false">IF(E708&gt;0,"Yes",IF(E708&lt;0,"No (Paternity higher)","Equal"))</f>
        <v>Yes</v>
      </c>
    </row>
    <row r="709" customFormat="false" ht="15" hidden="false" customHeight="false" outlineLevel="0" collapsed="false">
      <c r="A709" s="5" t="str">
        <f aca="false">'Source Data'!A706</f>
        <v>USAID</v>
      </c>
      <c r="B709" s="5" t="str">
        <f aca="false">'Source Data'!B706</f>
        <v>Government: Federal</v>
      </c>
      <c r="C709" s="6" t="n">
        <f aca="false">'Source Data'!C706</f>
        <v>6</v>
      </c>
      <c r="D709" s="6" t="n">
        <f aca="false">'Source Data'!E706</f>
        <v>0</v>
      </c>
      <c r="E709" s="6" t="n">
        <f aca="false">IFERROR(N(C709)-N(D709),"")</f>
        <v>6</v>
      </c>
      <c r="F709" s="7" t="str">
        <f aca="false">IF(E709&gt;0,"Yes",IF(E709&lt;0,"No (Paternity higher)","Equal"))</f>
        <v>Yes</v>
      </c>
    </row>
    <row r="710" customFormat="false" ht="15" hidden="false" customHeight="false" outlineLevel="0" collapsed="false">
      <c r="A710" s="5" t="str">
        <f aca="false">'Source Data'!A707</f>
        <v>United Nations</v>
      </c>
      <c r="B710" s="5" t="str">
        <f aca="false">'Source Data'!B707</f>
        <v>Government: International</v>
      </c>
      <c r="C710" s="6" t="n">
        <f aca="false">'Source Data'!C707</f>
        <v>4</v>
      </c>
      <c r="D710" s="6" t="n">
        <f aca="false">'Source Data'!E707</f>
        <v>0</v>
      </c>
      <c r="E710" s="6" t="n">
        <f aca="false">IFERROR(N(C710)-N(D710),"")</f>
        <v>4</v>
      </c>
      <c r="F710" s="7" t="str">
        <f aca="false">IF(E710&gt;0,"Yes",IF(E710&lt;0,"No (Paternity higher)","Equal"))</f>
        <v>Yes</v>
      </c>
    </row>
    <row r="711" customFormat="false" ht="15" hidden="false" customHeight="false" outlineLevel="0" collapsed="false">
      <c r="A711" s="5" t="str">
        <f aca="false">'Source Data'!A708</f>
        <v>World Health Organization</v>
      </c>
      <c r="B711" s="5" t="str">
        <f aca="false">'Source Data'!B708</f>
        <v>Government: International</v>
      </c>
      <c r="C711" s="6" t="n">
        <f aca="false">'Source Data'!C708</f>
        <v>24</v>
      </c>
      <c r="D711" s="6" t="n">
        <f aca="false">'Source Data'!E708</f>
        <v>0</v>
      </c>
      <c r="E711" s="6" t="n">
        <f aca="false">IFERROR(N(C711)-N(D711),"")</f>
        <v>24</v>
      </c>
      <c r="F711" s="7" t="str">
        <f aca="false">IF(E711&gt;0,"Yes",IF(E711&lt;0,"No (Paternity higher)","Equal"))</f>
        <v>Yes</v>
      </c>
    </row>
    <row r="712" customFormat="false" ht="15" hidden="false" customHeight="false" outlineLevel="0" collapsed="false">
      <c r="A712" s="5" t="str">
        <f aca="false">'Source Data'!A709</f>
        <v>Commonwealth of Massachusetts</v>
      </c>
      <c r="B712" s="5" t="str">
        <f aca="false">'Source Data'!B709</f>
        <v>Government: State</v>
      </c>
      <c r="C712" s="6" t="n">
        <f aca="false">'Source Data'!C709</f>
        <v>2</v>
      </c>
      <c r="D712" s="6" t="n">
        <f aca="false">'Source Data'!E709</f>
        <v>0</v>
      </c>
      <c r="E712" s="6" t="n">
        <f aca="false">IFERROR(N(C712)-N(D712),"")</f>
        <v>2</v>
      </c>
      <c r="F712" s="7" t="str">
        <f aca="false">IF(E712&gt;0,"Yes",IF(E712&lt;0,"No (Paternity higher)","Equal"))</f>
        <v>Yes</v>
      </c>
    </row>
    <row r="713" customFormat="false" ht="15" hidden="false" customHeight="false" outlineLevel="0" collapsed="false">
      <c r="A713" s="5" t="str">
        <f aca="false">'Source Data'!A710</f>
        <v>DBPR</v>
      </c>
      <c r="B713" s="5" t="str">
        <f aca="false">'Source Data'!B710</f>
        <v>Government: State</v>
      </c>
      <c r="C713" s="6" t="n">
        <f aca="false">'Source Data'!C710</f>
        <v>12</v>
      </c>
      <c r="D713" s="6" t="n">
        <f aca="false">'Source Data'!E710</f>
        <v>0</v>
      </c>
      <c r="E713" s="6" t="n">
        <f aca="false">IFERROR(N(C713)-N(D713),"")</f>
        <v>12</v>
      </c>
      <c r="F713" s="7" t="str">
        <f aca="false">IF(E713&gt;0,"Yes",IF(E713&lt;0,"No (Paternity higher)","Equal"))</f>
        <v>Yes</v>
      </c>
    </row>
    <row r="714" customFormat="false" ht="15" hidden="false" customHeight="false" outlineLevel="0" collapsed="false">
      <c r="A714" s="5" t="str">
        <f aca="false">'Source Data'!A711</f>
        <v>State of North Carolina</v>
      </c>
      <c r="B714" s="5" t="str">
        <f aca="false">'Source Data'!B711</f>
        <v>Government: State</v>
      </c>
      <c r="C714" s="6" t="n">
        <f aca="false">'Source Data'!C711</f>
        <v>12</v>
      </c>
      <c r="D714" s="6" t="n">
        <f aca="false">'Source Data'!E711</f>
        <v>0</v>
      </c>
      <c r="E714" s="6" t="n">
        <f aca="false">IFERROR(N(C714)-N(D714),"")</f>
        <v>12</v>
      </c>
      <c r="F714" s="7" t="str">
        <f aca="false">IF(E714&gt;0,"Yes",IF(E714&lt;0,"No (Paternity higher)","Equal"))</f>
        <v>Yes</v>
      </c>
    </row>
    <row r="715" customFormat="false" ht="15" hidden="false" customHeight="false" outlineLevel="0" collapsed="false">
      <c r="A715" s="5" t="str">
        <f aca="false">'Source Data'!A712</f>
        <v>Companion Animal Hospital Partners</v>
      </c>
      <c r="B715" s="5" t="str">
        <f aca="false">'Source Data'!B712</f>
        <v>Healthcare: Animal Health</v>
      </c>
      <c r="C715" s="6" t="n">
        <f aca="false">'Source Data'!C712</f>
        <v>6</v>
      </c>
      <c r="D715" s="6" t="n">
        <f aca="false">'Source Data'!E712</f>
        <v>0</v>
      </c>
      <c r="E715" s="6" t="n">
        <f aca="false">IFERROR(N(C715)-N(D715),"")</f>
        <v>6</v>
      </c>
      <c r="F715" s="7" t="str">
        <f aca="false">IF(E715&gt;0,"Yes",IF(E715&lt;0,"No (Paternity higher)","Equal"))</f>
        <v>Yes</v>
      </c>
    </row>
    <row r="716" customFormat="false" ht="15" hidden="false" customHeight="false" outlineLevel="0" collapsed="false">
      <c r="A716" s="5" t="str">
        <f aca="false">'Source Data'!A713</f>
        <v>Veterinary Emergency Group</v>
      </c>
      <c r="B716" s="5" t="str">
        <f aca="false">'Source Data'!B713</f>
        <v>Healthcare: Animal Health</v>
      </c>
      <c r="C716" s="6" t="n">
        <f aca="false">'Source Data'!C713</f>
        <v>6</v>
      </c>
      <c r="D716" s="6" t="n">
        <f aca="false">'Source Data'!E713</f>
        <v>0</v>
      </c>
      <c r="E716" s="6" t="n">
        <f aca="false">IFERROR(N(C716)-N(D716),"")</f>
        <v>6</v>
      </c>
      <c r="F716" s="7" t="str">
        <f aca="false">IF(E716&gt;0,"Yes",IF(E716&lt;0,"No (Paternity higher)","Equal"))</f>
        <v>Yes</v>
      </c>
    </row>
    <row r="717" customFormat="false" ht="15" hidden="false" customHeight="false" outlineLevel="0" collapsed="false">
      <c r="A717" s="5" t="str">
        <f aca="false">'Source Data'!A714</f>
        <v>Zoetis</v>
      </c>
      <c r="B717" s="5" t="str">
        <f aca="false">'Source Data'!B714</f>
        <v>Healthcare: Animal Health</v>
      </c>
      <c r="C717" s="6" t="n">
        <f aca="false">'Source Data'!C714</f>
        <v>2</v>
      </c>
      <c r="D717" s="6" t="n">
        <f aca="false">'Source Data'!E714</f>
        <v>0</v>
      </c>
      <c r="E717" s="6" t="n">
        <f aca="false">IFERROR(N(C717)-N(D717),"")</f>
        <v>2</v>
      </c>
      <c r="F717" s="7" t="str">
        <f aca="false">IF(E717&gt;0,"Yes",IF(E717&lt;0,"No (Paternity higher)","Equal"))</f>
        <v>Yes</v>
      </c>
    </row>
    <row r="718" customFormat="false" ht="15" hidden="false" customHeight="false" outlineLevel="0" collapsed="false">
      <c r="A718" s="5" t="str">
        <f aca="false">'Source Data'!A715</f>
        <v>Beacon Health Options</v>
      </c>
      <c r="B718" s="5" t="str">
        <f aca="false">'Source Data'!B715</f>
        <v>Healthcare: Behavioral</v>
      </c>
      <c r="C718" s="6" t="n">
        <f aca="false">'Source Data'!C715</f>
        <v>4</v>
      </c>
      <c r="D718" s="6" t="n">
        <f aca="false">'Source Data'!E715</f>
        <v>0</v>
      </c>
      <c r="E718" s="6" t="n">
        <f aca="false">IFERROR(N(C718)-N(D718),"")</f>
        <v>4</v>
      </c>
      <c r="F718" s="7" t="str">
        <f aca="false">IF(E718&gt;0,"Yes",IF(E718&lt;0,"No (Paternity higher)","Equal"))</f>
        <v>Yes</v>
      </c>
    </row>
    <row r="719" customFormat="false" ht="15" hidden="false" customHeight="false" outlineLevel="0" collapsed="false">
      <c r="A719" s="5" t="str">
        <f aca="false">'Source Data'!A716</f>
        <v>Ambry Genetics</v>
      </c>
      <c r="B719" s="5" t="str">
        <f aca="false">'Source Data'!B716</f>
        <v>Healthcare: Biotechnology</v>
      </c>
      <c r="C719" s="6" t="n">
        <f aca="false">'Source Data'!C716</f>
        <v>6</v>
      </c>
      <c r="D719" s="6" t="n">
        <f aca="false">'Source Data'!E716</f>
        <v>0</v>
      </c>
      <c r="E719" s="6" t="n">
        <f aca="false">IFERROR(N(C719)-N(D719),"")</f>
        <v>6</v>
      </c>
      <c r="F719" s="7" t="str">
        <f aca="false">IF(E719&gt;0,"Yes",IF(E719&lt;0,"No (Paternity higher)","Equal"))</f>
        <v>Yes</v>
      </c>
    </row>
    <row r="720" customFormat="false" ht="15" hidden="false" customHeight="false" outlineLevel="0" collapsed="false">
      <c r="A720" s="5" t="str">
        <f aca="false">'Source Data'!A717</f>
        <v>Biogen</v>
      </c>
      <c r="B720" s="5" t="str">
        <f aca="false">'Source Data'!B717</f>
        <v>Healthcare: Biotechnology</v>
      </c>
      <c r="C720" s="6" t="n">
        <f aca="false">'Source Data'!C717</f>
        <v>12</v>
      </c>
      <c r="D720" s="6" t="n">
        <f aca="false">'Source Data'!E717</f>
        <v>0</v>
      </c>
      <c r="E720" s="6" t="n">
        <f aca="false">IFERROR(N(C720)-N(D720),"")</f>
        <v>12</v>
      </c>
      <c r="F720" s="7" t="str">
        <f aca="false">IF(E720&gt;0,"Yes",IF(E720&lt;0,"No (Paternity higher)","Equal"))</f>
        <v>Yes</v>
      </c>
    </row>
    <row r="721" customFormat="false" ht="15" hidden="false" customHeight="false" outlineLevel="0" collapsed="false">
      <c r="A721" s="5" t="str">
        <f aca="false">'Source Data'!A718</f>
        <v>bioMerieux</v>
      </c>
      <c r="B721" s="5" t="str">
        <f aca="false">'Source Data'!B718</f>
        <v>Healthcare: Biotechnology</v>
      </c>
      <c r="C721" s="6" t="n">
        <f aca="false">'Source Data'!C718</f>
        <v>12</v>
      </c>
      <c r="D721" s="6" t="n">
        <f aca="false">'Source Data'!E718</f>
        <v>0</v>
      </c>
      <c r="E721" s="6" t="n">
        <f aca="false">IFERROR(N(C721)-N(D721),"")</f>
        <v>12</v>
      </c>
      <c r="F721" s="7" t="str">
        <f aca="false">IF(E721&gt;0,"Yes",IF(E721&lt;0,"No (Paternity higher)","Equal"))</f>
        <v>Yes</v>
      </c>
    </row>
    <row r="722" customFormat="false" ht="15" hidden="false" customHeight="false" outlineLevel="0" collapsed="false">
      <c r="A722" s="5" t="str">
        <f aca="false">'Source Data'!A719</f>
        <v>Bolt Threads</v>
      </c>
      <c r="B722" s="5" t="str">
        <f aca="false">'Source Data'!B719</f>
        <v>Healthcare: Biotechnology</v>
      </c>
      <c r="C722" s="6" t="n">
        <f aca="false">'Source Data'!C719</f>
        <v>12</v>
      </c>
      <c r="D722" s="6" t="n">
        <f aca="false">'Source Data'!E719</f>
        <v>0</v>
      </c>
      <c r="E722" s="6" t="n">
        <f aca="false">IFERROR(N(C722)-N(D722),"")</f>
        <v>12</v>
      </c>
      <c r="F722" s="7" t="str">
        <f aca="false">IF(E722&gt;0,"Yes",IF(E722&lt;0,"No (Paternity higher)","Equal"))</f>
        <v>Yes</v>
      </c>
    </row>
    <row r="723" customFormat="false" ht="15" hidden="false" customHeight="false" outlineLevel="0" collapsed="false">
      <c r="A723" s="5" t="str">
        <f aca="false">'Source Data'!A720</f>
        <v>Charles River Laboratories</v>
      </c>
      <c r="B723" s="5" t="str">
        <f aca="false">'Source Data'!B720</f>
        <v>Healthcare: Biotechnology</v>
      </c>
      <c r="C723" s="6" t="n">
        <f aca="false">'Source Data'!C720</f>
        <v>9</v>
      </c>
      <c r="D723" s="6" t="n">
        <f aca="false">'Source Data'!E720</f>
        <v>0</v>
      </c>
      <c r="E723" s="6" t="n">
        <f aca="false">IFERROR(N(C723)-N(D723),"")</f>
        <v>9</v>
      </c>
      <c r="F723" s="7" t="str">
        <f aca="false">IF(E723&gt;0,"Yes",IF(E723&lt;0,"No (Paternity higher)","Equal"))</f>
        <v>Yes</v>
      </c>
    </row>
    <row r="724" customFormat="false" ht="15" hidden="false" customHeight="false" outlineLevel="0" collapsed="false">
      <c r="A724" s="5" t="str">
        <f aca="false">'Source Data'!A721</f>
        <v>Genentech</v>
      </c>
      <c r="B724" s="5" t="str">
        <f aca="false">'Source Data'!B721</f>
        <v>Healthcare: Biotechnology</v>
      </c>
      <c r="C724" s="6" t="n">
        <f aca="false">'Source Data'!C721</f>
        <v>12</v>
      </c>
      <c r="D724" s="6" t="n">
        <f aca="false">'Source Data'!E721</f>
        <v>0</v>
      </c>
      <c r="E724" s="6" t="n">
        <f aca="false">IFERROR(N(C724)-N(D724),"")</f>
        <v>12</v>
      </c>
      <c r="F724" s="7" t="str">
        <f aca="false">IF(E724&gt;0,"Yes",IF(E724&lt;0,"No (Paternity higher)","Equal"))</f>
        <v>Yes</v>
      </c>
    </row>
    <row r="725" customFormat="false" ht="15" hidden="false" customHeight="false" outlineLevel="0" collapsed="false">
      <c r="A725" s="5" t="str">
        <f aca="false">'Source Data'!A722</f>
        <v>Gilead Sciences, Inc.</v>
      </c>
      <c r="B725" s="5" t="str">
        <f aca="false">'Source Data'!B722</f>
        <v>Healthcare: Biotechnology</v>
      </c>
      <c r="C725" s="6" t="n">
        <f aca="false">'Source Data'!C722</f>
        <v>12</v>
      </c>
      <c r="D725" s="6" t="n">
        <f aca="false">'Source Data'!E722</f>
        <v>0</v>
      </c>
      <c r="E725" s="6" t="n">
        <f aca="false">IFERROR(N(C725)-N(D725),"")</f>
        <v>12</v>
      </c>
      <c r="F725" s="7" t="str">
        <f aca="false">IF(E725&gt;0,"Yes",IF(E725&lt;0,"No (Paternity higher)","Equal"))</f>
        <v>Yes</v>
      </c>
    </row>
    <row r="726" customFormat="false" ht="15" hidden="false" customHeight="false" outlineLevel="0" collapsed="false">
      <c r="A726" s="5" t="str">
        <f aca="false">'Source Data'!A723</f>
        <v>Idexx Laboratories</v>
      </c>
      <c r="B726" s="5" t="str">
        <f aca="false">'Source Data'!B723</f>
        <v>Healthcare: Biotechnology</v>
      </c>
      <c r="C726" s="6" t="n">
        <f aca="false">'Source Data'!C723</f>
        <v>12</v>
      </c>
      <c r="D726" s="6" t="n">
        <f aca="false">'Source Data'!E723</f>
        <v>0</v>
      </c>
      <c r="E726" s="6" t="n">
        <f aca="false">IFERROR(N(C726)-N(D726),"")</f>
        <v>12</v>
      </c>
      <c r="F726" s="7" t="str">
        <f aca="false">IF(E726&gt;0,"Yes",IF(E726&lt;0,"No (Paternity higher)","Equal"))</f>
        <v>Yes</v>
      </c>
    </row>
    <row r="727" customFormat="false" ht="15" hidden="false" customHeight="false" outlineLevel="0" collapsed="false">
      <c r="A727" s="5" t="str">
        <f aca="false">'Source Data'!A724</f>
        <v>NanoString Technologies</v>
      </c>
      <c r="B727" s="5" t="str">
        <f aca="false">'Source Data'!B724</f>
        <v>Healthcare: Biotechnology</v>
      </c>
      <c r="C727" s="6" t="n">
        <f aca="false">'Source Data'!C724</f>
        <v>12</v>
      </c>
      <c r="D727" s="6" t="n">
        <f aca="false">'Source Data'!E724</f>
        <v>0</v>
      </c>
      <c r="E727" s="6" t="n">
        <f aca="false">IFERROR(N(C727)-N(D727),"")</f>
        <v>12</v>
      </c>
      <c r="F727" s="7" t="str">
        <f aca="false">IF(E727&gt;0,"Yes",IF(E727&lt;0,"No (Paternity higher)","Equal"))</f>
        <v>Yes</v>
      </c>
    </row>
    <row r="728" customFormat="false" ht="15" hidden="false" customHeight="false" outlineLevel="0" collapsed="false">
      <c r="A728" s="5" t="str">
        <f aca="false">'Source Data'!A725</f>
        <v>Nova Biomedical</v>
      </c>
      <c r="B728" s="5" t="str">
        <f aca="false">'Source Data'!B725</f>
        <v>Healthcare: Biotechnology</v>
      </c>
      <c r="C728" s="6" t="n">
        <f aca="false">'Source Data'!C725</f>
        <v>6</v>
      </c>
      <c r="D728" s="6" t="n">
        <f aca="false">'Source Data'!E725</f>
        <v>0</v>
      </c>
      <c r="E728" s="6" t="n">
        <f aca="false">IFERROR(N(C728)-N(D728),"")</f>
        <v>6</v>
      </c>
      <c r="F728" s="7" t="str">
        <f aca="false">IF(E728&gt;0,"Yes",IF(E728&lt;0,"No (Paternity higher)","Equal"))</f>
        <v>Yes</v>
      </c>
    </row>
    <row r="729" customFormat="false" ht="15" hidden="false" customHeight="false" outlineLevel="0" collapsed="false">
      <c r="A729" s="5" t="str">
        <f aca="false">'Source Data'!A726</f>
        <v>Novozymes</v>
      </c>
      <c r="B729" s="5" t="str">
        <f aca="false">'Source Data'!B726</f>
        <v>Healthcare: Biotechnology</v>
      </c>
      <c r="C729" s="6" t="n">
        <f aca="false">'Source Data'!C726</f>
        <v>17</v>
      </c>
      <c r="D729" s="6" t="n">
        <f aca="false">'Source Data'!E726</f>
        <v>0</v>
      </c>
      <c r="E729" s="6" t="n">
        <f aca="false">IFERROR(N(C729)-N(D729),"")</f>
        <v>17</v>
      </c>
      <c r="F729" s="7" t="str">
        <f aca="false">IF(E729&gt;0,"Yes",IF(E729&lt;0,"No (Paternity higher)","Equal"))</f>
        <v>Yes</v>
      </c>
    </row>
    <row r="730" customFormat="false" ht="15" hidden="false" customHeight="false" outlineLevel="0" collapsed="false">
      <c r="A730" s="5" t="str">
        <f aca="false">'Source Data'!A727</f>
        <v>Promega Corporation</v>
      </c>
      <c r="B730" s="5" t="str">
        <f aca="false">'Source Data'!B727</f>
        <v>Healthcare: Biotechnology</v>
      </c>
      <c r="C730" s="6" t="n">
        <f aca="false">'Source Data'!C727</f>
        <v>4</v>
      </c>
      <c r="D730" s="6" t="n">
        <f aca="false">'Source Data'!E727</f>
        <v>0</v>
      </c>
      <c r="E730" s="6" t="n">
        <f aca="false">IFERROR(N(C730)-N(D730),"")</f>
        <v>4</v>
      </c>
      <c r="F730" s="7" t="str">
        <f aca="false">IF(E730&gt;0,"Yes",IF(E730&lt;0,"No (Paternity higher)","Equal"))</f>
        <v>Yes</v>
      </c>
    </row>
    <row r="731" customFormat="false" ht="15" hidden="false" customHeight="false" outlineLevel="0" collapsed="false">
      <c r="A731" s="5" t="str">
        <f aca="false">'Source Data'!A728</f>
        <v>SCIEX</v>
      </c>
      <c r="B731" s="5" t="str">
        <f aca="false">'Source Data'!B728</f>
        <v>Healthcare: Biotechnology</v>
      </c>
      <c r="C731" s="6" t="n">
        <f aca="false">'Source Data'!C728</f>
        <v>15</v>
      </c>
      <c r="D731" s="6" t="n">
        <f aca="false">'Source Data'!E728</f>
        <v>0</v>
      </c>
      <c r="E731" s="6" t="n">
        <f aca="false">IFERROR(N(C731)-N(D731),"")</f>
        <v>15</v>
      </c>
      <c r="F731" s="7" t="str">
        <f aca="false">IF(E731&gt;0,"Yes",IF(E731&lt;0,"No (Paternity higher)","Equal"))</f>
        <v>Yes</v>
      </c>
    </row>
    <row r="732" customFormat="false" ht="15" hidden="false" customHeight="false" outlineLevel="0" collapsed="false">
      <c r="A732" s="5" t="str">
        <f aca="false">'Source Data'!A729</f>
        <v>Bupa</v>
      </c>
      <c r="B732" s="5" t="str">
        <f aca="false">'Source Data'!B729</f>
        <v>Healthcare: Diversified</v>
      </c>
      <c r="C732" s="6" t="n">
        <f aca="false">'Source Data'!C729</f>
        <v>14</v>
      </c>
      <c r="D732" s="6" t="n">
        <f aca="false">'Source Data'!E729</f>
        <v>0</v>
      </c>
      <c r="E732" s="6" t="n">
        <f aca="false">IFERROR(N(C732)-N(D732),"")</f>
        <v>14</v>
      </c>
      <c r="F732" s="7" t="str">
        <f aca="false">IF(E732&gt;0,"Yes",IF(E732&lt;0,"No (Paternity higher)","Equal"))</f>
        <v>Yes</v>
      </c>
    </row>
    <row r="733" customFormat="false" ht="15" hidden="false" customHeight="false" outlineLevel="0" collapsed="false">
      <c r="A733" s="5" t="str">
        <f aca="false">'Source Data'!A730</f>
        <v>Call9</v>
      </c>
      <c r="B733" s="5" t="str">
        <f aca="false">'Source Data'!B730</f>
        <v>Healthcare: Diversified</v>
      </c>
      <c r="C733" s="6" t="n">
        <f aca="false">'Source Data'!C730</f>
        <v>8</v>
      </c>
      <c r="D733" s="6" t="n">
        <f aca="false">'Source Data'!E730</f>
        <v>0</v>
      </c>
      <c r="E733" s="6" t="n">
        <f aca="false">IFERROR(N(C733)-N(D733),"")</f>
        <v>8</v>
      </c>
      <c r="F733" s="7" t="str">
        <f aca="false">IF(E733&gt;0,"Yes",IF(E733&lt;0,"No (Paternity higher)","Equal"))</f>
        <v>Yes</v>
      </c>
    </row>
    <row r="734" customFormat="false" ht="15" hidden="false" customHeight="false" outlineLevel="0" collapsed="false">
      <c r="A734" s="5" t="str">
        <f aca="false">'Source Data'!A731</f>
        <v>Saint Francis Medical Center</v>
      </c>
      <c r="B734" s="5" t="str">
        <f aca="false">'Source Data'!B731</f>
        <v>Healthcare: Diversified</v>
      </c>
      <c r="C734" s="6" t="n">
        <f aca="false">'Source Data'!C731</f>
        <v>6</v>
      </c>
      <c r="D734" s="6" t="n">
        <f aca="false">'Source Data'!E731</f>
        <v>0</v>
      </c>
      <c r="E734" s="6" t="n">
        <f aca="false">IFERROR(N(C734)-N(D734),"")</f>
        <v>6</v>
      </c>
      <c r="F734" s="7" t="str">
        <f aca="false">IF(E734&gt;0,"Yes",IF(E734&lt;0,"No (Paternity higher)","Equal"))</f>
        <v>Yes</v>
      </c>
    </row>
    <row r="735" customFormat="false" ht="15" hidden="false" customHeight="false" outlineLevel="0" collapsed="false">
      <c r="A735" s="5" t="str">
        <f aca="false">'Source Data'!A732</f>
        <v>BAYADA</v>
      </c>
      <c r="B735" s="5" t="str">
        <f aca="false">'Source Data'!B732</f>
        <v>Healthcare: Family Care</v>
      </c>
      <c r="C735" s="6" t="n">
        <f aca="false">'Source Data'!C732</f>
        <v>0</v>
      </c>
      <c r="D735" s="6" t="n">
        <f aca="false">'Source Data'!E732</f>
        <v>0</v>
      </c>
      <c r="E735" s="6" t="n">
        <f aca="false">IFERROR(N(C735)-N(D735),"")</f>
        <v>0</v>
      </c>
      <c r="F735" s="7" t="str">
        <f aca="false">IF(E735&gt;0,"Yes",IF(E735&lt;0,"No (Paternity higher)","Equal"))</f>
        <v>Equal</v>
      </c>
    </row>
    <row r="736" customFormat="false" ht="15" hidden="false" customHeight="false" outlineLevel="0" collapsed="false">
      <c r="A736" s="5" t="str">
        <f aca="false">'Source Data'!A733</f>
        <v>Inspire Wellness</v>
      </c>
      <c r="B736" s="5" t="str">
        <f aca="false">'Source Data'!B733</f>
        <v>Healthcare: Family Care</v>
      </c>
      <c r="C736" s="6" t="n">
        <f aca="false">'Source Data'!C733</f>
        <v>12</v>
      </c>
      <c r="D736" s="6" t="n">
        <f aca="false">'Source Data'!E733</f>
        <v>0</v>
      </c>
      <c r="E736" s="6" t="n">
        <f aca="false">IFERROR(N(C736)-N(D736),"")</f>
        <v>12</v>
      </c>
      <c r="F736" s="7" t="str">
        <f aca="false">IF(E736&gt;0,"Yes",IF(E736&lt;0,"No (Paternity higher)","Equal"))</f>
        <v>Yes</v>
      </c>
    </row>
    <row r="737" customFormat="false" ht="15" hidden="false" customHeight="false" outlineLevel="0" collapsed="false">
      <c r="A737" s="5" t="str">
        <f aca="false">'Source Data'!A734</f>
        <v>Landmark Health</v>
      </c>
      <c r="B737" s="5" t="str">
        <f aca="false">'Source Data'!B734</f>
        <v>Healthcare: Family Care</v>
      </c>
      <c r="C737" s="6" t="n">
        <f aca="false">'Source Data'!C734</f>
        <v>4</v>
      </c>
      <c r="D737" s="6" t="n">
        <f aca="false">'Source Data'!E734</f>
        <v>0</v>
      </c>
      <c r="E737" s="6" t="n">
        <f aca="false">IFERROR(N(C737)-N(D737),"")</f>
        <v>4</v>
      </c>
      <c r="F737" s="7" t="str">
        <f aca="false">IF(E737&gt;0,"Yes",IF(E737&lt;0,"No (Paternity higher)","Equal"))</f>
        <v>Yes</v>
      </c>
    </row>
    <row r="738" customFormat="false" ht="15" hidden="false" customHeight="false" outlineLevel="0" collapsed="false">
      <c r="A738" s="5" t="str">
        <f aca="false">'Source Data'!A735</f>
        <v>Southwest Idaho Treatment Center</v>
      </c>
      <c r="B738" s="5" t="str">
        <f aca="false">'Source Data'!B735</f>
        <v>Healthcare: Family Care</v>
      </c>
      <c r="C738" s="6" t="n">
        <f aca="false">'Source Data'!C735</f>
        <v>12</v>
      </c>
      <c r="D738" s="6" t="n">
        <f aca="false">'Source Data'!E735</f>
        <v>0</v>
      </c>
      <c r="E738" s="6" t="n">
        <f aca="false">IFERROR(N(C738)-N(D738),"")</f>
        <v>12</v>
      </c>
      <c r="F738" s="7" t="str">
        <f aca="false">IF(E738&gt;0,"Yes",IF(E738&lt;0,"No (Paternity higher)","Equal"))</f>
        <v>Yes</v>
      </c>
    </row>
    <row r="739" customFormat="false" ht="15" hidden="false" customHeight="false" outlineLevel="0" collapsed="false">
      <c r="A739" s="5" t="str">
        <f aca="false">'Source Data'!A736</f>
        <v>Ascension Health</v>
      </c>
      <c r="B739" s="5" t="str">
        <f aca="false">'Source Data'!B736</f>
        <v>Healthcare: Hospitals &amp; Clinics</v>
      </c>
      <c r="C739" s="6" t="n">
        <f aca="false">'Source Data'!C736</f>
        <v>8</v>
      </c>
      <c r="D739" s="6" t="n">
        <f aca="false">'Source Data'!E736</f>
        <v>0</v>
      </c>
      <c r="E739" s="6" t="n">
        <f aca="false">IFERROR(N(C739)-N(D739),"")</f>
        <v>8</v>
      </c>
      <c r="F739" s="7" t="str">
        <f aca="false">IF(E739&gt;0,"Yes",IF(E739&lt;0,"No (Paternity higher)","Equal"))</f>
        <v>Yes</v>
      </c>
    </row>
    <row r="740" customFormat="false" ht="15" hidden="false" customHeight="false" outlineLevel="0" collapsed="false">
      <c r="A740" s="5" t="str">
        <f aca="false">'Source Data'!A737</f>
        <v>Baptist Health System</v>
      </c>
      <c r="B740" s="5" t="str">
        <f aca="false">'Source Data'!B737</f>
        <v>Healthcare: Hospitals &amp; Clinics</v>
      </c>
      <c r="C740" s="6" t="n">
        <f aca="false">'Source Data'!C737</f>
        <v>12</v>
      </c>
      <c r="D740" s="6" t="n">
        <f aca="false">'Source Data'!E737</f>
        <v>0</v>
      </c>
      <c r="E740" s="6" t="n">
        <f aca="false">IFERROR(N(C740)-N(D740),"")</f>
        <v>12</v>
      </c>
      <c r="F740" s="7" t="str">
        <f aca="false">IF(E740&gt;0,"Yes",IF(E740&lt;0,"No (Paternity higher)","Equal"))</f>
        <v>Yes</v>
      </c>
    </row>
    <row r="741" customFormat="false" ht="15" hidden="false" customHeight="false" outlineLevel="0" collapsed="false">
      <c r="A741" s="5" t="str">
        <f aca="false">'Source Data'!A738</f>
        <v>Bon Secours Mercy Health</v>
      </c>
      <c r="B741" s="5" t="str">
        <f aca="false">'Source Data'!B738</f>
        <v>Healthcare: Hospitals &amp; Clinics</v>
      </c>
      <c r="C741" s="6" t="n">
        <f aca="false">'Source Data'!C738</f>
        <v>8</v>
      </c>
      <c r="D741" s="6" t="n">
        <f aca="false">'Source Data'!E738</f>
        <v>0</v>
      </c>
      <c r="E741" s="6" t="n">
        <f aca="false">IFERROR(N(C741)-N(D741),"")</f>
        <v>8</v>
      </c>
      <c r="F741" s="7" t="str">
        <f aca="false">IF(E741&gt;0,"Yes",IF(E741&lt;0,"No (Paternity higher)","Equal"))</f>
        <v>Yes</v>
      </c>
    </row>
    <row r="742" customFormat="false" ht="15" hidden="false" customHeight="false" outlineLevel="0" collapsed="false">
      <c r="A742" s="5" t="str">
        <f aca="false">'Source Data'!A739</f>
        <v>Central Maine Medical Center</v>
      </c>
      <c r="B742" s="5" t="str">
        <f aca="false">'Source Data'!B739</f>
        <v>Healthcare: Hospitals &amp; Clinics</v>
      </c>
      <c r="C742" s="6" t="n">
        <f aca="false">'Source Data'!C739</f>
        <v>12</v>
      </c>
      <c r="D742" s="6" t="n">
        <f aca="false">'Source Data'!E739</f>
        <v>0</v>
      </c>
      <c r="E742" s="6" t="n">
        <f aca="false">IFERROR(N(C742)-N(D742),"")</f>
        <v>12</v>
      </c>
      <c r="F742" s="7" t="str">
        <f aca="false">IF(E742&gt;0,"Yes",IF(E742&lt;0,"No (Paternity higher)","Equal"))</f>
        <v>Yes</v>
      </c>
    </row>
    <row r="743" customFormat="false" ht="15" hidden="false" customHeight="false" outlineLevel="0" collapsed="false">
      <c r="A743" s="5" t="str">
        <f aca="false">'Source Data'!A740</f>
        <v>Children's Hospital of Pittsburgh of UPMC</v>
      </c>
      <c r="B743" s="5" t="str">
        <f aca="false">'Source Data'!B740</f>
        <v>Healthcare: Hospitals &amp; Clinics</v>
      </c>
      <c r="C743" s="6" t="n">
        <f aca="false">'Source Data'!C740</f>
        <v>2</v>
      </c>
      <c r="D743" s="6" t="n">
        <f aca="false">'Source Data'!E740</f>
        <v>0</v>
      </c>
      <c r="E743" s="6" t="n">
        <f aca="false">IFERROR(N(C743)-N(D743),"")</f>
        <v>2</v>
      </c>
      <c r="F743" s="7" t="str">
        <f aca="false">IF(E743&gt;0,"Yes",IF(E743&lt;0,"No (Paternity higher)","Equal"))</f>
        <v>Yes</v>
      </c>
    </row>
    <row r="744" customFormat="false" ht="15" hidden="false" customHeight="false" outlineLevel="0" collapsed="false">
      <c r="A744" s="5" t="str">
        <f aca="false">'Source Data'!A741</f>
        <v>Children's Wisconsin</v>
      </c>
      <c r="B744" s="5" t="str">
        <f aca="false">'Source Data'!B741</f>
        <v>Healthcare: Hospitals &amp; Clinics</v>
      </c>
      <c r="C744" s="6" t="n">
        <f aca="false">'Source Data'!C741</f>
        <v>0</v>
      </c>
      <c r="D744" s="6" t="n">
        <f aca="false">'Source Data'!E741</f>
        <v>0</v>
      </c>
      <c r="E744" s="6" t="n">
        <f aca="false">IFERROR(N(C744)-N(D744),"")</f>
        <v>0</v>
      </c>
      <c r="F744" s="7" t="str">
        <f aca="false">IF(E744&gt;0,"Yes",IF(E744&lt;0,"No (Paternity higher)","Equal"))</f>
        <v>Equal</v>
      </c>
    </row>
    <row r="745" customFormat="false" ht="15" hidden="false" customHeight="false" outlineLevel="0" collapsed="false">
      <c r="A745" s="5" t="str">
        <f aca="false">'Source Data'!A742</f>
        <v>Christiana Care Health System</v>
      </c>
      <c r="B745" s="5" t="str">
        <f aca="false">'Source Data'!B742</f>
        <v>Healthcare: Hospitals &amp; Clinics</v>
      </c>
      <c r="C745" s="6" t="n">
        <f aca="false">'Source Data'!C742</f>
        <v>6</v>
      </c>
      <c r="D745" s="6" t="n">
        <f aca="false">'Source Data'!E742</f>
        <v>0</v>
      </c>
      <c r="E745" s="6" t="n">
        <f aca="false">IFERROR(N(C745)-N(D745),"")</f>
        <v>6</v>
      </c>
      <c r="F745" s="7" t="str">
        <f aca="false">IF(E745&gt;0,"Yes",IF(E745&lt;0,"No (Paternity higher)","Equal"))</f>
        <v>Yes</v>
      </c>
    </row>
    <row r="746" customFormat="false" ht="15" hidden="false" customHeight="false" outlineLevel="0" collapsed="false">
      <c r="A746" s="5" t="str">
        <f aca="false">'Source Data'!A743</f>
        <v>Cincinnati Children's Hospital Medical Center</v>
      </c>
      <c r="B746" s="5" t="str">
        <f aca="false">'Source Data'!B743</f>
        <v>Healthcare: Hospitals &amp; Clinics</v>
      </c>
      <c r="C746" s="6" t="n">
        <f aca="false">'Source Data'!C743</f>
        <v>12</v>
      </c>
      <c r="D746" s="6" t="n">
        <f aca="false">'Source Data'!E743</f>
        <v>0</v>
      </c>
      <c r="E746" s="6" t="n">
        <f aca="false">IFERROR(N(C746)-N(D746),"")</f>
        <v>12</v>
      </c>
      <c r="F746" s="7" t="str">
        <f aca="false">IF(E746&gt;0,"Yes",IF(E746&lt;0,"No (Paternity higher)","Equal"))</f>
        <v>Yes</v>
      </c>
    </row>
    <row r="747" customFormat="false" ht="15" hidden="false" customHeight="false" outlineLevel="0" collapsed="false">
      <c r="A747" s="5" t="str">
        <f aca="false">'Source Data'!A744</f>
        <v>Duke Health</v>
      </c>
      <c r="B747" s="5" t="str">
        <f aca="false">'Source Data'!B744</f>
        <v>Healthcare: Hospitals &amp; Clinics</v>
      </c>
      <c r="C747" s="6" t="n">
        <f aca="false">'Source Data'!C744</f>
        <v>6</v>
      </c>
      <c r="D747" s="6" t="n">
        <f aca="false">'Source Data'!E744</f>
        <v>0</v>
      </c>
      <c r="E747" s="6" t="n">
        <f aca="false">IFERROR(N(C747)-N(D747),"")</f>
        <v>6</v>
      </c>
      <c r="F747" s="7" t="str">
        <f aca="false">IF(E747&gt;0,"Yes",IF(E747&lt;0,"No (Paternity higher)","Equal"))</f>
        <v>Yes</v>
      </c>
    </row>
    <row r="748" customFormat="false" ht="15" hidden="false" customHeight="false" outlineLevel="0" collapsed="false">
      <c r="A748" s="5" t="str">
        <f aca="false">'Source Data'!A745</f>
        <v>Everett Clinic</v>
      </c>
      <c r="B748" s="5" t="str">
        <f aca="false">'Source Data'!B745</f>
        <v>Healthcare: Hospitals &amp; Clinics</v>
      </c>
      <c r="C748" s="6" t="n">
        <f aca="false">'Source Data'!C745</f>
        <v>12</v>
      </c>
      <c r="D748" s="6" t="n">
        <f aca="false">'Source Data'!E745</f>
        <v>0</v>
      </c>
      <c r="E748" s="6" t="n">
        <f aca="false">IFERROR(N(C748)-N(D748),"")</f>
        <v>12</v>
      </c>
      <c r="F748" s="7" t="str">
        <f aca="false">IF(E748&gt;0,"Yes",IF(E748&lt;0,"No (Paternity higher)","Equal"))</f>
        <v>Yes</v>
      </c>
    </row>
    <row r="749" customFormat="false" ht="15" hidden="false" customHeight="false" outlineLevel="0" collapsed="false">
      <c r="A749" s="5" t="str">
        <f aca="false">'Source Data'!A746</f>
        <v>Houston Methodist Hospital</v>
      </c>
      <c r="B749" s="5" t="str">
        <f aca="false">'Source Data'!B746</f>
        <v>Healthcare: Hospitals &amp; Clinics</v>
      </c>
      <c r="C749" s="6" t="n">
        <f aca="false">'Source Data'!C746</f>
        <v>6</v>
      </c>
      <c r="D749" s="6" t="n">
        <f aca="false">'Source Data'!E746</f>
        <v>0</v>
      </c>
      <c r="E749" s="6" t="n">
        <f aca="false">IFERROR(N(C749)-N(D749),"")</f>
        <v>6</v>
      </c>
      <c r="F749" s="7" t="str">
        <f aca="false">IF(E749&gt;0,"Yes",IF(E749&lt;0,"No (Paternity higher)","Equal"))</f>
        <v>Yes</v>
      </c>
    </row>
    <row r="750" customFormat="false" ht="15" hidden="false" customHeight="false" outlineLevel="0" collapsed="false">
      <c r="A750" s="5" t="str">
        <f aca="false">'Source Data'!A747</f>
        <v>Johns Hopkins All Children's Hospital</v>
      </c>
      <c r="B750" s="5" t="str">
        <f aca="false">'Source Data'!B747</f>
        <v>Healthcare: Hospitals &amp; Clinics</v>
      </c>
      <c r="C750" s="6" t="n">
        <f aca="false">'Source Data'!C747</f>
        <v>8</v>
      </c>
      <c r="D750" s="6" t="n">
        <f aca="false">'Source Data'!E747</f>
        <v>0</v>
      </c>
      <c r="E750" s="6" t="n">
        <f aca="false">IFERROR(N(C750)-N(D750),"")</f>
        <v>8</v>
      </c>
      <c r="F750" s="7" t="str">
        <f aca="false">IF(E750&gt;0,"Yes",IF(E750&lt;0,"No (Paternity higher)","Equal"))</f>
        <v>Yes</v>
      </c>
    </row>
    <row r="751" customFormat="false" ht="15" hidden="false" customHeight="false" outlineLevel="0" collapsed="false">
      <c r="A751" s="5" t="str">
        <f aca="false">'Source Data'!A748</f>
        <v>Lovelace Health System</v>
      </c>
      <c r="B751" s="5" t="str">
        <f aca="false">'Source Data'!B748</f>
        <v>Healthcare: Hospitals &amp; Clinics</v>
      </c>
      <c r="C751" s="6" t="n">
        <f aca="false">'Source Data'!C748</f>
        <v>0</v>
      </c>
      <c r="D751" s="6" t="n">
        <f aca="false">'Source Data'!E748</f>
        <v>0</v>
      </c>
      <c r="E751" s="6" t="n">
        <f aca="false">IFERROR(N(C751)-N(D751),"")</f>
        <v>0</v>
      </c>
      <c r="F751" s="7" t="str">
        <f aca="false">IF(E751&gt;0,"Yes",IF(E751&lt;0,"No (Paternity higher)","Equal"))</f>
        <v>Equal</v>
      </c>
    </row>
    <row r="752" customFormat="false" ht="15" hidden="false" customHeight="false" outlineLevel="0" collapsed="false">
      <c r="A752" s="5" t="str">
        <f aca="false">'Source Data'!A749</f>
        <v>Mercy</v>
      </c>
      <c r="B752" s="5" t="str">
        <f aca="false">'Source Data'!B749</f>
        <v>Healthcare: Hospitals &amp; Clinics</v>
      </c>
      <c r="C752" s="6" t="n">
        <f aca="false">'Source Data'!C749</f>
        <v>4</v>
      </c>
      <c r="D752" s="6" t="n">
        <f aca="false">'Source Data'!E749</f>
        <v>0</v>
      </c>
      <c r="E752" s="6" t="n">
        <f aca="false">IFERROR(N(C752)-N(D752),"")</f>
        <v>4</v>
      </c>
      <c r="F752" s="7" t="str">
        <f aca="false">IF(E752&gt;0,"Yes",IF(E752&lt;0,"No (Paternity higher)","Equal"))</f>
        <v>Yes</v>
      </c>
    </row>
    <row r="753" customFormat="false" ht="15" hidden="false" customHeight="false" outlineLevel="0" collapsed="false">
      <c r="A753" s="5" t="str">
        <f aca="false">'Source Data'!A750</f>
        <v>MetroHealth Medical Center</v>
      </c>
      <c r="B753" s="5" t="str">
        <f aca="false">'Source Data'!B750</f>
        <v>Healthcare: Hospitals &amp; Clinics</v>
      </c>
      <c r="C753" s="6" t="n">
        <f aca="false">'Source Data'!C750</f>
        <v>12</v>
      </c>
      <c r="D753" s="6" t="n">
        <f aca="false">'Source Data'!E750</f>
        <v>0</v>
      </c>
      <c r="E753" s="6" t="n">
        <f aca="false">IFERROR(N(C753)-N(D753),"")</f>
        <v>12</v>
      </c>
      <c r="F753" s="7" t="str">
        <f aca="false">IF(E753&gt;0,"Yes",IF(E753&lt;0,"No (Paternity higher)","Equal"))</f>
        <v>Yes</v>
      </c>
    </row>
    <row r="754" customFormat="false" ht="15" hidden="false" customHeight="false" outlineLevel="0" collapsed="false">
      <c r="A754" s="5" t="str">
        <f aca="false">'Source Data'!A751</f>
        <v>Michigan Medicine</v>
      </c>
      <c r="B754" s="5" t="str">
        <f aca="false">'Source Data'!B751</f>
        <v>Healthcare: Hospitals &amp; Clinics</v>
      </c>
      <c r="C754" s="6" t="n">
        <f aca="false">'Source Data'!C751</f>
        <v>6</v>
      </c>
      <c r="D754" s="6" t="n">
        <f aca="false">'Source Data'!E751</f>
        <v>0</v>
      </c>
      <c r="E754" s="6" t="n">
        <f aca="false">IFERROR(N(C754)-N(D754),"")</f>
        <v>6</v>
      </c>
      <c r="F754" s="7" t="str">
        <f aca="false">IF(E754&gt;0,"Yes",IF(E754&lt;0,"No (Paternity higher)","Equal"))</f>
        <v>Yes</v>
      </c>
    </row>
    <row r="755" customFormat="false" ht="15" hidden="false" customHeight="false" outlineLevel="0" collapsed="false">
      <c r="A755" s="5" t="str">
        <f aca="false">'Source Data'!A752</f>
        <v>Molina Healthcare</v>
      </c>
      <c r="B755" s="5" t="str">
        <f aca="false">'Source Data'!B752</f>
        <v>Healthcare: Hospitals &amp; Clinics</v>
      </c>
      <c r="C755" s="6" t="n">
        <f aca="false">'Source Data'!C752</f>
        <v>6</v>
      </c>
      <c r="D755" s="6" t="n">
        <f aca="false">'Source Data'!E752</f>
        <v>0</v>
      </c>
      <c r="E755" s="6" t="n">
        <f aca="false">IFERROR(N(C755)-N(D755),"")</f>
        <v>6</v>
      </c>
      <c r="F755" s="7" t="str">
        <f aca="false">IF(E755&gt;0,"Yes",IF(E755&lt;0,"No (Paternity higher)","Equal"))</f>
        <v>Yes</v>
      </c>
    </row>
    <row r="756" customFormat="false" ht="15" hidden="false" customHeight="false" outlineLevel="0" collapsed="false">
      <c r="A756" s="5" t="str">
        <f aca="false">'Source Data'!A753</f>
        <v>Montefiore Medical Center</v>
      </c>
      <c r="B756" s="5" t="str">
        <f aca="false">'Source Data'!B753</f>
        <v>Healthcare: Hospitals &amp; Clinics</v>
      </c>
      <c r="C756" s="6" t="n">
        <f aca="false">'Source Data'!C753</f>
        <v>0</v>
      </c>
      <c r="D756" s="6" t="n">
        <f aca="false">'Source Data'!E753</f>
        <v>0</v>
      </c>
      <c r="E756" s="6" t="n">
        <f aca="false">IFERROR(N(C756)-N(D756),"")</f>
        <v>0</v>
      </c>
      <c r="F756" s="7" t="str">
        <f aca="false">IF(E756&gt;0,"Yes",IF(E756&lt;0,"No (Paternity higher)","Equal"))</f>
        <v>Equal</v>
      </c>
    </row>
    <row r="757" customFormat="false" ht="15" hidden="false" customHeight="false" outlineLevel="0" collapsed="false">
      <c r="A757" s="5" t="str">
        <f aca="false">'Source Data'!A754</f>
        <v>Moses Cone</v>
      </c>
      <c r="B757" s="5" t="str">
        <f aca="false">'Source Data'!B754</f>
        <v>Healthcare: Hospitals &amp; Clinics</v>
      </c>
      <c r="C757" s="6" t="n">
        <f aca="false">'Source Data'!C754</f>
        <v>0</v>
      </c>
      <c r="D757" s="6" t="n">
        <f aca="false">'Source Data'!E754</f>
        <v>0</v>
      </c>
      <c r="E757" s="6" t="n">
        <f aca="false">IFERROR(N(C757)-N(D757),"")</f>
        <v>0</v>
      </c>
      <c r="F757" s="7" t="str">
        <f aca="false">IF(E757&gt;0,"Yes",IF(E757&lt;0,"No (Paternity higher)","Equal"))</f>
        <v>Equal</v>
      </c>
    </row>
    <row r="758" customFormat="false" ht="15" hidden="false" customHeight="false" outlineLevel="0" collapsed="false">
      <c r="A758" s="5" t="str">
        <f aca="false">'Source Data'!A755</f>
        <v>New Century Health</v>
      </c>
      <c r="B758" s="5" t="str">
        <f aca="false">'Source Data'!B755</f>
        <v>Healthcare: Hospitals &amp; Clinics</v>
      </c>
      <c r="C758" s="6" t="n">
        <f aca="false">'Source Data'!C755</f>
        <v>12</v>
      </c>
      <c r="D758" s="6" t="n">
        <f aca="false">'Source Data'!E755</f>
        <v>0</v>
      </c>
      <c r="E758" s="6" t="n">
        <f aca="false">IFERROR(N(C758)-N(D758),"")</f>
        <v>12</v>
      </c>
      <c r="F758" s="7" t="str">
        <f aca="false">IF(E758&gt;0,"Yes",IF(E758&lt;0,"No (Paternity higher)","Equal"))</f>
        <v>Yes</v>
      </c>
    </row>
    <row r="759" customFormat="false" ht="15" hidden="false" customHeight="false" outlineLevel="0" collapsed="false">
      <c r="A759" s="5" t="str">
        <f aca="false">'Source Data'!A756</f>
        <v>New York State Psychiatric Institute</v>
      </c>
      <c r="B759" s="5" t="str">
        <f aca="false">'Source Data'!B756</f>
        <v>Healthcare: Hospitals &amp; Clinics</v>
      </c>
      <c r="C759" s="6" t="n">
        <f aca="false">'Source Data'!C756</f>
        <v>12</v>
      </c>
      <c r="D759" s="6" t="n">
        <f aca="false">'Source Data'!E756</f>
        <v>0</v>
      </c>
      <c r="E759" s="6" t="n">
        <f aca="false">IFERROR(N(C759)-N(D759),"")</f>
        <v>12</v>
      </c>
      <c r="F759" s="7" t="str">
        <f aca="false">IF(E759&gt;0,"Yes",IF(E759&lt;0,"No (Paternity higher)","Equal"))</f>
        <v>Yes</v>
      </c>
    </row>
    <row r="760" customFormat="false" ht="15" hidden="false" customHeight="false" outlineLevel="0" collapsed="false">
      <c r="A760" s="5" t="str">
        <f aca="false">'Source Data'!A757</f>
        <v>Northwell Health</v>
      </c>
      <c r="B760" s="5" t="str">
        <f aca="false">'Source Data'!B757</f>
        <v>Healthcare: Hospitals &amp; Clinics</v>
      </c>
      <c r="C760" s="6" t="n">
        <f aca="false">'Source Data'!C757</f>
        <v>0</v>
      </c>
      <c r="D760" s="6" t="n">
        <f aca="false">'Source Data'!E757</f>
        <v>0</v>
      </c>
      <c r="E760" s="6" t="n">
        <f aca="false">IFERROR(N(C760)-N(D760),"")</f>
        <v>0</v>
      </c>
      <c r="F760" s="7" t="str">
        <f aca="false">IF(E760&gt;0,"Yes",IF(E760&lt;0,"No (Paternity higher)","Equal"))</f>
        <v>Equal</v>
      </c>
    </row>
    <row r="761" customFormat="false" ht="15" hidden="false" customHeight="false" outlineLevel="0" collapsed="false">
      <c r="A761" s="5" t="str">
        <f aca="false">'Source Data'!A758</f>
        <v>NYU Langone Health</v>
      </c>
      <c r="B761" s="5" t="str">
        <f aca="false">'Source Data'!B758</f>
        <v>Healthcare: Hospitals &amp; Clinics</v>
      </c>
      <c r="C761" s="6" t="n">
        <f aca="false">'Source Data'!C758</f>
        <v>9.5</v>
      </c>
      <c r="D761" s="6" t="n">
        <f aca="false">'Source Data'!E758</f>
        <v>0</v>
      </c>
      <c r="E761" s="6" t="n">
        <f aca="false">IFERROR(N(C761)-N(D761),"")</f>
        <v>9.5</v>
      </c>
      <c r="F761" s="7" t="str">
        <f aca="false">IF(E761&gt;0,"Yes",IF(E761&lt;0,"No (Paternity higher)","Equal"))</f>
        <v>Yes</v>
      </c>
    </row>
    <row r="762" customFormat="false" ht="15" hidden="false" customHeight="false" outlineLevel="0" collapsed="false">
      <c r="A762" s="5" t="str">
        <f aca="false">'Source Data'!A759</f>
        <v>Partners Healthcare</v>
      </c>
      <c r="B762" s="5" t="str">
        <f aca="false">'Source Data'!B759</f>
        <v>Healthcare: Hospitals &amp; Clinics</v>
      </c>
      <c r="C762" s="6" t="n">
        <f aca="false">'Source Data'!C759</f>
        <v>8</v>
      </c>
      <c r="D762" s="6" t="n">
        <f aca="false">'Source Data'!E759</f>
        <v>0</v>
      </c>
      <c r="E762" s="6" t="n">
        <f aca="false">IFERROR(N(C762)-N(D762),"")</f>
        <v>8</v>
      </c>
      <c r="F762" s="7" t="str">
        <f aca="false">IF(E762&gt;0,"Yes",IF(E762&lt;0,"No (Paternity higher)","Equal"))</f>
        <v>Yes</v>
      </c>
    </row>
    <row r="763" customFormat="false" ht="15" hidden="false" customHeight="false" outlineLevel="0" collapsed="false">
      <c r="A763" s="5" t="str">
        <f aca="false">'Source Data'!A760</f>
        <v>Penn Medicine</v>
      </c>
      <c r="B763" s="5" t="str">
        <f aca="false">'Source Data'!B760</f>
        <v>Healthcare: Hospitals &amp; Clinics</v>
      </c>
      <c r="C763" s="6" t="n">
        <f aca="false">'Source Data'!C760</f>
        <v>6</v>
      </c>
      <c r="D763" s="6" t="n">
        <f aca="false">'Source Data'!E760</f>
        <v>0</v>
      </c>
      <c r="E763" s="6" t="n">
        <f aca="false">IFERROR(N(C763)-N(D763),"")</f>
        <v>6</v>
      </c>
      <c r="F763" s="7" t="str">
        <f aca="false">IF(E763&gt;0,"Yes",IF(E763&lt;0,"No (Paternity higher)","Equal"))</f>
        <v>Yes</v>
      </c>
    </row>
    <row r="764" customFormat="false" ht="15" hidden="false" customHeight="false" outlineLevel="0" collapsed="false">
      <c r="A764" s="5" t="str">
        <f aca="false">'Source Data'!A761</f>
        <v>Providence</v>
      </c>
      <c r="B764" s="5" t="str">
        <f aca="false">'Source Data'!B761</f>
        <v>Healthcare: Hospitals &amp; Clinics</v>
      </c>
      <c r="C764" s="6" t="n">
        <f aca="false">'Source Data'!C761</f>
        <v>8</v>
      </c>
      <c r="D764" s="6" t="n">
        <f aca="false">'Source Data'!E761</f>
        <v>0</v>
      </c>
      <c r="E764" s="6" t="n">
        <f aca="false">IFERROR(N(C764)-N(D764),"")</f>
        <v>8</v>
      </c>
      <c r="F764" s="7" t="str">
        <f aca="false">IF(E764&gt;0,"Yes",IF(E764&lt;0,"No (Paternity higher)","Equal"))</f>
        <v>Yes</v>
      </c>
    </row>
    <row r="765" customFormat="false" ht="15" hidden="false" customHeight="false" outlineLevel="0" collapsed="false">
      <c r="A765" s="5" t="str">
        <f aca="false">'Source Data'!A762</f>
        <v>Temple University Hospital</v>
      </c>
      <c r="B765" s="5" t="str">
        <f aca="false">'Source Data'!B762</f>
        <v>Healthcare: Hospitals &amp; Clinics</v>
      </c>
      <c r="C765" s="6" t="n">
        <f aca="false">'Source Data'!C762</f>
        <v>0</v>
      </c>
      <c r="D765" s="6" t="n">
        <f aca="false">'Source Data'!E762</f>
        <v>0</v>
      </c>
      <c r="E765" s="6" t="n">
        <f aca="false">IFERROR(N(C765)-N(D765),"")</f>
        <v>0</v>
      </c>
      <c r="F765" s="7" t="str">
        <f aca="false">IF(E765&gt;0,"Yes",IF(E765&lt;0,"No (Paternity higher)","Equal"))</f>
        <v>Equal</v>
      </c>
    </row>
    <row r="766" customFormat="false" ht="15" hidden="false" customHeight="false" outlineLevel="0" collapsed="false">
      <c r="A766" s="5" t="str">
        <f aca="false">'Source Data'!A763</f>
        <v>Texas Children's Hospital</v>
      </c>
      <c r="B766" s="5" t="str">
        <f aca="false">'Source Data'!B763</f>
        <v>Healthcare: Hospitals &amp; Clinics</v>
      </c>
      <c r="C766" s="6" t="n">
        <f aca="false">'Source Data'!C763</f>
        <v>0</v>
      </c>
      <c r="D766" s="6" t="n">
        <f aca="false">'Source Data'!E763</f>
        <v>0</v>
      </c>
      <c r="E766" s="6" t="n">
        <f aca="false">IFERROR(N(C766)-N(D766),"")</f>
        <v>0</v>
      </c>
      <c r="F766" s="7" t="str">
        <f aca="false">IF(E766&gt;0,"Yes",IF(E766&lt;0,"No (Paternity higher)","Equal"))</f>
        <v>Equal</v>
      </c>
    </row>
    <row r="767" customFormat="false" ht="15" hidden="false" customHeight="false" outlineLevel="0" collapsed="false">
      <c r="A767" s="5" t="str">
        <f aca="false">'Source Data'!A764</f>
        <v>LabCorp</v>
      </c>
      <c r="B767" s="5" t="str">
        <f aca="false">'Source Data'!B764</f>
        <v>Healthcare: Laboratory Testing</v>
      </c>
      <c r="C767" s="6" t="n">
        <f aca="false">'Source Data'!C764</f>
        <v>6</v>
      </c>
      <c r="D767" s="6" t="n">
        <f aca="false">'Source Data'!E764</f>
        <v>0</v>
      </c>
      <c r="E767" s="6" t="n">
        <f aca="false">IFERROR(N(C767)-N(D767),"")</f>
        <v>6</v>
      </c>
      <c r="F767" s="7" t="str">
        <f aca="false">IF(E767&gt;0,"Yes",IF(E767&lt;0,"No (Paternity higher)","Equal"))</f>
        <v>Yes</v>
      </c>
    </row>
    <row r="768" customFormat="false" ht="15" hidden="false" customHeight="false" outlineLevel="0" collapsed="false">
      <c r="A768" s="5" t="str">
        <f aca="false">'Source Data'!A765</f>
        <v>Aeroflow Healthcare</v>
      </c>
      <c r="B768" s="5" t="str">
        <f aca="false">'Source Data'!B765</f>
        <v>Healthcare: Medical Devices</v>
      </c>
      <c r="C768" s="6" t="n">
        <f aca="false">'Source Data'!C765</f>
        <v>6</v>
      </c>
      <c r="D768" s="6" t="n">
        <f aca="false">'Source Data'!E765</f>
        <v>0</v>
      </c>
      <c r="E768" s="6" t="n">
        <f aca="false">IFERROR(N(C768)-N(D768),"")</f>
        <v>6</v>
      </c>
      <c r="F768" s="7" t="str">
        <f aca="false">IF(E768&gt;0,"Yes",IF(E768&lt;0,"No (Paternity higher)","Equal"))</f>
        <v>Yes</v>
      </c>
    </row>
    <row r="769" customFormat="false" ht="15" hidden="false" customHeight="false" outlineLevel="0" collapsed="false">
      <c r="A769" s="5" t="str">
        <f aca="false">'Source Data'!A766</f>
        <v>Aquilant</v>
      </c>
      <c r="B769" s="5" t="str">
        <f aca="false">'Source Data'!B766</f>
        <v>Healthcare: Medical Devices</v>
      </c>
      <c r="C769" s="6" t="n">
        <f aca="false">'Source Data'!C766</f>
        <v>39</v>
      </c>
      <c r="D769" s="6" t="n">
        <f aca="false">'Source Data'!E766</f>
        <v>0</v>
      </c>
      <c r="E769" s="6" t="n">
        <f aca="false">IFERROR(N(C769)-N(D769),"")</f>
        <v>39</v>
      </c>
      <c r="F769" s="7" t="str">
        <f aca="false">IF(E769&gt;0,"Yes",IF(E769&lt;0,"No (Paternity higher)","Equal"))</f>
        <v>Yes</v>
      </c>
    </row>
    <row r="770" customFormat="false" ht="15" hidden="false" customHeight="false" outlineLevel="0" collapsed="false">
      <c r="A770" s="5" t="str">
        <f aca="false">'Source Data'!A767</f>
        <v>BD</v>
      </c>
      <c r="B770" s="5" t="str">
        <f aca="false">'Source Data'!B767</f>
        <v>Healthcare: Medical Devices</v>
      </c>
      <c r="C770" s="6" t="n">
        <f aca="false">'Source Data'!C767</f>
        <v>12</v>
      </c>
      <c r="D770" s="6" t="n">
        <f aca="false">'Source Data'!E767</f>
        <v>0</v>
      </c>
      <c r="E770" s="6" t="n">
        <f aca="false">IFERROR(N(C770)-N(D770),"")</f>
        <v>12</v>
      </c>
      <c r="F770" s="7" t="str">
        <f aca="false">IF(E770&gt;0,"Yes",IF(E770&lt;0,"No (Paternity higher)","Equal"))</f>
        <v>Yes</v>
      </c>
    </row>
    <row r="771" customFormat="false" ht="15" hidden="false" customHeight="false" outlineLevel="0" collapsed="false">
      <c r="A771" s="5" t="str">
        <f aca="false">'Source Data'!A768</f>
        <v>Boston Scientific</v>
      </c>
      <c r="B771" s="5" t="str">
        <f aca="false">'Source Data'!B768</f>
        <v>Healthcare: Medical Devices</v>
      </c>
      <c r="C771" s="6" t="n">
        <f aca="false">'Source Data'!C768</f>
        <v>12</v>
      </c>
      <c r="D771" s="6" t="n">
        <f aca="false">'Source Data'!E768</f>
        <v>0</v>
      </c>
      <c r="E771" s="6" t="n">
        <f aca="false">IFERROR(N(C771)-N(D771),"")</f>
        <v>12</v>
      </c>
      <c r="F771" s="7" t="str">
        <f aca="false">IF(E771&gt;0,"Yes",IF(E771&lt;0,"No (Paternity higher)","Equal"))</f>
        <v>Yes</v>
      </c>
    </row>
    <row r="772" customFormat="false" ht="15" hidden="false" customHeight="false" outlineLevel="0" collapsed="false">
      <c r="A772" s="5" t="str">
        <f aca="false">'Source Data'!A769</f>
        <v>Cook Medical</v>
      </c>
      <c r="B772" s="5" t="str">
        <f aca="false">'Source Data'!B769</f>
        <v>Healthcare: Medical Devices</v>
      </c>
      <c r="C772" s="6" t="n">
        <f aca="false">'Source Data'!C769</f>
        <v>10</v>
      </c>
      <c r="D772" s="6" t="n">
        <f aca="false">'Source Data'!E769</f>
        <v>0</v>
      </c>
      <c r="E772" s="6" t="n">
        <f aca="false">IFERROR(N(C772)-N(D772),"")</f>
        <v>10</v>
      </c>
      <c r="F772" s="7" t="str">
        <f aca="false">IF(E772&gt;0,"Yes",IF(E772&lt;0,"No (Paternity higher)","Equal"))</f>
        <v>Yes</v>
      </c>
    </row>
    <row r="773" customFormat="false" ht="15" hidden="false" customHeight="false" outlineLevel="0" collapsed="false">
      <c r="A773" s="5" t="str">
        <f aca="false">'Source Data'!A770</f>
        <v>Hillrom</v>
      </c>
      <c r="B773" s="5" t="str">
        <f aca="false">'Source Data'!B770</f>
        <v>Healthcare: Medical Devices</v>
      </c>
      <c r="C773" s="6" t="n">
        <f aca="false">'Source Data'!C770</f>
        <v>12</v>
      </c>
      <c r="D773" s="6" t="n">
        <f aca="false">'Source Data'!E770</f>
        <v>0</v>
      </c>
      <c r="E773" s="6" t="n">
        <f aca="false">IFERROR(N(C773)-N(D773),"")</f>
        <v>12</v>
      </c>
      <c r="F773" s="7" t="str">
        <f aca="false">IF(E773&gt;0,"Yes",IF(E773&lt;0,"No (Paternity higher)","Equal"))</f>
        <v>Yes</v>
      </c>
    </row>
    <row r="774" customFormat="false" ht="15" hidden="false" customHeight="false" outlineLevel="0" collapsed="false">
      <c r="A774" s="5" t="str">
        <f aca="false">'Source Data'!A771</f>
        <v>Integra LifeSciences</v>
      </c>
      <c r="B774" s="5" t="str">
        <f aca="false">'Source Data'!B771</f>
        <v>Healthcare: Medical Devices</v>
      </c>
      <c r="C774" s="6" t="n">
        <f aca="false">'Source Data'!C771</f>
        <v>10</v>
      </c>
      <c r="D774" s="6" t="n">
        <f aca="false">'Source Data'!E771</f>
        <v>0</v>
      </c>
      <c r="E774" s="6" t="n">
        <f aca="false">IFERROR(N(C774)-N(D774),"")</f>
        <v>10</v>
      </c>
      <c r="F774" s="7" t="str">
        <f aca="false">IF(E774&gt;0,"Yes",IF(E774&lt;0,"No (Paternity higher)","Equal"))</f>
        <v>Yes</v>
      </c>
    </row>
    <row r="775" customFormat="false" ht="15" hidden="false" customHeight="false" outlineLevel="0" collapsed="false">
      <c r="A775" s="5" t="str">
        <f aca="false">'Source Data'!A772</f>
        <v>Intuitive</v>
      </c>
      <c r="B775" s="5" t="str">
        <f aca="false">'Source Data'!B772</f>
        <v>Healthcare: Medical Devices</v>
      </c>
      <c r="C775" s="6" t="n">
        <f aca="false">'Source Data'!C772</f>
        <v>6</v>
      </c>
      <c r="D775" s="6" t="n">
        <f aca="false">'Source Data'!E772</f>
        <v>0</v>
      </c>
      <c r="E775" s="6" t="n">
        <f aca="false">IFERROR(N(C775)-N(D775),"")</f>
        <v>6</v>
      </c>
      <c r="F775" s="7" t="str">
        <f aca="false">IF(E775&gt;0,"Yes",IF(E775&lt;0,"No (Paternity higher)","Equal"))</f>
        <v>Yes</v>
      </c>
    </row>
    <row r="776" customFormat="false" ht="15" hidden="false" customHeight="false" outlineLevel="0" collapsed="false">
      <c r="A776" s="5" t="str">
        <f aca="false">'Source Data'!A773</f>
        <v>Medela</v>
      </c>
      <c r="B776" s="5" t="str">
        <f aca="false">'Source Data'!B773</f>
        <v>Healthcare: Medical Devices</v>
      </c>
      <c r="C776" s="6" t="n">
        <f aca="false">'Source Data'!C773</f>
        <v>12</v>
      </c>
      <c r="D776" s="6" t="n">
        <f aca="false">'Source Data'!E773</f>
        <v>0</v>
      </c>
      <c r="E776" s="6" t="n">
        <f aca="false">IFERROR(N(C776)-N(D776),"")</f>
        <v>12</v>
      </c>
      <c r="F776" s="7" t="str">
        <f aca="false">IF(E776&gt;0,"Yes",IF(E776&lt;0,"No (Paternity higher)","Equal"))</f>
        <v>Yes</v>
      </c>
    </row>
    <row r="777" customFormat="false" ht="15" hidden="false" customHeight="false" outlineLevel="0" collapsed="false">
      <c r="A777" s="5" t="str">
        <f aca="false">'Source Data'!A774</f>
        <v>MicroPort Orthopedics</v>
      </c>
      <c r="B777" s="5" t="str">
        <f aca="false">'Source Data'!B774</f>
        <v>Healthcare: Medical Devices</v>
      </c>
      <c r="C777" s="6" t="n">
        <f aca="false">'Source Data'!C774</f>
        <v>6</v>
      </c>
      <c r="D777" s="6" t="n">
        <f aca="false">'Source Data'!E774</f>
        <v>0</v>
      </c>
      <c r="E777" s="6" t="n">
        <f aca="false">IFERROR(N(C777)-N(D777),"")</f>
        <v>6</v>
      </c>
      <c r="F777" s="7" t="str">
        <f aca="false">IF(E777&gt;0,"Yes",IF(E777&lt;0,"No (Paternity higher)","Equal"))</f>
        <v>Yes</v>
      </c>
    </row>
    <row r="778" customFormat="false" ht="15" hidden="false" customHeight="false" outlineLevel="0" collapsed="false">
      <c r="A778" s="5" t="str">
        <f aca="false">'Source Data'!A775</f>
        <v>Olympus Corporation</v>
      </c>
      <c r="B778" s="5" t="str">
        <f aca="false">'Source Data'!B775</f>
        <v>Healthcare: Medical Devices</v>
      </c>
      <c r="C778" s="6" t="n">
        <f aca="false">'Source Data'!C775</f>
        <v>4</v>
      </c>
      <c r="D778" s="6" t="n">
        <f aca="false">'Source Data'!E775</f>
        <v>0</v>
      </c>
      <c r="E778" s="6" t="n">
        <f aca="false">IFERROR(N(C778)-N(D778),"")</f>
        <v>4</v>
      </c>
      <c r="F778" s="7" t="str">
        <f aca="false">IF(E778&gt;0,"Yes",IF(E778&lt;0,"No (Paternity higher)","Equal"))</f>
        <v>Yes</v>
      </c>
    </row>
    <row r="779" customFormat="false" ht="15" hidden="false" customHeight="false" outlineLevel="0" collapsed="false">
      <c r="A779" s="5" t="str">
        <f aca="false">'Source Data'!A776</f>
        <v>ResMed</v>
      </c>
      <c r="B779" s="5" t="str">
        <f aca="false">'Source Data'!B776</f>
        <v>Healthcare: Medical Devices</v>
      </c>
      <c r="C779" s="6" t="n">
        <f aca="false">'Source Data'!C776</f>
        <v>14</v>
      </c>
      <c r="D779" s="6" t="n">
        <f aca="false">'Source Data'!E776</f>
        <v>0</v>
      </c>
      <c r="E779" s="6" t="n">
        <f aca="false">IFERROR(N(C779)-N(D779),"")</f>
        <v>14</v>
      </c>
      <c r="F779" s="7" t="str">
        <f aca="false">IF(E779&gt;0,"Yes",IF(E779&lt;0,"No (Paternity higher)","Equal"))</f>
        <v>Yes</v>
      </c>
    </row>
    <row r="780" customFormat="false" ht="15" hidden="false" customHeight="false" outlineLevel="0" collapsed="false">
      <c r="A780" s="5" t="str">
        <f aca="false">'Source Data'!A777</f>
        <v>Stryker Corporation</v>
      </c>
      <c r="B780" s="5" t="str">
        <f aca="false">'Source Data'!B777</f>
        <v>Healthcare: Medical Devices</v>
      </c>
      <c r="C780" s="6" t="n">
        <f aca="false">'Source Data'!C777</f>
        <v>12</v>
      </c>
      <c r="D780" s="6" t="n">
        <f aca="false">'Source Data'!E777</f>
        <v>0</v>
      </c>
      <c r="E780" s="6" t="n">
        <f aca="false">IFERROR(N(C780)-N(D780),"")</f>
        <v>12</v>
      </c>
      <c r="F780" s="7" t="str">
        <f aca="false">IF(E780&gt;0,"Yes",IF(E780&lt;0,"No (Paternity higher)","Equal"))</f>
        <v>Yes</v>
      </c>
    </row>
    <row r="781" customFormat="false" ht="15" hidden="false" customHeight="false" outlineLevel="0" collapsed="false">
      <c r="A781" s="5" t="str">
        <f aca="false">'Source Data'!A778</f>
        <v>Terumo BCT</v>
      </c>
      <c r="B781" s="5" t="str">
        <f aca="false">'Source Data'!B778</f>
        <v>Healthcare: Medical Devices</v>
      </c>
      <c r="C781" s="6" t="n">
        <f aca="false">'Source Data'!C778</f>
        <v>9</v>
      </c>
      <c r="D781" s="6" t="n">
        <f aca="false">'Source Data'!E778</f>
        <v>0</v>
      </c>
      <c r="E781" s="6" t="n">
        <f aca="false">IFERROR(N(C781)-N(D781),"")</f>
        <v>9</v>
      </c>
      <c r="F781" s="7" t="str">
        <f aca="false">IF(E781&gt;0,"Yes",IF(E781&lt;0,"No (Paternity higher)","Equal"))</f>
        <v>Yes</v>
      </c>
    </row>
    <row r="782" customFormat="false" ht="15" hidden="false" customHeight="false" outlineLevel="0" collapsed="false">
      <c r="A782" s="5" t="str">
        <f aca="false">'Source Data'!A779</f>
        <v>J&amp;J MedTech</v>
      </c>
      <c r="B782" s="5" t="str">
        <f aca="false">'Source Data'!B779</f>
        <v>Healthcare: Products</v>
      </c>
      <c r="C782" s="6" t="n">
        <f aca="false">'Source Data'!C779</f>
        <v>8</v>
      </c>
      <c r="D782" s="6" t="n">
        <f aca="false">'Source Data'!E779</f>
        <v>0</v>
      </c>
      <c r="E782" s="6" t="n">
        <f aca="false">IFERROR(N(C782)-N(D782),"")</f>
        <v>8</v>
      </c>
      <c r="F782" s="7" t="str">
        <f aca="false">IF(E782&gt;0,"Yes",IF(E782&lt;0,"No (Paternity higher)","Equal"))</f>
        <v>Yes</v>
      </c>
    </row>
    <row r="783" customFormat="false" ht="15" hidden="false" customHeight="false" outlineLevel="0" collapsed="false">
      <c r="A783" s="5" t="str">
        <f aca="false">'Source Data'!A780</f>
        <v>SmileDirectClub</v>
      </c>
      <c r="B783" s="5" t="str">
        <f aca="false">'Source Data'!B780</f>
        <v>Healthcare: Products</v>
      </c>
      <c r="C783" s="6" t="n">
        <f aca="false">'Source Data'!C780</f>
        <v>8</v>
      </c>
      <c r="D783" s="6" t="n">
        <f aca="false">'Source Data'!E780</f>
        <v>0</v>
      </c>
      <c r="E783" s="6" t="n">
        <f aca="false">IFERROR(N(C783)-N(D783),"")</f>
        <v>8</v>
      </c>
      <c r="F783" s="7" t="str">
        <f aca="false">IF(E783&gt;0,"Yes",IF(E783&lt;0,"No (Paternity higher)","Equal"))</f>
        <v>Yes</v>
      </c>
    </row>
    <row r="784" customFormat="false" ht="15" hidden="false" customHeight="false" outlineLevel="0" collapsed="false">
      <c r="A784" s="5" t="str">
        <f aca="false">'Source Data'!A781</f>
        <v>Be The Match</v>
      </c>
      <c r="B784" s="5" t="str">
        <f aca="false">'Source Data'!B781</f>
        <v>Healthcare: Services</v>
      </c>
      <c r="C784" s="6" t="n">
        <f aca="false">'Source Data'!C781</f>
        <v>6</v>
      </c>
      <c r="D784" s="6" t="n">
        <f aca="false">'Source Data'!E781</f>
        <v>0</v>
      </c>
      <c r="E784" s="6" t="n">
        <f aca="false">IFERROR(N(C784)-N(D784),"")</f>
        <v>6</v>
      </c>
      <c r="F784" s="7" t="str">
        <f aca="false">IF(E784&gt;0,"Yes",IF(E784&lt;0,"No (Paternity higher)","Equal"))</f>
        <v>Yes</v>
      </c>
    </row>
    <row r="785" customFormat="false" ht="15" hidden="false" customHeight="false" outlineLevel="0" collapsed="false">
      <c r="A785" s="5" t="str">
        <f aca="false">'Source Data'!A782</f>
        <v>Cardinal Health</v>
      </c>
      <c r="B785" s="5" t="str">
        <f aca="false">'Source Data'!B782</f>
        <v>Healthcare: Services</v>
      </c>
      <c r="C785" s="6" t="n">
        <f aca="false">'Source Data'!C782</f>
        <v>4</v>
      </c>
      <c r="D785" s="6" t="n">
        <f aca="false">'Source Data'!E782</f>
        <v>0</v>
      </c>
      <c r="E785" s="6" t="n">
        <f aca="false">IFERROR(N(C785)-N(D785),"")</f>
        <v>4</v>
      </c>
      <c r="F785" s="7" t="str">
        <f aca="false">IF(E785&gt;0,"Yes",IF(E785&lt;0,"No (Paternity higher)","Equal"))</f>
        <v>Yes</v>
      </c>
    </row>
    <row r="786" customFormat="false" ht="15" hidden="false" customHeight="false" outlineLevel="0" collapsed="false">
      <c r="A786" s="5" t="str">
        <f aca="false">'Source Data'!A783</f>
        <v>GE Healthcare Systems</v>
      </c>
      <c r="B786" s="5" t="str">
        <f aca="false">'Source Data'!B783</f>
        <v>Healthcare: Services</v>
      </c>
      <c r="C786" s="6" t="n">
        <f aca="false">'Source Data'!C783</f>
        <v>12</v>
      </c>
      <c r="D786" s="6" t="n">
        <f aca="false">'Source Data'!E783</f>
        <v>0</v>
      </c>
      <c r="E786" s="6" t="n">
        <f aca="false">IFERROR(N(C786)-N(D786),"")</f>
        <v>12</v>
      </c>
      <c r="F786" s="7" t="str">
        <f aca="false">IF(E786&gt;0,"Yes",IF(E786&lt;0,"No (Paternity higher)","Equal"))</f>
        <v>Yes</v>
      </c>
    </row>
    <row r="787" customFormat="false" ht="15" hidden="false" customHeight="false" outlineLevel="0" collapsed="false">
      <c r="A787" s="5" t="str">
        <f aca="false">'Source Data'!A784</f>
        <v>Heartland Dental</v>
      </c>
      <c r="B787" s="5" t="str">
        <f aca="false">'Source Data'!B784</f>
        <v>Healthcare: Services</v>
      </c>
      <c r="C787" s="6" t="n">
        <f aca="false">'Source Data'!C784</f>
        <v>6</v>
      </c>
      <c r="D787" s="6" t="n">
        <f aca="false">'Source Data'!E784</f>
        <v>0</v>
      </c>
      <c r="E787" s="6" t="n">
        <f aca="false">IFERROR(N(C787)-N(D787),"")</f>
        <v>6</v>
      </c>
      <c r="F787" s="7" t="str">
        <f aca="false">IF(E787&gt;0,"Yes",IF(E787&lt;0,"No (Paternity higher)","Equal"))</f>
        <v>Yes</v>
      </c>
    </row>
    <row r="788" customFormat="false" ht="15" hidden="false" customHeight="false" outlineLevel="0" collapsed="false">
      <c r="A788" s="5" t="str">
        <f aca="false">'Source Data'!A785</f>
        <v>Lumeris</v>
      </c>
      <c r="B788" s="5" t="str">
        <f aca="false">'Source Data'!B785</f>
        <v>Healthcare: Services</v>
      </c>
      <c r="C788" s="6" t="n">
        <f aca="false">'Source Data'!C785</f>
        <v>6</v>
      </c>
      <c r="D788" s="6" t="n">
        <f aca="false">'Source Data'!E785</f>
        <v>0</v>
      </c>
      <c r="E788" s="6" t="n">
        <f aca="false">IFERROR(N(C788)-N(D788),"")</f>
        <v>6</v>
      </c>
      <c r="F788" s="7" t="str">
        <f aca="false">IF(E788&gt;0,"Yes",IF(E788&lt;0,"No (Paternity higher)","Equal"))</f>
        <v>Yes</v>
      </c>
    </row>
    <row r="789" customFormat="false" ht="15" hidden="false" customHeight="false" outlineLevel="0" collapsed="false">
      <c r="A789" s="5" t="str">
        <f aca="false">'Source Data'!A786</f>
        <v>McKesson Specialty Health</v>
      </c>
      <c r="B789" s="5" t="str">
        <f aca="false">'Source Data'!B786</f>
        <v>Healthcare: Services</v>
      </c>
      <c r="C789" s="6" t="n">
        <f aca="false">'Source Data'!C786</f>
        <v>12</v>
      </c>
      <c r="D789" s="6" t="n">
        <f aca="false">'Source Data'!E786</f>
        <v>0</v>
      </c>
      <c r="E789" s="6" t="n">
        <f aca="false">IFERROR(N(C789)-N(D789),"")</f>
        <v>12</v>
      </c>
      <c r="F789" s="7" t="str">
        <f aca="false">IF(E789&gt;0,"Yes",IF(E789&lt;0,"No (Paternity higher)","Equal"))</f>
        <v>Yes</v>
      </c>
    </row>
    <row r="790" customFormat="false" ht="15" hidden="false" customHeight="false" outlineLevel="0" collapsed="false">
      <c r="A790" s="5" t="str">
        <f aca="false">'Source Data'!A787</f>
        <v>Optum</v>
      </c>
      <c r="B790" s="5" t="str">
        <f aca="false">'Source Data'!B787</f>
        <v>Healthcare: Services</v>
      </c>
      <c r="C790" s="6" t="n">
        <f aca="false">'Source Data'!C787</f>
        <v>8</v>
      </c>
      <c r="D790" s="6" t="n">
        <f aca="false">'Source Data'!E787</f>
        <v>0</v>
      </c>
      <c r="E790" s="6" t="n">
        <f aca="false">IFERROR(N(C790)-N(D790),"")</f>
        <v>8</v>
      </c>
      <c r="F790" s="7" t="str">
        <f aca="false">IF(E790&gt;0,"Yes",IF(E790&lt;0,"No (Paternity higher)","Equal"))</f>
        <v>Yes</v>
      </c>
    </row>
    <row r="791" customFormat="false" ht="15" hidden="false" customHeight="false" outlineLevel="0" collapsed="false">
      <c r="A791" s="5" t="str">
        <f aca="false">'Source Data'!A788</f>
        <v>Spectra</v>
      </c>
      <c r="B791" s="5" t="str">
        <f aca="false">'Source Data'!B788</f>
        <v>Hospitality</v>
      </c>
      <c r="C791" s="6" t="n">
        <f aca="false">'Source Data'!C788</f>
        <v>12</v>
      </c>
      <c r="D791" s="6" t="n">
        <f aca="false">'Source Data'!E788</f>
        <v>0</v>
      </c>
      <c r="E791" s="6" t="n">
        <f aca="false">IFERROR(N(C791)-N(D791),"")</f>
        <v>12</v>
      </c>
      <c r="F791" s="7" t="str">
        <f aca="false">IF(E791&gt;0,"Yes",IF(E791&lt;0,"No (Paternity higher)","Equal"))</f>
        <v>Yes</v>
      </c>
    </row>
    <row r="792" customFormat="false" ht="15" hidden="false" customHeight="false" outlineLevel="0" collapsed="false">
      <c r="A792" s="5" t="str">
        <f aca="false">'Source Data'!A789</f>
        <v>Gordon Food Service</v>
      </c>
      <c r="B792" s="5" t="str">
        <f aca="false">'Source Data'!B789</f>
        <v>Hospitality: Foodservice Distributors</v>
      </c>
      <c r="C792" s="6" t="n">
        <f aca="false">'Source Data'!C789</f>
        <v>1</v>
      </c>
      <c r="D792" s="6" t="n">
        <f aca="false">'Source Data'!E789</f>
        <v>0</v>
      </c>
      <c r="E792" s="6" t="n">
        <f aca="false">IFERROR(N(C792)-N(D792),"")</f>
        <v>1</v>
      </c>
      <c r="F792" s="7" t="str">
        <f aca="false">IF(E792&gt;0,"Yes",IF(E792&lt;0,"No (Paternity higher)","Equal"))</f>
        <v>Yes</v>
      </c>
    </row>
    <row r="793" customFormat="false" ht="15" hidden="false" customHeight="false" outlineLevel="0" collapsed="false">
      <c r="A793" s="5" t="str">
        <f aca="false">'Source Data'!A790</f>
        <v>Hilton</v>
      </c>
      <c r="B793" s="5" t="str">
        <f aca="false">'Source Data'!B790</f>
        <v>Hospitality: Hotels</v>
      </c>
      <c r="C793" s="6" t="n">
        <f aca="false">'Source Data'!C790</f>
        <v>12</v>
      </c>
      <c r="D793" s="6" t="n">
        <f aca="false">'Source Data'!E790</f>
        <v>0</v>
      </c>
      <c r="E793" s="6" t="n">
        <f aca="false">IFERROR(N(C793)-N(D793),"")</f>
        <v>12</v>
      </c>
      <c r="F793" s="7" t="str">
        <f aca="false">IF(E793&gt;0,"Yes",IF(E793&lt;0,"No (Paternity higher)","Equal"))</f>
        <v>Yes</v>
      </c>
    </row>
    <row r="794" customFormat="false" ht="15" hidden="false" customHeight="false" outlineLevel="0" collapsed="false">
      <c r="A794" s="5" t="str">
        <f aca="false">'Source Data'!A791</f>
        <v>Hyatt</v>
      </c>
      <c r="B794" s="5" t="str">
        <f aca="false">'Source Data'!B791</f>
        <v>Hospitality: Hotels</v>
      </c>
      <c r="C794" s="6" t="n">
        <f aca="false">'Source Data'!C791</f>
        <v>8</v>
      </c>
      <c r="D794" s="6" t="n">
        <f aca="false">'Source Data'!E791</f>
        <v>0</v>
      </c>
      <c r="E794" s="6" t="n">
        <f aca="false">IFERROR(N(C794)-N(D794),"")</f>
        <v>8</v>
      </c>
      <c r="F794" s="7" t="str">
        <f aca="false">IF(E794&gt;0,"Yes",IF(E794&lt;0,"No (Paternity higher)","Equal"))</f>
        <v>Yes</v>
      </c>
    </row>
    <row r="795" customFormat="false" ht="15" hidden="false" customHeight="false" outlineLevel="0" collapsed="false">
      <c r="A795" s="5" t="str">
        <f aca="false">'Source Data'!A792</f>
        <v>Rosewood Hotels &amp; Resorts</v>
      </c>
      <c r="B795" s="5" t="str">
        <f aca="false">'Source Data'!B792</f>
        <v>Hospitality: Hotels</v>
      </c>
      <c r="C795" s="6" t="n">
        <f aca="false">'Source Data'!C792</f>
        <v>2</v>
      </c>
      <c r="D795" s="6" t="n">
        <f aca="false">'Source Data'!E792</f>
        <v>0</v>
      </c>
      <c r="E795" s="6" t="n">
        <f aca="false">IFERROR(N(C795)-N(D795),"")</f>
        <v>2</v>
      </c>
      <c r="F795" s="7" t="str">
        <f aca="false">IF(E795&gt;0,"Yes",IF(E795&lt;0,"No (Paternity higher)","Equal"))</f>
        <v>Yes</v>
      </c>
    </row>
    <row r="796" customFormat="false" ht="15" hidden="false" customHeight="false" outlineLevel="0" collapsed="false">
      <c r="A796" s="5" t="str">
        <f aca="false">'Source Data'!A793</f>
        <v>Taj Hotels</v>
      </c>
      <c r="B796" s="5" t="str">
        <f aca="false">'Source Data'!B793</f>
        <v>Hospitality: Hotels</v>
      </c>
      <c r="C796" s="6" t="n">
        <f aca="false">'Source Data'!C793</f>
        <v>12</v>
      </c>
      <c r="D796" s="6" t="n">
        <f aca="false">'Source Data'!E793</f>
        <v>0</v>
      </c>
      <c r="E796" s="6" t="n">
        <f aca="false">IFERROR(N(C796)-N(D796),"")</f>
        <v>12</v>
      </c>
      <c r="F796" s="7" t="str">
        <f aca="false">IF(E796&gt;0,"Yes",IF(E796&lt;0,"No (Paternity higher)","Equal"))</f>
        <v>Yes</v>
      </c>
    </row>
    <row r="797" customFormat="false" ht="15" hidden="false" customHeight="false" outlineLevel="0" collapsed="false">
      <c r="A797" s="5" t="str">
        <f aca="false">'Source Data'!A794</f>
        <v>Blue Apron</v>
      </c>
      <c r="B797" s="5" t="str">
        <f aca="false">'Source Data'!B794</f>
        <v>Hospitality: Meal Kit Delivery</v>
      </c>
      <c r="C797" s="6" t="n">
        <f aca="false">'Source Data'!C794</f>
        <v>12</v>
      </c>
      <c r="D797" s="6" t="n">
        <f aca="false">'Source Data'!E794</f>
        <v>0</v>
      </c>
      <c r="E797" s="6" t="n">
        <f aca="false">IFERROR(N(C797)-N(D797),"")</f>
        <v>12</v>
      </c>
      <c r="F797" s="7" t="str">
        <f aca="false">IF(E797&gt;0,"Yes",IF(E797&lt;0,"No (Paternity higher)","Equal"))</f>
        <v>Yes</v>
      </c>
    </row>
    <row r="798" customFormat="false" ht="15" hidden="false" customHeight="false" outlineLevel="0" collapsed="false">
      <c r="A798" s="5" t="str">
        <f aca="false">'Source Data'!A795</f>
        <v>Disneyland</v>
      </c>
      <c r="B798" s="5" t="str">
        <f aca="false">'Source Data'!B795</f>
        <v>Hospitality: Resorts</v>
      </c>
      <c r="C798" s="6" t="n">
        <f aca="false">'Source Data'!C795</f>
        <v>8</v>
      </c>
      <c r="D798" s="6" t="n">
        <f aca="false">'Source Data'!E795</f>
        <v>0</v>
      </c>
      <c r="E798" s="6" t="n">
        <f aca="false">IFERROR(N(C798)-N(D798),"")</f>
        <v>8</v>
      </c>
      <c r="F798" s="7" t="str">
        <f aca="false">IF(E798&gt;0,"Yes",IF(E798&lt;0,"No (Paternity higher)","Equal"))</f>
        <v>Yes</v>
      </c>
    </row>
    <row r="799" customFormat="false" ht="15" hidden="false" customHeight="false" outlineLevel="0" collapsed="false">
      <c r="A799" s="5" t="str">
        <f aca="false">'Source Data'!A796</f>
        <v>Great Wolf Resorts</v>
      </c>
      <c r="B799" s="5" t="str">
        <f aca="false">'Source Data'!B796</f>
        <v>Hospitality: Resorts</v>
      </c>
      <c r="C799" s="6" t="n">
        <f aca="false">'Source Data'!C796</f>
        <v>8</v>
      </c>
      <c r="D799" s="6" t="n">
        <f aca="false">'Source Data'!E796</f>
        <v>0</v>
      </c>
      <c r="E799" s="6" t="n">
        <f aca="false">IFERROR(N(C799)-N(D799),"")</f>
        <v>8</v>
      </c>
      <c r="F799" s="7" t="str">
        <f aca="false">IF(E799&gt;0,"Yes",IF(E799&lt;0,"No (Paternity higher)","Equal"))</f>
        <v>Yes</v>
      </c>
    </row>
    <row r="800" customFormat="false" ht="15" hidden="false" customHeight="false" outlineLevel="0" collapsed="false">
      <c r="A800" s="5" t="str">
        <f aca="false">'Source Data'!A797</f>
        <v>Hilton Grand Vacations</v>
      </c>
      <c r="B800" s="5" t="str">
        <f aca="false">'Source Data'!B797</f>
        <v>Hospitality: Resorts</v>
      </c>
      <c r="C800" s="6" t="n">
        <f aca="false">'Source Data'!C797</f>
        <v>8</v>
      </c>
      <c r="D800" s="6" t="n">
        <f aca="false">'Source Data'!E797</f>
        <v>0</v>
      </c>
      <c r="E800" s="6" t="n">
        <f aca="false">IFERROR(N(C800)-N(D800),"")</f>
        <v>8</v>
      </c>
      <c r="F800" s="7" t="str">
        <f aca="false">IF(E800&gt;0,"Yes",IF(E800&lt;0,"No (Paternity higher)","Equal"))</f>
        <v>Yes</v>
      </c>
    </row>
    <row r="801" customFormat="false" ht="15" hidden="false" customHeight="false" outlineLevel="0" collapsed="false">
      <c r="A801" s="5" t="str">
        <f aca="false">'Source Data'!A798</f>
        <v>Vail Resorts</v>
      </c>
      <c r="B801" s="5" t="str">
        <f aca="false">'Source Data'!B798</f>
        <v>Hospitality: Resorts</v>
      </c>
      <c r="C801" s="6" t="n">
        <f aca="false">'Source Data'!C798</f>
        <v>4</v>
      </c>
      <c r="D801" s="6" t="n">
        <f aca="false">'Source Data'!E798</f>
        <v>0</v>
      </c>
      <c r="E801" s="6" t="n">
        <f aca="false">IFERROR(N(C801)-N(D801),"")</f>
        <v>4</v>
      </c>
      <c r="F801" s="7" t="str">
        <f aca="false">IF(E801&gt;0,"Yes",IF(E801&lt;0,"No (Paternity higher)","Equal"))</f>
        <v>Yes</v>
      </c>
    </row>
    <row r="802" customFormat="false" ht="15" hidden="false" customHeight="false" outlineLevel="0" collapsed="false">
      <c r="A802" s="5" t="str">
        <f aca="false">'Source Data'!A799</f>
        <v>Chick-fil-A</v>
      </c>
      <c r="B802" s="5" t="str">
        <f aca="false">'Source Data'!B799</f>
        <v>Hospitality: Restaurants</v>
      </c>
      <c r="C802" s="6" t="n">
        <f aca="false">'Source Data'!C799</f>
        <v>6</v>
      </c>
      <c r="D802" s="6" t="n">
        <f aca="false">'Source Data'!E799</f>
        <v>2</v>
      </c>
      <c r="E802" s="6" t="n">
        <f aca="false">IFERROR(N(C802)-N(D802),"")</f>
        <v>4</v>
      </c>
      <c r="F802" s="7" t="str">
        <f aca="false">IF(E802&gt;0,"Yes",IF(E802&lt;0,"No (Paternity higher)","Equal"))</f>
        <v>Yes</v>
      </c>
    </row>
    <row r="803" customFormat="false" ht="15" hidden="false" customHeight="false" outlineLevel="0" collapsed="false">
      <c r="A803" s="5" t="str">
        <f aca="false">'Source Data'!A800</f>
        <v>Chipotle Mexican Grill</v>
      </c>
      <c r="B803" s="5" t="str">
        <f aca="false">'Source Data'!B800</f>
        <v>Hospitality: Restaurants</v>
      </c>
      <c r="C803" s="6" t="n">
        <f aca="false">'Source Data'!C800</f>
        <v>12</v>
      </c>
      <c r="D803" s="6" t="n">
        <f aca="false">'Source Data'!E800</f>
        <v>0</v>
      </c>
      <c r="E803" s="6" t="n">
        <f aca="false">IFERROR(N(C803)-N(D803),"")</f>
        <v>12</v>
      </c>
      <c r="F803" s="7" t="str">
        <f aca="false">IF(E803&gt;0,"Yes",IF(E803&lt;0,"No (Paternity higher)","Equal"))</f>
        <v>Yes</v>
      </c>
    </row>
    <row r="804" customFormat="false" ht="15" hidden="false" customHeight="false" outlineLevel="0" collapsed="false">
      <c r="A804" s="5" t="str">
        <f aca="false">'Source Data'!A801</f>
        <v>Gate Gourmet</v>
      </c>
      <c r="B804" s="5" t="str">
        <f aca="false">'Source Data'!B801</f>
        <v>Hospitality: Restaurants</v>
      </c>
      <c r="C804" s="6" t="n">
        <f aca="false">'Source Data'!C801</f>
        <v>6</v>
      </c>
      <c r="D804" s="6" t="n">
        <f aca="false">'Source Data'!E801</f>
        <v>0</v>
      </c>
      <c r="E804" s="6" t="n">
        <f aca="false">IFERROR(N(C804)-N(D804),"")</f>
        <v>6</v>
      </c>
      <c r="F804" s="7" t="str">
        <f aca="false">IF(E804&gt;0,"Yes",IF(E804&lt;0,"No (Paternity higher)","Equal"))</f>
        <v>Yes</v>
      </c>
    </row>
    <row r="805" customFormat="false" ht="15" hidden="false" customHeight="false" outlineLevel="0" collapsed="false">
      <c r="A805" s="5" t="str">
        <f aca="false">'Source Data'!A802</f>
        <v>La Colombe Torrefaction</v>
      </c>
      <c r="B805" s="5" t="str">
        <f aca="false">'Source Data'!B802</f>
        <v>Hospitality: Restaurants</v>
      </c>
      <c r="C805" s="6" t="n">
        <f aca="false">'Source Data'!C802</f>
        <v>6</v>
      </c>
      <c r="D805" s="6" t="n">
        <f aca="false">'Source Data'!E802</f>
        <v>0</v>
      </c>
      <c r="E805" s="6" t="n">
        <f aca="false">IFERROR(N(C805)-N(D805),"")</f>
        <v>6</v>
      </c>
      <c r="F805" s="7" t="str">
        <f aca="false">IF(E805&gt;0,"Yes",IF(E805&lt;0,"No (Paternity higher)","Equal"))</f>
        <v>Yes</v>
      </c>
    </row>
    <row r="806" customFormat="false" ht="15" hidden="false" customHeight="false" outlineLevel="0" collapsed="false">
      <c r="A806" s="5" t="str">
        <f aca="false">'Source Data'!A803</f>
        <v>Momofuku</v>
      </c>
      <c r="B806" s="5" t="str">
        <f aca="false">'Source Data'!B803</f>
        <v>Hospitality: Restaurants</v>
      </c>
      <c r="C806" s="6" t="n">
        <f aca="false">'Source Data'!C803</f>
        <v>4</v>
      </c>
      <c r="D806" s="6" t="n">
        <f aca="false">'Source Data'!E803</f>
        <v>0</v>
      </c>
      <c r="E806" s="6" t="n">
        <f aca="false">IFERROR(N(C806)-N(D806),"")</f>
        <v>4</v>
      </c>
      <c r="F806" s="7" t="str">
        <f aca="false">IF(E806&gt;0,"Yes",IF(E806&lt;0,"No (Paternity higher)","Equal"))</f>
        <v>Yes</v>
      </c>
    </row>
    <row r="807" customFormat="false" ht="15" hidden="false" customHeight="false" outlineLevel="0" collapsed="false">
      <c r="A807" s="5" t="str">
        <f aca="false">'Source Data'!A804</f>
        <v>Red Robin</v>
      </c>
      <c r="B807" s="5" t="str">
        <f aca="false">'Source Data'!B804</f>
        <v>Hospitality: Restaurants</v>
      </c>
      <c r="C807" s="6" t="n">
        <f aca="false">'Source Data'!C804</f>
        <v>0</v>
      </c>
      <c r="D807" s="6" t="n">
        <f aca="false">'Source Data'!E804</f>
        <v>0</v>
      </c>
      <c r="E807" s="6" t="n">
        <f aca="false">IFERROR(N(C807)-N(D807),"")</f>
        <v>0</v>
      </c>
      <c r="F807" s="7" t="str">
        <f aca="false">IF(E807&gt;0,"Yes",IF(E807&lt;0,"No (Paternity higher)","Equal"))</f>
        <v>Equal</v>
      </c>
    </row>
    <row r="808" customFormat="false" ht="15" hidden="false" customHeight="false" outlineLevel="0" collapsed="false">
      <c r="A808" s="5" t="str">
        <f aca="false">'Source Data'!A805</f>
        <v>Restaurant Brands International</v>
      </c>
      <c r="B808" s="5" t="str">
        <f aca="false">'Source Data'!B805</f>
        <v>Hospitality: Restaurants</v>
      </c>
      <c r="C808" s="6" t="n">
        <f aca="false">'Source Data'!C805</f>
        <v>16</v>
      </c>
      <c r="D808" s="6" t="n">
        <f aca="false">'Source Data'!E805</f>
        <v>0</v>
      </c>
      <c r="E808" s="6" t="n">
        <f aca="false">IFERROR(N(C808)-N(D808),"")</f>
        <v>16</v>
      </c>
      <c r="F808" s="7" t="str">
        <f aca="false">IF(E808&gt;0,"Yes",IF(E808&lt;0,"No (Paternity higher)","Equal"))</f>
        <v>Yes</v>
      </c>
    </row>
    <row r="809" customFormat="false" ht="15" hidden="false" customHeight="false" outlineLevel="0" collapsed="false">
      <c r="A809" s="5" t="str">
        <f aca="false">'Source Data'!A806</f>
        <v>Texas Roadhouse</v>
      </c>
      <c r="B809" s="5" t="str">
        <f aca="false">'Source Data'!B806</f>
        <v>Hospitality: Restaurants</v>
      </c>
      <c r="C809" s="6" t="n">
        <f aca="false">'Source Data'!C806</f>
        <v>6</v>
      </c>
      <c r="D809" s="6" t="n">
        <f aca="false">'Source Data'!E806</f>
        <v>0</v>
      </c>
      <c r="E809" s="6" t="n">
        <f aca="false">IFERROR(N(C809)-N(D809),"")</f>
        <v>6</v>
      </c>
      <c r="F809" s="7" t="str">
        <f aca="false">IF(E809&gt;0,"Yes",IF(E809&lt;0,"No (Paternity higher)","Equal"))</f>
        <v>Yes</v>
      </c>
    </row>
    <row r="810" customFormat="false" ht="15" hidden="false" customHeight="false" outlineLevel="0" collapsed="false">
      <c r="A810" s="5" t="str">
        <f aca="false">'Source Data'!A807</f>
        <v>Ergotron</v>
      </c>
      <c r="B810" s="5" t="str">
        <f aca="false">'Source Data'!B807</f>
        <v>Industrial: Appliances &amp; Furniture</v>
      </c>
      <c r="C810" s="6" t="n">
        <f aca="false">'Source Data'!C807</f>
        <v>12</v>
      </c>
      <c r="D810" s="6" t="n">
        <f aca="false">'Source Data'!E807</f>
        <v>0</v>
      </c>
      <c r="E810" s="6" t="n">
        <f aca="false">IFERROR(N(C810)-N(D810),"")</f>
        <v>12</v>
      </c>
      <c r="F810" s="7" t="str">
        <f aca="false">IF(E810&gt;0,"Yes",IF(E810&lt;0,"No (Paternity higher)","Equal"))</f>
        <v>Yes</v>
      </c>
    </row>
    <row r="811" customFormat="false" ht="15" hidden="false" customHeight="false" outlineLevel="0" collapsed="false">
      <c r="A811" s="5" t="str">
        <f aca="false">'Source Data'!A808</f>
        <v>Stanley Black &amp; Decker</v>
      </c>
      <c r="B811" s="5" t="str">
        <f aca="false">'Source Data'!B808</f>
        <v>Industrial: Appliances &amp; Furniture</v>
      </c>
      <c r="C811" s="6" t="n">
        <f aca="false">'Source Data'!C808</f>
        <v>2</v>
      </c>
      <c r="D811" s="6" t="n">
        <f aca="false">'Source Data'!E808</f>
        <v>0</v>
      </c>
      <c r="E811" s="6" t="n">
        <f aca="false">IFERROR(N(C811)-N(D811),"")</f>
        <v>2</v>
      </c>
      <c r="F811" s="7" t="str">
        <f aca="false">IF(E811&gt;0,"Yes",IF(E811&lt;0,"No (Paternity higher)","Equal"))</f>
        <v>Yes</v>
      </c>
    </row>
    <row r="812" customFormat="false" ht="15" hidden="false" customHeight="false" outlineLevel="0" collapsed="false">
      <c r="A812" s="5" t="str">
        <f aca="false">'Source Data'!A809</f>
        <v>Steelcase</v>
      </c>
      <c r="B812" s="5" t="str">
        <f aca="false">'Source Data'!B809</f>
        <v>Industrial: Appliances &amp; Furniture</v>
      </c>
      <c r="C812" s="6" t="n">
        <f aca="false">'Source Data'!C809</f>
        <v>10.5</v>
      </c>
      <c r="D812" s="6" t="n">
        <f aca="false">'Source Data'!E809</f>
        <v>0</v>
      </c>
      <c r="E812" s="6" t="n">
        <f aca="false">IFERROR(N(C812)-N(D812),"")</f>
        <v>10.5</v>
      </c>
      <c r="F812" s="7" t="str">
        <f aca="false">IF(E812&gt;0,"Yes",IF(E812&lt;0,"No (Paternity higher)","Equal"))</f>
        <v>Yes</v>
      </c>
    </row>
    <row r="813" customFormat="false" ht="15" hidden="false" customHeight="false" outlineLevel="0" collapsed="false">
      <c r="A813" s="5" t="str">
        <f aca="false">'Source Data'!A810</f>
        <v>Whirlpool Corporation</v>
      </c>
      <c r="B813" s="5" t="str">
        <f aca="false">'Source Data'!B810</f>
        <v>Industrial: Appliances &amp; Furniture</v>
      </c>
      <c r="C813" s="6" t="n">
        <f aca="false">'Source Data'!C810</f>
        <v>12</v>
      </c>
      <c r="D813" s="6" t="n">
        <f aca="false">'Source Data'!E810</f>
        <v>0</v>
      </c>
      <c r="E813" s="6" t="n">
        <f aca="false">IFERROR(N(C813)-N(D813),"")</f>
        <v>12</v>
      </c>
      <c r="F813" s="7" t="str">
        <f aca="false">IF(E813&gt;0,"Yes",IF(E813&lt;0,"No (Paternity higher)","Equal"))</f>
        <v>Yes</v>
      </c>
    </row>
    <row r="814" customFormat="false" ht="15" hidden="false" customHeight="false" outlineLevel="0" collapsed="false">
      <c r="A814" s="5" t="str">
        <f aca="false">'Source Data'!A811</f>
        <v>Deborah Berke Partners</v>
      </c>
      <c r="B814" s="5" t="str">
        <f aca="false">'Source Data'!B811</f>
        <v>Industrial: Architecture &amp; Design</v>
      </c>
      <c r="C814" s="6" t="n">
        <f aca="false">'Source Data'!C811</f>
        <v>6</v>
      </c>
      <c r="D814" s="6" t="n">
        <f aca="false">'Source Data'!E811</f>
        <v>0</v>
      </c>
      <c r="E814" s="6" t="n">
        <f aca="false">IFERROR(N(C814)-N(D814),"")</f>
        <v>6</v>
      </c>
      <c r="F814" s="7" t="str">
        <f aca="false">IF(E814&gt;0,"Yes",IF(E814&lt;0,"No (Paternity higher)","Equal"))</f>
        <v>Yes</v>
      </c>
    </row>
    <row r="815" customFormat="false" ht="15" hidden="false" customHeight="false" outlineLevel="0" collapsed="false">
      <c r="A815" s="5" t="str">
        <f aca="false">'Source Data'!A812</f>
        <v>Grimshaw Architects</v>
      </c>
      <c r="B815" s="5" t="str">
        <f aca="false">'Source Data'!B812</f>
        <v>Industrial: Architecture &amp; Design</v>
      </c>
      <c r="C815" s="6" t="n">
        <f aca="false">'Source Data'!C812</f>
        <v>5</v>
      </c>
      <c r="D815" s="6" t="n">
        <f aca="false">'Source Data'!E812</f>
        <v>0</v>
      </c>
      <c r="E815" s="6" t="n">
        <f aca="false">IFERROR(N(C815)-N(D815),"")</f>
        <v>5</v>
      </c>
      <c r="F815" s="7" t="str">
        <f aca="false">IF(E815&gt;0,"Yes",IF(E815&lt;0,"No (Paternity higher)","Equal"))</f>
        <v>Yes</v>
      </c>
    </row>
    <row r="816" customFormat="false" ht="15" hidden="false" customHeight="false" outlineLevel="0" collapsed="false">
      <c r="A816" s="5" t="str">
        <f aca="false">'Source Data'!A813</f>
        <v>Hickok Cole Architects</v>
      </c>
      <c r="B816" s="5" t="str">
        <f aca="false">'Source Data'!B813</f>
        <v>Industrial: Architecture &amp; Design</v>
      </c>
      <c r="C816" s="6" t="n">
        <f aca="false">'Source Data'!C813</f>
        <v>12</v>
      </c>
      <c r="D816" s="6" t="n">
        <f aca="false">'Source Data'!E813</f>
        <v>0</v>
      </c>
      <c r="E816" s="6" t="n">
        <f aca="false">IFERROR(N(C816)-N(D816),"")</f>
        <v>12</v>
      </c>
      <c r="F816" s="7" t="str">
        <f aca="false">IF(E816&gt;0,"Yes",IF(E816&lt;0,"No (Paternity higher)","Equal"))</f>
        <v>Yes</v>
      </c>
    </row>
    <row r="817" customFormat="false" ht="15" hidden="false" customHeight="false" outlineLevel="0" collapsed="false">
      <c r="A817" s="5" t="str">
        <f aca="false">'Source Data'!A814</f>
        <v>HOK</v>
      </c>
      <c r="B817" s="5" t="str">
        <f aca="false">'Source Data'!B814</f>
        <v>Industrial: Architecture &amp; Design</v>
      </c>
      <c r="C817" s="6" t="n">
        <f aca="false">'Source Data'!C814</f>
        <v>6</v>
      </c>
      <c r="D817" s="6" t="n">
        <f aca="false">'Source Data'!E814</f>
        <v>2</v>
      </c>
      <c r="E817" s="6" t="n">
        <f aca="false">IFERROR(N(C817)-N(D817),"")</f>
        <v>4</v>
      </c>
      <c r="F817" s="7" t="str">
        <f aca="false">IF(E817&gt;0,"Yes",IF(E817&lt;0,"No (Paternity higher)","Equal"))</f>
        <v>Yes</v>
      </c>
    </row>
    <row r="818" customFormat="false" ht="15" hidden="false" customHeight="false" outlineLevel="0" collapsed="false">
      <c r="A818" s="5" t="str">
        <f aca="false">'Source Data'!A815</f>
        <v>MG2</v>
      </c>
      <c r="B818" s="5" t="str">
        <f aca="false">'Source Data'!B815</f>
        <v>Industrial: Architecture &amp; Design</v>
      </c>
      <c r="C818" s="6" t="n">
        <f aca="false">'Source Data'!C815</f>
        <v>6</v>
      </c>
      <c r="D818" s="6" t="n">
        <f aca="false">'Source Data'!E815</f>
        <v>0</v>
      </c>
      <c r="E818" s="6" t="n">
        <f aca="false">IFERROR(N(C818)-N(D818),"")</f>
        <v>6</v>
      </c>
      <c r="F818" s="7" t="str">
        <f aca="false">IF(E818&gt;0,"Yes",IF(E818&lt;0,"No (Paternity higher)","Equal"))</f>
        <v>Yes</v>
      </c>
    </row>
    <row r="819" customFormat="false" ht="15" hidden="false" customHeight="false" outlineLevel="0" collapsed="false">
      <c r="A819" s="5" t="str">
        <f aca="false">'Source Data'!A816</f>
        <v>CertainTeed</v>
      </c>
      <c r="B819" s="5" t="str">
        <f aca="false">'Source Data'!B816</f>
        <v>Industrial: Building Materials Manufacturing</v>
      </c>
      <c r="C819" s="6" t="n">
        <f aca="false">'Source Data'!C816</f>
        <v>12</v>
      </c>
      <c r="D819" s="6" t="n">
        <f aca="false">'Source Data'!E816</f>
        <v>0</v>
      </c>
      <c r="E819" s="6" t="n">
        <f aca="false">IFERROR(N(C819)-N(D819),"")</f>
        <v>12</v>
      </c>
      <c r="F819" s="7" t="str">
        <f aca="false">IF(E819&gt;0,"Yes",IF(E819&lt;0,"No (Paternity higher)","Equal"))</f>
        <v>Yes</v>
      </c>
    </row>
    <row r="820" customFormat="false" ht="15" hidden="false" customHeight="false" outlineLevel="0" collapsed="false">
      <c r="A820" s="5" t="str">
        <f aca="false">'Source Data'!A817</f>
        <v>Construction Specialties</v>
      </c>
      <c r="B820" s="5" t="str">
        <f aca="false">'Source Data'!B817</f>
        <v>Industrial: Building Materials Manufacturing</v>
      </c>
      <c r="C820" s="6" t="n">
        <f aca="false">'Source Data'!C817</f>
        <v>6</v>
      </c>
      <c r="D820" s="6" t="n">
        <f aca="false">'Source Data'!E817</f>
        <v>0</v>
      </c>
      <c r="E820" s="6" t="n">
        <f aca="false">IFERROR(N(C820)-N(D820),"")</f>
        <v>6</v>
      </c>
      <c r="F820" s="7" t="str">
        <f aca="false">IF(E820&gt;0,"Yes",IF(E820&lt;0,"No (Paternity higher)","Equal"))</f>
        <v>Yes</v>
      </c>
    </row>
    <row r="821" customFormat="false" ht="15" hidden="false" customHeight="false" outlineLevel="0" collapsed="false">
      <c r="A821" s="5" t="str">
        <f aca="false">'Source Data'!A818</f>
        <v>Daltile</v>
      </c>
      <c r="B821" s="5" t="str">
        <f aca="false">'Source Data'!B818</f>
        <v>Industrial: Building Materials Manufacturing</v>
      </c>
      <c r="C821" s="6" t="n">
        <f aca="false">'Source Data'!C818</f>
        <v>0</v>
      </c>
      <c r="D821" s="6" t="n">
        <f aca="false">'Source Data'!E818</f>
        <v>0</v>
      </c>
      <c r="E821" s="6" t="n">
        <f aca="false">IFERROR(N(C821)-N(D821),"")</f>
        <v>0</v>
      </c>
      <c r="F821" s="7" t="str">
        <f aca="false">IF(E821&gt;0,"Yes",IF(E821&lt;0,"No (Paternity higher)","Equal"))</f>
        <v>Equal</v>
      </c>
    </row>
    <row r="822" customFormat="false" ht="15" hidden="false" customHeight="false" outlineLevel="0" collapsed="false">
      <c r="A822" s="5" t="str">
        <f aca="false">'Source Data'!A819</f>
        <v>GAF</v>
      </c>
      <c r="B822" s="5" t="str">
        <f aca="false">'Source Data'!B819</f>
        <v>Industrial: Building Materials Manufacturing</v>
      </c>
      <c r="C822" s="6" t="n">
        <f aca="false">'Source Data'!C819</f>
        <v>6</v>
      </c>
      <c r="D822" s="6" t="n">
        <f aca="false">'Source Data'!E819</f>
        <v>0</v>
      </c>
      <c r="E822" s="6" t="n">
        <f aca="false">IFERROR(N(C822)-N(D822),"")</f>
        <v>6</v>
      </c>
      <c r="F822" s="7" t="str">
        <f aca="false">IF(E822&gt;0,"Yes",IF(E822&lt;0,"No (Paternity higher)","Equal"))</f>
        <v>Yes</v>
      </c>
    </row>
    <row r="823" customFormat="false" ht="15" hidden="false" customHeight="false" outlineLevel="0" collapsed="false">
      <c r="A823" s="5" t="str">
        <f aca="false">'Source Data'!A820</f>
        <v>Lehigh Hanson</v>
      </c>
      <c r="B823" s="5" t="str">
        <f aca="false">'Source Data'!B820</f>
        <v>Industrial: Building Materials Manufacturing</v>
      </c>
      <c r="C823" s="6" t="n">
        <f aca="false">'Source Data'!C820</f>
        <v>6</v>
      </c>
      <c r="D823" s="6" t="n">
        <f aca="false">'Source Data'!E820</f>
        <v>0</v>
      </c>
      <c r="E823" s="6" t="n">
        <f aca="false">IFERROR(N(C823)-N(D823),"")</f>
        <v>6</v>
      </c>
      <c r="F823" s="7" t="str">
        <f aca="false">IF(E823&gt;0,"Yes",IF(E823&lt;0,"No (Paternity higher)","Equal"))</f>
        <v>Yes</v>
      </c>
    </row>
    <row r="824" customFormat="false" ht="15" hidden="false" customHeight="false" outlineLevel="0" collapsed="false">
      <c r="A824" s="5" t="str">
        <f aca="false">'Source Data'!A821</f>
        <v>Sherwin-Williams</v>
      </c>
      <c r="B824" s="5" t="str">
        <f aca="false">'Source Data'!B821</f>
        <v>Industrial: Building Materials Manufacturing</v>
      </c>
      <c r="C824" s="6" t="n">
        <f aca="false">'Source Data'!C821</f>
        <v>8</v>
      </c>
      <c r="D824" s="6" t="n">
        <f aca="false">'Source Data'!E821</f>
        <v>0</v>
      </c>
      <c r="E824" s="6" t="n">
        <f aca="false">IFERROR(N(C824)-N(D824),"")</f>
        <v>8</v>
      </c>
      <c r="F824" s="7" t="str">
        <f aca="false">IF(E824&gt;0,"Yes",IF(E824&lt;0,"No (Paternity higher)","Equal"))</f>
        <v>Yes</v>
      </c>
    </row>
    <row r="825" customFormat="false" ht="15" hidden="false" customHeight="false" outlineLevel="0" collapsed="false">
      <c r="A825" s="5" t="str">
        <f aca="false">'Source Data'!A822</f>
        <v>Wilsonart</v>
      </c>
      <c r="B825" s="5" t="str">
        <f aca="false">'Source Data'!B822</f>
        <v>Industrial: Building Materials Manufacturing</v>
      </c>
      <c r="C825" s="6" t="n">
        <f aca="false">'Source Data'!C822</f>
        <v>6</v>
      </c>
      <c r="D825" s="6" t="n">
        <f aca="false">'Source Data'!E822</f>
        <v>0</v>
      </c>
      <c r="E825" s="6" t="n">
        <f aca="false">IFERROR(N(C825)-N(D825),"")</f>
        <v>6</v>
      </c>
      <c r="F825" s="7" t="str">
        <f aca="false">IF(E825&gt;0,"Yes",IF(E825&lt;0,"No (Paternity higher)","Equal"))</f>
        <v>Yes</v>
      </c>
    </row>
    <row r="826" customFormat="false" ht="15" hidden="false" customHeight="false" outlineLevel="0" collapsed="false">
      <c r="A826" s="5" t="str">
        <f aca="false">'Source Data'!A823</f>
        <v>Graham Construction &amp; Engineering Inc</v>
      </c>
      <c r="B826" s="5" t="str">
        <f aca="false">'Source Data'!B823</f>
        <v>Industrial: Construction Company</v>
      </c>
      <c r="C826" s="6" t="n">
        <f aca="false">'Source Data'!C823</f>
        <v>12</v>
      </c>
      <c r="D826" s="6" t="n">
        <f aca="false">'Source Data'!E823</f>
        <v>0</v>
      </c>
      <c r="E826" s="6" t="n">
        <f aca="false">IFERROR(N(C826)-N(D826),"")</f>
        <v>12</v>
      </c>
      <c r="F826" s="7" t="str">
        <f aca="false">IF(E826&gt;0,"Yes",IF(E826&lt;0,"No (Paternity higher)","Equal"))</f>
        <v>Yes</v>
      </c>
    </row>
    <row r="827" customFormat="false" ht="15" hidden="false" customHeight="false" outlineLevel="0" collapsed="false">
      <c r="A827" s="5" t="str">
        <f aca="false">'Source Data'!A824</f>
        <v>CIRCOR International, Inc.</v>
      </c>
      <c r="B827" s="5" t="str">
        <f aca="false">'Source Data'!B824</f>
        <v>Industrial: Diversified</v>
      </c>
      <c r="C827" s="6" t="n">
        <f aca="false">'Source Data'!C824</f>
        <v>12</v>
      </c>
      <c r="D827" s="6" t="n">
        <f aca="false">'Source Data'!E824</f>
        <v>0</v>
      </c>
      <c r="E827" s="6" t="n">
        <f aca="false">IFERROR(N(C827)-N(D827),"")</f>
        <v>12</v>
      </c>
      <c r="F827" s="7" t="str">
        <f aca="false">IF(E827&gt;0,"Yes",IF(E827&lt;0,"No (Paternity higher)","Equal"))</f>
        <v>Yes</v>
      </c>
    </row>
    <row r="828" customFormat="false" ht="15" hidden="false" customHeight="false" outlineLevel="0" collapsed="false">
      <c r="A828" s="5" t="str">
        <f aca="false">'Source Data'!A825</f>
        <v>Danaher</v>
      </c>
      <c r="B828" s="5" t="str">
        <f aca="false">'Source Data'!B825</f>
        <v>Industrial: Diversified</v>
      </c>
      <c r="C828" s="6" t="n">
        <f aca="false">'Source Data'!C825</f>
        <v>8</v>
      </c>
      <c r="D828" s="6" t="n">
        <f aca="false">'Source Data'!E825</f>
        <v>0</v>
      </c>
      <c r="E828" s="6" t="n">
        <f aca="false">IFERROR(N(C828)-N(D828),"")</f>
        <v>8</v>
      </c>
      <c r="F828" s="7" t="str">
        <f aca="false">IF(E828&gt;0,"Yes",IF(E828&lt;0,"No (Paternity higher)","Equal"))</f>
        <v>Yes</v>
      </c>
    </row>
    <row r="829" customFormat="false" ht="15" hidden="false" customHeight="false" outlineLevel="0" collapsed="false">
      <c r="A829" s="5" t="str">
        <f aca="false">'Source Data'!A826</f>
        <v>Eaton</v>
      </c>
      <c r="B829" s="5" t="str">
        <f aca="false">'Source Data'!B826</f>
        <v>Industrial: Diversified</v>
      </c>
      <c r="C829" s="6" t="n">
        <f aca="false">'Source Data'!C826</f>
        <v>12</v>
      </c>
      <c r="D829" s="6" t="n">
        <f aca="false">'Source Data'!E826</f>
        <v>0</v>
      </c>
      <c r="E829" s="6" t="n">
        <f aca="false">IFERROR(N(C829)-N(D829),"")</f>
        <v>12</v>
      </c>
      <c r="F829" s="7" t="str">
        <f aca="false">IF(E829&gt;0,"Yes",IF(E829&lt;0,"No (Paternity higher)","Equal"))</f>
        <v>Yes</v>
      </c>
    </row>
    <row r="830" customFormat="false" ht="15" hidden="false" customHeight="false" outlineLevel="0" collapsed="false">
      <c r="A830" s="5" t="str">
        <f aca="false">'Source Data'!A827</f>
        <v>Faith Technologies</v>
      </c>
      <c r="B830" s="5" t="str">
        <f aca="false">'Source Data'!B827</f>
        <v>Industrial: Diversified</v>
      </c>
      <c r="C830" s="6" t="n">
        <f aca="false">'Source Data'!C827</f>
        <v>8</v>
      </c>
      <c r="D830" s="6" t="n">
        <f aca="false">'Source Data'!E827</f>
        <v>0</v>
      </c>
      <c r="E830" s="6" t="n">
        <f aca="false">IFERROR(N(C830)-N(D830),"")</f>
        <v>8</v>
      </c>
      <c r="F830" s="7" t="str">
        <f aca="false">IF(E830&gt;0,"Yes",IF(E830&lt;0,"No (Paternity higher)","Equal"))</f>
        <v>Yes</v>
      </c>
    </row>
    <row r="831" customFormat="false" ht="15" hidden="false" customHeight="false" outlineLevel="0" collapsed="false">
      <c r="A831" s="5" t="str">
        <f aca="false">'Source Data'!A828</f>
        <v>HDR</v>
      </c>
      <c r="B831" s="5" t="str">
        <f aca="false">'Source Data'!B828</f>
        <v>Industrial: Diversified</v>
      </c>
      <c r="C831" s="6" t="n">
        <f aca="false">'Source Data'!C828</f>
        <v>2</v>
      </c>
      <c r="D831" s="6" t="n">
        <f aca="false">'Source Data'!E828</f>
        <v>0</v>
      </c>
      <c r="E831" s="6" t="n">
        <f aca="false">IFERROR(N(C831)-N(D831),"")</f>
        <v>2</v>
      </c>
      <c r="F831" s="7" t="str">
        <f aca="false">IF(E831&gt;0,"Yes",IF(E831&lt;0,"No (Paternity higher)","Equal"))</f>
        <v>Yes</v>
      </c>
    </row>
    <row r="832" customFormat="false" ht="15" hidden="false" customHeight="false" outlineLevel="0" collapsed="false">
      <c r="A832" s="5" t="str">
        <f aca="false">'Source Data'!A829</f>
        <v>Honeywell</v>
      </c>
      <c r="B832" s="5" t="str">
        <f aca="false">'Source Data'!B829</f>
        <v>Industrial: Diversified</v>
      </c>
      <c r="C832" s="6" t="n">
        <f aca="false">'Source Data'!C829</f>
        <v>4</v>
      </c>
      <c r="D832" s="6" t="n">
        <f aca="false">'Source Data'!E829</f>
        <v>0</v>
      </c>
      <c r="E832" s="6" t="n">
        <f aca="false">IFERROR(N(C832)-N(D832),"")</f>
        <v>4</v>
      </c>
      <c r="F832" s="7" t="str">
        <f aca="false">IF(E832&gt;0,"Yes",IF(E832&lt;0,"No (Paternity higher)","Equal"))</f>
        <v>Yes</v>
      </c>
    </row>
    <row r="833" customFormat="false" ht="15" hidden="false" customHeight="false" outlineLevel="0" collapsed="false">
      <c r="A833" s="5" t="str">
        <f aca="false">'Source Data'!A830</f>
        <v>Jacobs</v>
      </c>
      <c r="B833" s="5" t="str">
        <f aca="false">'Source Data'!B830</f>
        <v>Industrial: Diversified</v>
      </c>
      <c r="C833" s="6" t="n">
        <f aca="false">'Source Data'!C830</f>
        <v>1</v>
      </c>
      <c r="D833" s="6" t="n">
        <f aca="false">'Source Data'!E830</f>
        <v>0</v>
      </c>
      <c r="E833" s="6" t="n">
        <f aca="false">IFERROR(N(C833)-N(D833),"")</f>
        <v>1</v>
      </c>
      <c r="F833" s="7" t="str">
        <f aca="false">IF(E833&gt;0,"Yes",IF(E833&lt;0,"No (Paternity higher)","Equal"))</f>
        <v>Yes</v>
      </c>
    </row>
    <row r="834" customFormat="false" ht="15" hidden="false" customHeight="false" outlineLevel="0" collapsed="false">
      <c r="A834" s="5" t="str">
        <f aca="false">'Source Data'!A831</f>
        <v>Jason Industrial</v>
      </c>
      <c r="B834" s="5" t="str">
        <f aca="false">'Source Data'!B831</f>
        <v>Industrial: Diversified</v>
      </c>
      <c r="C834" s="6" t="n">
        <f aca="false">'Source Data'!C831</f>
        <v>12</v>
      </c>
      <c r="D834" s="6" t="n">
        <f aca="false">'Source Data'!E831</f>
        <v>0</v>
      </c>
      <c r="E834" s="6" t="n">
        <f aca="false">IFERROR(N(C834)-N(D834),"")</f>
        <v>12</v>
      </c>
      <c r="F834" s="7" t="str">
        <f aca="false">IF(E834&gt;0,"Yes",IF(E834&lt;0,"No (Paternity higher)","Equal"))</f>
        <v>Yes</v>
      </c>
    </row>
    <row r="835" customFormat="false" ht="15" hidden="false" customHeight="false" outlineLevel="0" collapsed="false">
      <c r="A835" s="5" t="str">
        <f aca="false">'Source Data'!A832</f>
        <v>Babcock International Group</v>
      </c>
      <c r="B835" s="5" t="str">
        <f aca="false">'Source Data'!B832</f>
        <v>Industrial: Engineering</v>
      </c>
      <c r="C835" s="6" t="n">
        <f aca="false">'Source Data'!C832</f>
        <v>12</v>
      </c>
      <c r="D835" s="6" t="n">
        <f aca="false">'Source Data'!E832</f>
        <v>0</v>
      </c>
      <c r="E835" s="6" t="n">
        <f aca="false">IFERROR(N(C835)-N(D835),"")</f>
        <v>12</v>
      </c>
      <c r="F835" s="7" t="str">
        <f aca="false">IF(E835&gt;0,"Yes",IF(E835&lt;0,"No (Paternity higher)","Equal"))</f>
        <v>Yes</v>
      </c>
    </row>
    <row r="836" customFormat="false" ht="15" hidden="false" customHeight="false" outlineLevel="0" collapsed="false">
      <c r="A836" s="5" t="str">
        <f aca="false">'Source Data'!A833</f>
        <v>Emerson Process Management</v>
      </c>
      <c r="B836" s="5" t="str">
        <f aca="false">'Source Data'!B833</f>
        <v>Industrial: Engineering</v>
      </c>
      <c r="C836" s="6" t="n">
        <f aca="false">'Source Data'!C833</f>
        <v>12</v>
      </c>
      <c r="D836" s="6" t="n">
        <f aca="false">'Source Data'!E833</f>
        <v>0</v>
      </c>
      <c r="E836" s="6" t="n">
        <f aca="false">IFERROR(N(C836)-N(D836),"")</f>
        <v>12</v>
      </c>
      <c r="F836" s="7" t="str">
        <f aca="false">IF(E836&gt;0,"Yes",IF(E836&lt;0,"No (Paternity higher)","Equal"))</f>
        <v>Yes</v>
      </c>
    </row>
    <row r="837" customFormat="false" ht="15" hidden="false" customHeight="false" outlineLevel="0" collapsed="false">
      <c r="A837" s="5" t="str">
        <f aca="false">'Source Data'!A834</f>
        <v>Equinor</v>
      </c>
      <c r="B837" s="5" t="str">
        <f aca="false">'Source Data'!B834</f>
        <v>Industrial: Engineering</v>
      </c>
      <c r="C837" s="6" t="n">
        <f aca="false">'Source Data'!C834</f>
        <v>16</v>
      </c>
      <c r="D837" s="6" t="n">
        <f aca="false">'Source Data'!E834</f>
        <v>0</v>
      </c>
      <c r="E837" s="6" t="n">
        <f aca="false">IFERROR(N(C837)-N(D837),"")</f>
        <v>16</v>
      </c>
      <c r="F837" s="7" t="str">
        <f aca="false">IF(E837&gt;0,"Yes",IF(E837&lt;0,"No (Paternity higher)","Equal"))</f>
        <v>Yes</v>
      </c>
    </row>
    <row r="838" customFormat="false" ht="15" hidden="false" customHeight="false" outlineLevel="0" collapsed="false">
      <c r="A838" s="5" t="str">
        <f aca="false">'Source Data'!A835</f>
        <v>GZA</v>
      </c>
      <c r="B838" s="5" t="str">
        <f aca="false">'Source Data'!B835</f>
        <v>Industrial: Engineering</v>
      </c>
      <c r="C838" s="6" t="n">
        <f aca="false">'Source Data'!C835</f>
        <v>4</v>
      </c>
      <c r="D838" s="6" t="n">
        <f aca="false">'Source Data'!E835</f>
        <v>0</v>
      </c>
      <c r="E838" s="6" t="n">
        <f aca="false">IFERROR(N(C838)-N(D838),"")</f>
        <v>4</v>
      </c>
      <c r="F838" s="7" t="str">
        <f aca="false">IF(E838&gt;0,"Yes",IF(E838&lt;0,"No (Paternity higher)","Equal"))</f>
        <v>Yes</v>
      </c>
    </row>
    <row r="839" customFormat="false" ht="15" hidden="false" customHeight="false" outlineLevel="0" collapsed="false">
      <c r="A839" s="5" t="str">
        <f aca="false">'Source Data'!A836</f>
        <v>Pfaudler inc</v>
      </c>
      <c r="B839" s="5" t="str">
        <f aca="false">'Source Data'!B836</f>
        <v>Industrial: Engineering</v>
      </c>
      <c r="C839" s="6" t="n">
        <f aca="false">'Source Data'!C836</f>
        <v>10</v>
      </c>
      <c r="D839" s="6" t="n">
        <f aca="false">'Source Data'!E836</f>
        <v>0</v>
      </c>
      <c r="E839" s="6" t="n">
        <f aca="false">IFERROR(N(C839)-N(D839),"")</f>
        <v>10</v>
      </c>
      <c r="F839" s="7" t="str">
        <f aca="false">IF(E839&gt;0,"Yes",IF(E839&lt;0,"No (Paternity higher)","Equal"))</f>
        <v>Yes</v>
      </c>
    </row>
    <row r="840" customFormat="false" ht="15" hidden="false" customHeight="false" outlineLevel="0" collapsed="false">
      <c r="A840" s="5" t="str">
        <f aca="false">'Source Data'!A837</f>
        <v>Quiddity Engineering</v>
      </c>
      <c r="B840" s="5" t="str">
        <f aca="false">'Source Data'!B837</f>
        <v>Industrial: Engineering</v>
      </c>
      <c r="C840" s="6" t="n">
        <f aca="false">'Source Data'!C837</f>
        <v>2</v>
      </c>
      <c r="D840" s="6" t="n">
        <f aca="false">'Source Data'!E837</f>
        <v>0</v>
      </c>
      <c r="E840" s="6" t="n">
        <f aca="false">IFERROR(N(C840)-N(D840),"")</f>
        <v>2</v>
      </c>
      <c r="F840" s="7" t="str">
        <f aca="false">IF(E840&gt;0,"Yes",IF(E840&lt;0,"No (Paternity higher)","Equal"))</f>
        <v>Yes</v>
      </c>
    </row>
    <row r="841" customFormat="false" ht="15" hidden="false" customHeight="false" outlineLevel="0" collapsed="false">
      <c r="A841" s="5" t="str">
        <f aca="false">'Source Data'!A838</f>
        <v>Stantec</v>
      </c>
      <c r="B841" s="5" t="str">
        <f aca="false">'Source Data'!B838</f>
        <v>Industrial: Engineering</v>
      </c>
      <c r="C841" s="6" t="n">
        <f aca="false">'Source Data'!C838</f>
        <v>6</v>
      </c>
      <c r="D841" s="6" t="n">
        <f aca="false">'Source Data'!E838</f>
        <v>0</v>
      </c>
      <c r="E841" s="6" t="n">
        <f aca="false">IFERROR(N(C841)-N(D841),"")</f>
        <v>6</v>
      </c>
      <c r="F841" s="7" t="str">
        <f aca="false">IF(E841&gt;0,"Yes",IF(E841&lt;0,"No (Paternity higher)","Equal"))</f>
        <v>Yes</v>
      </c>
    </row>
    <row r="842" customFormat="false" ht="15" hidden="false" customHeight="false" outlineLevel="0" collapsed="false">
      <c r="A842" s="5" t="str">
        <f aca="false">'Source Data'!A839</f>
        <v>Subsea 7</v>
      </c>
      <c r="B842" s="5" t="str">
        <f aca="false">'Source Data'!B839</f>
        <v>Industrial: Engineering</v>
      </c>
      <c r="C842" s="6" t="n">
        <f aca="false">'Source Data'!C839</f>
        <v>12</v>
      </c>
      <c r="D842" s="6" t="n">
        <f aca="false">'Source Data'!E839</f>
        <v>0</v>
      </c>
      <c r="E842" s="6" t="n">
        <f aca="false">IFERROR(N(C842)-N(D842),"")</f>
        <v>12</v>
      </c>
      <c r="F842" s="7" t="str">
        <f aca="false">IF(E842&gt;0,"Yes",IF(E842&lt;0,"No (Paternity higher)","Equal"))</f>
        <v>Yes</v>
      </c>
    </row>
    <row r="843" customFormat="false" ht="15" hidden="false" customHeight="false" outlineLevel="0" collapsed="false">
      <c r="A843" s="5" t="str">
        <f aca="false">'Source Data'!A840</f>
        <v>WSP Global</v>
      </c>
      <c r="B843" s="5" t="str">
        <f aca="false">'Source Data'!B840</f>
        <v>Industrial: Engineering</v>
      </c>
      <c r="C843" s="6" t="n">
        <f aca="false">'Source Data'!C840</f>
        <v>2</v>
      </c>
      <c r="D843" s="6" t="n">
        <f aca="false">'Source Data'!E840</f>
        <v>0</v>
      </c>
      <c r="E843" s="6" t="n">
        <f aca="false">IFERROR(N(C843)-N(D843),"")</f>
        <v>2</v>
      </c>
      <c r="F843" s="7" t="str">
        <f aca="false">IF(E843&gt;0,"Yes",IF(E843&lt;0,"No (Paternity higher)","Equal"))</f>
        <v>Yes</v>
      </c>
    </row>
    <row r="844" customFormat="false" ht="15" hidden="false" customHeight="false" outlineLevel="0" collapsed="false">
      <c r="A844" s="5" t="str">
        <f aca="false">'Source Data'!A841</f>
        <v>Xylem Inc.</v>
      </c>
      <c r="B844" s="5" t="str">
        <f aca="false">'Source Data'!B841</f>
        <v>Industrial: Engineering</v>
      </c>
      <c r="C844" s="6" t="n">
        <f aca="false">'Source Data'!C841</f>
        <v>4</v>
      </c>
      <c r="D844" s="6" t="n">
        <f aca="false">'Source Data'!E841</f>
        <v>0</v>
      </c>
      <c r="E844" s="6" t="n">
        <f aca="false">IFERROR(N(C844)-N(D844),"")</f>
        <v>4</v>
      </c>
      <c r="F844" s="7" t="str">
        <f aca="false">IF(E844&gt;0,"Yes",IF(E844&lt;0,"No (Paternity higher)","Equal"))</f>
        <v>Yes</v>
      </c>
    </row>
    <row r="845" customFormat="false" ht="15" hidden="false" customHeight="false" outlineLevel="0" collapsed="false">
      <c r="A845" s="5" t="str">
        <f aca="false">'Source Data'!A842</f>
        <v>AGCO Corporation</v>
      </c>
      <c r="B845" s="5" t="str">
        <f aca="false">'Source Data'!B842</f>
        <v>Industrial: Equipment Manufacturing</v>
      </c>
      <c r="C845" s="6" t="n">
        <f aca="false">'Source Data'!C842</f>
        <v>6</v>
      </c>
      <c r="D845" s="6" t="n">
        <f aca="false">'Source Data'!E842</f>
        <v>0</v>
      </c>
      <c r="E845" s="6" t="n">
        <f aca="false">IFERROR(N(C845)-N(D845),"")</f>
        <v>6</v>
      </c>
      <c r="F845" s="7" t="str">
        <f aca="false">IF(E845&gt;0,"Yes",IF(E845&lt;0,"No (Paternity higher)","Equal"))</f>
        <v>Yes</v>
      </c>
    </row>
    <row r="846" customFormat="false" ht="15" hidden="false" customHeight="false" outlineLevel="0" collapsed="false">
      <c r="A846" s="5" t="str">
        <f aca="false">'Source Data'!A843</f>
        <v>Association of Equipment Manufacturers</v>
      </c>
      <c r="B846" s="5" t="str">
        <f aca="false">'Source Data'!B843</f>
        <v>Industrial: Equipment Manufacturing</v>
      </c>
      <c r="C846" s="6" t="n">
        <f aca="false">'Source Data'!C843</f>
        <v>6</v>
      </c>
      <c r="D846" s="6" t="n">
        <f aca="false">'Source Data'!E843</f>
        <v>0</v>
      </c>
      <c r="E846" s="6" t="n">
        <f aca="false">IFERROR(N(C846)-N(D846),"")</f>
        <v>6</v>
      </c>
      <c r="F846" s="7" t="str">
        <f aca="false">IF(E846&gt;0,"Yes",IF(E846&lt;0,"No (Paternity higher)","Equal"))</f>
        <v>Yes</v>
      </c>
    </row>
    <row r="847" customFormat="false" ht="15" hidden="false" customHeight="false" outlineLevel="0" collapsed="false">
      <c r="A847" s="5" t="str">
        <f aca="false">'Source Data'!A844</f>
        <v>Atlantic Diving Supply, Inc.</v>
      </c>
      <c r="B847" s="5" t="str">
        <f aca="false">'Source Data'!B844</f>
        <v>Industrial: Equipment Manufacturing</v>
      </c>
      <c r="C847" s="6" t="n">
        <f aca="false">'Source Data'!C844</f>
        <v>6</v>
      </c>
      <c r="D847" s="6" t="n">
        <f aca="false">'Source Data'!E844</f>
        <v>0</v>
      </c>
      <c r="E847" s="6" t="n">
        <f aca="false">IFERROR(N(C847)-N(D847),"")</f>
        <v>6</v>
      </c>
      <c r="F847" s="7" t="str">
        <f aca="false">IF(E847&gt;0,"Yes",IF(E847&lt;0,"No (Paternity higher)","Equal"))</f>
        <v>Yes</v>
      </c>
    </row>
    <row r="848" customFormat="false" ht="15" hidden="false" customHeight="false" outlineLevel="0" collapsed="false">
      <c r="A848" s="5" t="str">
        <f aca="false">'Source Data'!A845</f>
        <v>Emerson Climate Technologies</v>
      </c>
      <c r="B848" s="5" t="str">
        <f aca="false">'Source Data'!B845</f>
        <v>Industrial: Equipment Manufacturing</v>
      </c>
      <c r="C848" s="6" t="n">
        <f aca="false">'Source Data'!C845</f>
        <v>12</v>
      </c>
      <c r="D848" s="6" t="n">
        <f aca="false">'Source Data'!E845</f>
        <v>2</v>
      </c>
      <c r="E848" s="6" t="n">
        <f aca="false">IFERROR(N(C848)-N(D848),"")</f>
        <v>10</v>
      </c>
      <c r="F848" s="7" t="str">
        <f aca="false">IF(E848&gt;0,"Yes",IF(E848&lt;0,"No (Paternity higher)","Equal"))</f>
        <v>Yes</v>
      </c>
    </row>
    <row r="849" customFormat="false" ht="15" hidden="false" customHeight="false" outlineLevel="0" collapsed="false">
      <c r="A849" s="5" t="str">
        <f aca="false">'Source Data'!A846</f>
        <v>Genie Industries</v>
      </c>
      <c r="B849" s="5" t="str">
        <f aca="false">'Source Data'!B846</f>
        <v>Industrial: Equipment Manufacturing</v>
      </c>
      <c r="C849" s="6" t="n">
        <f aca="false">'Source Data'!C846</f>
        <v>12</v>
      </c>
      <c r="D849" s="6" t="n">
        <f aca="false">'Source Data'!E846</f>
        <v>0</v>
      </c>
      <c r="E849" s="6" t="n">
        <f aca="false">IFERROR(N(C849)-N(D849),"")</f>
        <v>12</v>
      </c>
      <c r="F849" s="7" t="str">
        <f aca="false">IF(E849&gt;0,"Yes",IF(E849&lt;0,"No (Paternity higher)","Equal"))</f>
        <v>Yes</v>
      </c>
    </row>
    <row r="850" customFormat="false" ht="15" hidden="false" customHeight="false" outlineLevel="0" collapsed="false">
      <c r="A850" s="5" t="str">
        <f aca="false">'Source Data'!A847</f>
        <v>ITW</v>
      </c>
      <c r="B850" s="5" t="str">
        <f aca="false">'Source Data'!B847</f>
        <v>Industrial: Equipment Manufacturing</v>
      </c>
      <c r="C850" s="6" t="n">
        <f aca="false">'Source Data'!C847</f>
        <v>7</v>
      </c>
      <c r="D850" s="6" t="n">
        <f aca="false">'Source Data'!E847</f>
        <v>0</v>
      </c>
      <c r="E850" s="6" t="n">
        <f aca="false">IFERROR(N(C850)-N(D850),"")</f>
        <v>7</v>
      </c>
      <c r="F850" s="7" t="str">
        <f aca="false">IF(E850&gt;0,"Yes",IF(E850&lt;0,"No (Paternity higher)","Equal"))</f>
        <v>Yes</v>
      </c>
    </row>
    <row r="851" customFormat="false" ht="15" hidden="false" customHeight="false" outlineLevel="0" collapsed="false">
      <c r="A851" s="5" t="str">
        <f aca="false">'Source Data'!A848</f>
        <v>KONE Corporation</v>
      </c>
      <c r="B851" s="5" t="str">
        <f aca="false">'Source Data'!B848</f>
        <v>Industrial: Equipment Manufacturing</v>
      </c>
      <c r="C851" s="6" t="n">
        <f aca="false">'Source Data'!C848</f>
        <v>9</v>
      </c>
      <c r="D851" s="6" t="n">
        <f aca="false">'Source Data'!E848</f>
        <v>0</v>
      </c>
      <c r="E851" s="6" t="n">
        <f aca="false">IFERROR(N(C851)-N(D851),"")</f>
        <v>9</v>
      </c>
      <c r="F851" s="7" t="str">
        <f aca="false">IF(E851&gt;0,"Yes",IF(E851&lt;0,"No (Paternity higher)","Equal"))</f>
        <v>Yes</v>
      </c>
    </row>
    <row r="852" customFormat="false" ht="15" hidden="false" customHeight="false" outlineLevel="0" collapsed="false">
      <c r="A852" s="5" t="str">
        <f aca="false">'Source Data'!A849</f>
        <v>Terex</v>
      </c>
      <c r="B852" s="5" t="str">
        <f aca="false">'Source Data'!B849</f>
        <v>Industrial: Equipment Manufacturing</v>
      </c>
      <c r="C852" s="6" t="n">
        <f aca="false">'Source Data'!C849</f>
        <v>10</v>
      </c>
      <c r="D852" s="6" t="n">
        <f aca="false">'Source Data'!E849</f>
        <v>0</v>
      </c>
      <c r="E852" s="6" t="n">
        <f aca="false">IFERROR(N(C852)-N(D852),"")</f>
        <v>10</v>
      </c>
      <c r="F852" s="7" t="str">
        <f aca="false">IF(E852&gt;0,"Yes",IF(E852&lt;0,"No (Paternity higher)","Equal"))</f>
        <v>Yes</v>
      </c>
    </row>
    <row r="853" customFormat="false" ht="15" hidden="false" customHeight="false" outlineLevel="0" collapsed="false">
      <c r="A853" s="5" t="str">
        <f aca="false">'Source Data'!A850</f>
        <v>Weir ESCO</v>
      </c>
      <c r="B853" s="5" t="str">
        <f aca="false">'Source Data'!B850</f>
        <v>Industrial: Equipment Manufacturing</v>
      </c>
      <c r="C853" s="6" t="n">
        <f aca="false">'Source Data'!C850</f>
        <v>1</v>
      </c>
      <c r="D853" s="6" t="n">
        <f aca="false">'Source Data'!E850</f>
        <v>0</v>
      </c>
      <c r="E853" s="6" t="n">
        <f aca="false">IFERROR(N(C853)-N(D853),"")</f>
        <v>1</v>
      </c>
      <c r="F853" s="7" t="str">
        <f aca="false">IF(E853&gt;0,"Yes",IF(E853&lt;0,"No (Paternity higher)","Equal"))</f>
        <v>Yes</v>
      </c>
    </row>
    <row r="854" customFormat="false" ht="15" hidden="false" customHeight="false" outlineLevel="0" collapsed="false">
      <c r="A854" s="5" t="str">
        <f aca="false">'Source Data'!A851</f>
        <v>Zoox</v>
      </c>
      <c r="B854" s="5" t="str">
        <f aca="false">'Source Data'!B851</f>
        <v>Industrial: Equipment Manufacturing</v>
      </c>
      <c r="C854" s="6" t="n">
        <f aca="false">'Source Data'!C851</f>
        <v>12</v>
      </c>
      <c r="D854" s="6" t="n">
        <f aca="false">'Source Data'!E851</f>
        <v>0</v>
      </c>
      <c r="E854" s="6" t="n">
        <f aca="false">IFERROR(N(C854)-N(D854),"")</f>
        <v>12</v>
      </c>
      <c r="F854" s="7" t="str">
        <f aca="false">IF(E854&gt;0,"Yes",IF(E854&lt;0,"No (Paternity higher)","Equal"))</f>
        <v>Yes</v>
      </c>
    </row>
    <row r="855" customFormat="false" ht="15" hidden="false" customHeight="false" outlineLevel="0" collapsed="false">
      <c r="A855" s="5" t="str">
        <f aca="false">'Source Data'!A852</f>
        <v>Aleris International, Inc.</v>
      </c>
      <c r="B855" s="5" t="str">
        <f aca="false">'Source Data'!B852</f>
        <v>Industrial: Materials</v>
      </c>
      <c r="C855" s="6" t="n">
        <f aca="false">'Source Data'!C852</f>
        <v>4</v>
      </c>
      <c r="D855" s="6" t="n">
        <f aca="false">'Source Data'!E852</f>
        <v>0</v>
      </c>
      <c r="E855" s="6" t="n">
        <f aca="false">IFERROR(N(C855)-N(D855),"")</f>
        <v>4</v>
      </c>
      <c r="F855" s="7" t="str">
        <f aca="false">IF(E855&gt;0,"Yes",IF(E855&lt;0,"No (Paternity higher)","Equal"))</f>
        <v>Yes</v>
      </c>
    </row>
    <row r="856" customFormat="false" ht="15" hidden="false" customHeight="false" outlineLevel="0" collapsed="false">
      <c r="A856" s="5" t="str">
        <f aca="false">'Source Data'!A853</f>
        <v>Avantor</v>
      </c>
      <c r="B856" s="5" t="str">
        <f aca="false">'Source Data'!B853</f>
        <v>Industrial: Materials</v>
      </c>
      <c r="C856" s="6" t="n">
        <f aca="false">'Source Data'!C853</f>
        <v>4</v>
      </c>
      <c r="D856" s="6" t="n">
        <f aca="false">'Source Data'!E853</f>
        <v>0</v>
      </c>
      <c r="E856" s="6" t="n">
        <f aca="false">IFERROR(N(C856)-N(D856),"")</f>
        <v>4</v>
      </c>
      <c r="F856" s="7" t="str">
        <f aca="false">IF(E856&gt;0,"Yes",IF(E856&lt;0,"No (Paternity higher)","Equal"))</f>
        <v>Yes</v>
      </c>
    </row>
    <row r="857" customFormat="false" ht="15" hidden="false" customHeight="false" outlineLevel="0" collapsed="false">
      <c r="A857" s="5" t="str">
        <f aca="false">'Source Data'!A854</f>
        <v>HP Manufacturing</v>
      </c>
      <c r="B857" s="5" t="str">
        <f aca="false">'Source Data'!B854</f>
        <v>Industrial: Materials</v>
      </c>
      <c r="C857" s="6" t="n">
        <f aca="false">'Source Data'!C854</f>
        <v>6</v>
      </c>
      <c r="D857" s="6" t="n">
        <f aca="false">'Source Data'!E854</f>
        <v>0</v>
      </c>
      <c r="E857" s="6" t="n">
        <f aca="false">IFERROR(N(C857)-N(D857),"")</f>
        <v>6</v>
      </c>
      <c r="F857" s="7" t="str">
        <f aca="false">IF(E857&gt;0,"Yes",IF(E857&lt;0,"No (Paternity higher)","Equal"))</f>
        <v>Yes</v>
      </c>
    </row>
    <row r="858" customFormat="false" ht="15" hidden="false" customHeight="false" outlineLevel="0" collapsed="false">
      <c r="A858" s="5" t="str">
        <f aca="false">'Source Data'!A855</f>
        <v>Orica</v>
      </c>
      <c r="B858" s="5" t="str">
        <f aca="false">'Source Data'!B855</f>
        <v>Industrial: Materials</v>
      </c>
      <c r="C858" s="6" t="n">
        <f aca="false">'Source Data'!C855</f>
        <v>12</v>
      </c>
      <c r="D858" s="6" t="n">
        <f aca="false">'Source Data'!E855</f>
        <v>0</v>
      </c>
      <c r="E858" s="6" t="n">
        <f aca="false">IFERROR(N(C858)-N(D858),"")</f>
        <v>12</v>
      </c>
      <c r="F858" s="7" t="str">
        <f aca="false">IF(E858&gt;0,"Yes",IF(E858&lt;0,"No (Paternity higher)","Equal"))</f>
        <v>Yes</v>
      </c>
    </row>
    <row r="859" customFormat="false" ht="15" hidden="false" customHeight="false" outlineLevel="0" collapsed="false">
      <c r="A859" s="5" t="str">
        <f aca="false">'Source Data'!A856</f>
        <v>W.L. Gore</v>
      </c>
      <c r="B859" s="5" t="str">
        <f aca="false">'Source Data'!B856</f>
        <v>Industrial: Materials</v>
      </c>
      <c r="C859" s="6" t="n">
        <f aca="false">'Source Data'!C856</f>
        <v>12</v>
      </c>
      <c r="D859" s="6" t="n">
        <f aca="false">'Source Data'!E856</f>
        <v>0</v>
      </c>
      <c r="E859" s="6" t="n">
        <f aca="false">IFERROR(N(C859)-N(D859),"")</f>
        <v>12</v>
      </c>
      <c r="F859" s="7" t="str">
        <f aca="false">IF(E859&gt;0,"Yes",IF(E859&lt;0,"No (Paternity higher)","Equal"))</f>
        <v>Yes</v>
      </c>
    </row>
    <row r="860" customFormat="false" ht="15" hidden="false" customHeight="false" outlineLevel="0" collapsed="false">
      <c r="A860" s="5" t="str">
        <f aca="false">'Source Data'!A857</f>
        <v>Grainger Industrial Supply</v>
      </c>
      <c r="B860" s="5" t="str">
        <f aca="false">'Source Data'!B857</f>
        <v>Industrial: Other</v>
      </c>
      <c r="C860" s="6" t="n">
        <f aca="false">'Source Data'!C857</f>
        <v>9</v>
      </c>
      <c r="D860" s="6" t="n">
        <f aca="false">'Source Data'!E857</f>
        <v>0</v>
      </c>
      <c r="E860" s="6" t="n">
        <f aca="false">IFERROR(N(C860)-N(D860),"")</f>
        <v>9</v>
      </c>
      <c r="F860" s="7" t="str">
        <f aca="false">IF(E860&gt;0,"Yes",IF(E860&lt;0,"No (Paternity higher)","Equal"))</f>
        <v>Yes</v>
      </c>
    </row>
    <row r="861" customFormat="false" ht="15" hidden="false" customHeight="false" outlineLevel="0" collapsed="false">
      <c r="A861" s="5" t="str">
        <f aca="false">'Source Data'!A858</f>
        <v>Hunter Douglas</v>
      </c>
      <c r="B861" s="5" t="str">
        <f aca="false">'Source Data'!B858</f>
        <v>Industrial: Other</v>
      </c>
      <c r="C861" s="6" t="n">
        <f aca="false">'Source Data'!C858</f>
        <v>6</v>
      </c>
      <c r="D861" s="6" t="n">
        <f aca="false">'Source Data'!E858</f>
        <v>0</v>
      </c>
      <c r="E861" s="6" t="n">
        <f aca="false">IFERROR(N(C861)-N(D861),"")</f>
        <v>6</v>
      </c>
      <c r="F861" s="7" t="str">
        <f aca="false">IF(E861&gt;0,"Yes",IF(E861&lt;0,"No (Paternity higher)","Equal"))</f>
        <v>Yes</v>
      </c>
    </row>
    <row r="862" customFormat="false" ht="15" hidden="false" customHeight="false" outlineLevel="0" collapsed="false">
      <c r="A862" s="5" t="str">
        <f aca="false">'Source Data'!A859</f>
        <v>United Rentals</v>
      </c>
      <c r="B862" s="5" t="str">
        <f aca="false">'Source Data'!B859</f>
        <v>Industrial: Other</v>
      </c>
      <c r="C862" s="6" t="n">
        <f aca="false">'Source Data'!C859</f>
        <v>6</v>
      </c>
      <c r="D862" s="6" t="n">
        <f aca="false">'Source Data'!E859</f>
        <v>0</v>
      </c>
      <c r="E862" s="6" t="n">
        <f aca="false">IFERROR(N(C862)-N(D862),"")</f>
        <v>6</v>
      </c>
      <c r="F862" s="7" t="str">
        <f aca="false">IF(E862&gt;0,"Yes",IF(E862&lt;0,"No (Paternity higher)","Equal"))</f>
        <v>Yes</v>
      </c>
    </row>
    <row r="863" customFormat="false" ht="15" hidden="false" customHeight="false" outlineLevel="0" collapsed="false">
      <c r="A863" s="5" t="str">
        <f aca="false">'Source Data'!A860</f>
        <v>Bloomberg</v>
      </c>
      <c r="B863" s="5" t="str">
        <f aca="false">'Source Data'!B860</f>
        <v>Information Services: Diversified</v>
      </c>
      <c r="C863" s="6" t="n">
        <f aca="false">'Source Data'!C860</f>
        <v>26</v>
      </c>
      <c r="D863" s="6" t="n">
        <f aca="false">'Source Data'!E860</f>
        <v>0</v>
      </c>
      <c r="E863" s="6" t="n">
        <f aca="false">IFERROR(N(C863)-N(D863),"")</f>
        <v>26</v>
      </c>
      <c r="F863" s="7" t="str">
        <f aca="false">IF(E863&gt;0,"Yes",IF(E863&lt;0,"No (Paternity higher)","Equal"))</f>
        <v>Yes</v>
      </c>
    </row>
    <row r="864" customFormat="false" ht="15" hidden="false" customHeight="false" outlineLevel="0" collapsed="false">
      <c r="A864" s="5" t="str">
        <f aca="false">'Source Data'!A861</f>
        <v>Nielsen Holdings N.V.</v>
      </c>
      <c r="B864" s="5" t="str">
        <f aca="false">'Source Data'!B861</f>
        <v>Information Services: Diversified</v>
      </c>
      <c r="C864" s="6" t="n">
        <f aca="false">'Source Data'!C861</f>
        <v>9</v>
      </c>
      <c r="D864" s="6" t="n">
        <f aca="false">'Source Data'!E861</f>
        <v>0</v>
      </c>
      <c r="E864" s="6" t="n">
        <f aca="false">IFERROR(N(C864)-N(D864),"")</f>
        <v>9</v>
      </c>
      <c r="F864" s="7" t="str">
        <f aca="false">IF(E864&gt;0,"Yes",IF(E864&lt;0,"No (Paternity higher)","Equal"))</f>
        <v>Yes</v>
      </c>
    </row>
    <row r="865" customFormat="false" ht="15" hidden="false" customHeight="false" outlineLevel="0" collapsed="false">
      <c r="A865" s="5" t="str">
        <f aca="false">'Source Data'!A862</f>
        <v>RELX Group</v>
      </c>
      <c r="B865" s="5" t="str">
        <f aca="false">'Source Data'!B862</f>
        <v>Information Services: Diversified</v>
      </c>
      <c r="C865" s="6" t="n">
        <f aca="false">'Source Data'!C862</f>
        <v>13</v>
      </c>
      <c r="D865" s="6" t="n">
        <f aca="false">'Source Data'!E862</f>
        <v>0</v>
      </c>
      <c r="E865" s="6" t="n">
        <f aca="false">IFERROR(N(C865)-N(D865),"")</f>
        <v>13</v>
      </c>
      <c r="F865" s="7" t="str">
        <f aca="false">IF(E865&gt;0,"Yes",IF(E865&lt;0,"No (Paternity higher)","Equal"))</f>
        <v>Yes</v>
      </c>
    </row>
    <row r="866" customFormat="false" ht="15" hidden="false" customHeight="false" outlineLevel="0" collapsed="false">
      <c r="A866" s="5" t="str">
        <f aca="false">'Source Data'!A863</f>
        <v>WinBizSolutions</v>
      </c>
      <c r="B866" s="5" t="str">
        <f aca="false">'Source Data'!B863</f>
        <v>Information Services: Diversified</v>
      </c>
      <c r="C866" s="6" t="n">
        <f aca="false">'Source Data'!C863</f>
        <v>16</v>
      </c>
      <c r="D866" s="6" t="n">
        <f aca="false">'Source Data'!E863</f>
        <v>0</v>
      </c>
      <c r="E866" s="6" t="n">
        <f aca="false">IFERROR(N(C866)-N(D866),"")</f>
        <v>16</v>
      </c>
      <c r="F866" s="7" t="str">
        <f aca="false">IF(E866&gt;0,"Yes",IF(E866&lt;0,"No (Paternity higher)","Equal"))</f>
        <v>Yes</v>
      </c>
    </row>
    <row r="867" customFormat="false" ht="15" hidden="false" customHeight="false" outlineLevel="0" collapsed="false">
      <c r="A867" s="5" t="str">
        <f aca="false">'Source Data'!A864</f>
        <v>Wolters Kluwer</v>
      </c>
      <c r="B867" s="5" t="str">
        <f aca="false">'Source Data'!B864</f>
        <v>Information Services: Diversified</v>
      </c>
      <c r="C867" s="6" t="n">
        <f aca="false">'Source Data'!C864</f>
        <v>2</v>
      </c>
      <c r="D867" s="6" t="n">
        <f aca="false">'Source Data'!E864</f>
        <v>0</v>
      </c>
      <c r="E867" s="6" t="n">
        <f aca="false">IFERROR(N(C867)-N(D867),"")</f>
        <v>2</v>
      </c>
      <c r="F867" s="7" t="str">
        <f aca="false">IF(E867&gt;0,"Yes",IF(E867&lt;0,"No (Paternity higher)","Equal"))</f>
        <v>Yes</v>
      </c>
    </row>
    <row r="868" customFormat="false" ht="15" hidden="false" customHeight="false" outlineLevel="0" collapsed="false">
      <c r="A868" s="5" t="str">
        <f aca="false">'Source Data'!A865</f>
        <v>Dun &amp; Bradstreet</v>
      </c>
      <c r="B868" s="5" t="str">
        <f aca="false">'Source Data'!B865</f>
        <v>Information Services: Financial</v>
      </c>
      <c r="C868" s="6" t="n">
        <f aca="false">'Source Data'!C865</f>
        <v>15</v>
      </c>
      <c r="D868" s="6" t="n">
        <f aca="false">'Source Data'!E865</f>
        <v>0</v>
      </c>
      <c r="E868" s="6" t="n">
        <f aca="false">IFERROR(N(C868)-N(D868),"")</f>
        <v>15</v>
      </c>
      <c r="F868" s="7" t="str">
        <f aca="false">IF(E868&gt;0,"Yes",IF(E868&lt;0,"No (Paternity higher)","Equal"))</f>
        <v>Yes</v>
      </c>
    </row>
    <row r="869" customFormat="false" ht="15" hidden="false" customHeight="false" outlineLevel="0" collapsed="false">
      <c r="A869" s="5" t="str">
        <f aca="false">'Source Data'!A866</f>
        <v>Experian PLC</v>
      </c>
      <c r="B869" s="5" t="str">
        <f aca="false">'Source Data'!B866</f>
        <v>Information Services: Financial</v>
      </c>
      <c r="C869" s="6" t="n">
        <f aca="false">'Source Data'!C866</f>
        <v>15</v>
      </c>
      <c r="D869" s="6" t="n">
        <f aca="false">'Source Data'!E866</f>
        <v>0</v>
      </c>
      <c r="E869" s="6" t="n">
        <f aca="false">IFERROR(N(C869)-N(D869),"")</f>
        <v>15</v>
      </c>
      <c r="F869" s="7" t="str">
        <f aca="false">IF(E869&gt;0,"Yes",IF(E869&lt;0,"No (Paternity higher)","Equal"))</f>
        <v>Yes</v>
      </c>
    </row>
    <row r="870" customFormat="false" ht="15" hidden="false" customHeight="false" outlineLevel="0" collapsed="false">
      <c r="A870" s="5" t="str">
        <f aca="false">'Source Data'!A867</f>
        <v>Fitch Ratings</v>
      </c>
      <c r="B870" s="5" t="str">
        <f aca="false">'Source Data'!B867</f>
        <v>Information Services: Financial</v>
      </c>
      <c r="C870" s="6" t="n">
        <f aca="false">'Source Data'!C867</f>
        <v>12</v>
      </c>
      <c r="D870" s="6" t="n">
        <f aca="false">'Source Data'!E867</f>
        <v>0</v>
      </c>
      <c r="E870" s="6" t="n">
        <f aca="false">IFERROR(N(C870)-N(D870),"")</f>
        <v>12</v>
      </c>
      <c r="F870" s="7" t="str">
        <f aca="false">IF(E870&gt;0,"Yes",IF(E870&lt;0,"No (Paternity higher)","Equal"))</f>
        <v>Yes</v>
      </c>
    </row>
    <row r="871" customFormat="false" ht="15" hidden="false" customHeight="false" outlineLevel="0" collapsed="false">
      <c r="A871" s="5" t="str">
        <f aca="false">'Source Data'!A868</f>
        <v>Ipreo Holdings LLC</v>
      </c>
      <c r="B871" s="5" t="str">
        <f aca="false">'Source Data'!B868</f>
        <v>Information Services: Financial</v>
      </c>
      <c r="C871" s="6" t="n">
        <f aca="false">'Source Data'!C868</f>
        <v>24</v>
      </c>
      <c r="D871" s="6" t="n">
        <f aca="false">'Source Data'!E868</f>
        <v>0</v>
      </c>
      <c r="E871" s="6" t="n">
        <f aca="false">IFERROR(N(C871)-N(D871),"")</f>
        <v>24</v>
      </c>
      <c r="F871" s="7" t="str">
        <f aca="false">IF(E871&gt;0,"Yes",IF(E871&lt;0,"No (Paternity higher)","Equal"))</f>
        <v>Yes</v>
      </c>
    </row>
    <row r="872" customFormat="false" ht="15" hidden="false" customHeight="false" outlineLevel="0" collapsed="false">
      <c r="A872" s="5" t="str">
        <f aca="false">'Source Data'!A869</f>
        <v>NASDAQ</v>
      </c>
      <c r="B872" s="5" t="str">
        <f aca="false">'Source Data'!B869</f>
        <v>Information Services: Financial</v>
      </c>
      <c r="C872" s="6" t="n">
        <f aca="false">'Source Data'!C869</f>
        <v>15</v>
      </c>
      <c r="D872" s="6" t="n">
        <f aca="false">'Source Data'!E869</f>
        <v>0</v>
      </c>
      <c r="E872" s="6" t="n">
        <f aca="false">IFERROR(N(C872)-N(D872),"")</f>
        <v>15</v>
      </c>
      <c r="F872" s="7" t="str">
        <f aca="false">IF(E872&gt;0,"Yes",IF(E872&lt;0,"No (Paternity higher)","Equal"))</f>
        <v>Yes</v>
      </c>
    </row>
    <row r="873" customFormat="false" ht="15" hidden="false" customHeight="false" outlineLevel="0" collapsed="false">
      <c r="A873" s="5" t="str">
        <f aca="false">'Source Data'!A870</f>
        <v>TransUnion</v>
      </c>
      <c r="B873" s="5" t="str">
        <f aca="false">'Source Data'!B870</f>
        <v>Information Services: Financial</v>
      </c>
      <c r="C873" s="6" t="n">
        <f aca="false">'Source Data'!C870</f>
        <v>17</v>
      </c>
      <c r="D873" s="6" t="n">
        <f aca="false">'Source Data'!E870</f>
        <v>0</v>
      </c>
      <c r="E873" s="6" t="n">
        <f aca="false">IFERROR(N(C873)-N(D873),"")</f>
        <v>17</v>
      </c>
      <c r="F873" s="7" t="str">
        <f aca="false">IF(E873&gt;0,"Yes",IF(E873&lt;0,"No (Paternity higher)","Equal"))</f>
        <v>Yes</v>
      </c>
    </row>
    <row r="874" customFormat="false" ht="15" hidden="false" customHeight="false" outlineLevel="0" collapsed="false">
      <c r="A874" s="5" t="str">
        <f aca="false">'Source Data'!A871</f>
        <v>Bloomberg BNA</v>
      </c>
      <c r="B874" s="5" t="str">
        <f aca="false">'Source Data'!B871</f>
        <v>Information Services: Legal</v>
      </c>
      <c r="C874" s="6" t="n">
        <f aca="false">'Source Data'!C871</f>
        <v>12</v>
      </c>
      <c r="D874" s="6" t="n">
        <f aca="false">'Source Data'!E871</f>
        <v>0</v>
      </c>
      <c r="E874" s="6" t="n">
        <f aca="false">IFERROR(N(C874)-N(D874),"")</f>
        <v>12</v>
      </c>
      <c r="F874" s="7" t="str">
        <f aca="false">IF(E874&gt;0,"Yes",IF(E874&lt;0,"No (Paternity higher)","Equal"))</f>
        <v>Yes</v>
      </c>
    </row>
    <row r="875" customFormat="false" ht="15" hidden="false" customHeight="false" outlineLevel="0" collapsed="false">
      <c r="A875" s="5" t="str">
        <f aca="false">'Source Data'!A872</f>
        <v>1010data</v>
      </c>
      <c r="B875" s="5" t="str">
        <f aca="false">'Source Data'!B872</f>
        <v>Information Services: Technology</v>
      </c>
      <c r="C875" s="6" t="n">
        <f aca="false">'Source Data'!C872</f>
        <v>12</v>
      </c>
      <c r="D875" s="6" t="n">
        <f aca="false">'Source Data'!E872</f>
        <v>0</v>
      </c>
      <c r="E875" s="6" t="n">
        <f aca="false">IFERROR(N(C875)-N(D875),"")</f>
        <v>12</v>
      </c>
      <c r="F875" s="7" t="str">
        <f aca="false">IF(E875&gt;0,"Yes",IF(E875&lt;0,"No (Paternity higher)","Equal"))</f>
        <v>Yes</v>
      </c>
    </row>
    <row r="876" customFormat="false" ht="15" hidden="false" customHeight="false" outlineLevel="0" collapsed="false">
      <c r="A876" s="5" t="str">
        <f aca="false">'Source Data'!A873</f>
        <v>Avanade</v>
      </c>
      <c r="B876" s="5" t="str">
        <f aca="false">'Source Data'!B873</f>
        <v>Information Services: Technology</v>
      </c>
      <c r="C876" s="6" t="n">
        <f aca="false">'Source Data'!C873</f>
        <v>16</v>
      </c>
      <c r="D876" s="6" t="n">
        <f aca="false">'Source Data'!E873</f>
        <v>0</v>
      </c>
      <c r="E876" s="6" t="n">
        <f aca="false">IFERROR(N(C876)-N(D876),"")</f>
        <v>16</v>
      </c>
      <c r="F876" s="7" t="str">
        <f aca="false">IF(E876&gt;0,"Yes",IF(E876&lt;0,"No (Paternity higher)","Equal"))</f>
        <v>Yes</v>
      </c>
    </row>
    <row r="877" customFormat="false" ht="15" hidden="false" customHeight="false" outlineLevel="0" collapsed="false">
      <c r="A877" s="5" t="str">
        <f aca="false">'Source Data'!A874</f>
        <v>Cloudreach</v>
      </c>
      <c r="B877" s="5" t="str">
        <f aca="false">'Source Data'!B874</f>
        <v>Information Services: Technology</v>
      </c>
      <c r="C877" s="6" t="n">
        <f aca="false">'Source Data'!C874</f>
        <v>12</v>
      </c>
      <c r="D877" s="6" t="n">
        <f aca="false">'Source Data'!E874</f>
        <v>0</v>
      </c>
      <c r="E877" s="6" t="n">
        <f aca="false">IFERROR(N(C877)-N(D877),"")</f>
        <v>12</v>
      </c>
      <c r="F877" s="7" t="str">
        <f aca="false">IF(E877&gt;0,"Yes",IF(E877&lt;0,"No (Paternity higher)","Equal"))</f>
        <v>Yes</v>
      </c>
    </row>
    <row r="878" customFormat="false" ht="15" hidden="false" customHeight="false" outlineLevel="0" collapsed="false">
      <c r="A878" s="5" t="str">
        <f aca="false">'Source Data'!A875</f>
        <v>Dataminr</v>
      </c>
      <c r="B878" s="5" t="str">
        <f aca="false">'Source Data'!B875</f>
        <v>Information Services: Technology</v>
      </c>
      <c r="C878" s="6" t="n">
        <f aca="false">'Source Data'!C875</f>
        <v>16</v>
      </c>
      <c r="D878" s="6" t="n">
        <f aca="false">'Source Data'!E875</f>
        <v>0</v>
      </c>
      <c r="E878" s="6" t="n">
        <f aca="false">IFERROR(N(C878)-N(D878),"")</f>
        <v>16</v>
      </c>
      <c r="F878" s="7" t="str">
        <f aca="false">IF(E878&gt;0,"Yes",IF(E878&lt;0,"No (Paternity higher)","Equal"))</f>
        <v>Yes</v>
      </c>
    </row>
    <row r="879" customFormat="false" ht="15" hidden="false" customHeight="false" outlineLevel="0" collapsed="false">
      <c r="A879" s="5" t="str">
        <f aca="false">'Source Data'!A876</f>
        <v>Dell Boomi</v>
      </c>
      <c r="B879" s="5" t="str">
        <f aca="false">'Source Data'!B876</f>
        <v>Information Services: Technology</v>
      </c>
      <c r="C879" s="6" t="n">
        <f aca="false">'Source Data'!C876</f>
        <v>12</v>
      </c>
      <c r="D879" s="6" t="n">
        <f aca="false">'Source Data'!E876</f>
        <v>12</v>
      </c>
      <c r="E879" s="6" t="n">
        <f aca="false">IFERROR(N(C879)-N(D879),"")</f>
        <v>0</v>
      </c>
      <c r="F879" s="7" t="str">
        <f aca="false">IF(E879&gt;0,"Yes",IF(E879&lt;0,"No (Paternity higher)","Equal"))</f>
        <v>Equal</v>
      </c>
    </row>
    <row r="880" customFormat="false" ht="15" hidden="false" customHeight="false" outlineLevel="0" collapsed="false">
      <c r="A880" s="5" t="str">
        <f aca="false">'Source Data'!A877</f>
        <v>DoubleVerify, Inc.</v>
      </c>
      <c r="B880" s="5" t="str">
        <f aca="false">'Source Data'!B877</f>
        <v>Information Services: Technology</v>
      </c>
      <c r="C880" s="6" t="n">
        <f aca="false">'Source Data'!C877</f>
        <v>10</v>
      </c>
      <c r="D880" s="6" t="n">
        <f aca="false">'Source Data'!E877</f>
        <v>0</v>
      </c>
      <c r="E880" s="6" t="n">
        <f aca="false">IFERROR(N(C880)-N(D880),"")</f>
        <v>10</v>
      </c>
      <c r="F880" s="7" t="str">
        <f aca="false">IF(E880&gt;0,"Yes",IF(E880&lt;0,"No (Paternity higher)","Equal"))</f>
        <v>Yes</v>
      </c>
    </row>
    <row r="881" customFormat="false" ht="15" hidden="false" customHeight="false" outlineLevel="0" collapsed="false">
      <c r="A881" s="5" t="str">
        <f aca="false">'Source Data'!A878</f>
        <v>Emids</v>
      </c>
      <c r="B881" s="5" t="str">
        <f aca="false">'Source Data'!B878</f>
        <v>Information Services: Technology</v>
      </c>
      <c r="C881" s="6" t="n">
        <f aca="false">'Source Data'!C878</f>
        <v>5</v>
      </c>
      <c r="D881" s="6" t="n">
        <f aca="false">'Source Data'!E878</f>
        <v>0</v>
      </c>
      <c r="E881" s="6" t="n">
        <f aca="false">IFERROR(N(C881)-N(D881),"")</f>
        <v>5</v>
      </c>
      <c r="F881" s="7" t="str">
        <f aca="false">IF(E881&gt;0,"Yes",IF(E881&lt;0,"No (Paternity higher)","Equal"))</f>
        <v>Yes</v>
      </c>
    </row>
    <row r="882" customFormat="false" ht="15" hidden="false" customHeight="false" outlineLevel="0" collapsed="false">
      <c r="A882" s="5" t="str">
        <f aca="false">'Source Data'!A879</f>
        <v>Equian</v>
      </c>
      <c r="B882" s="5" t="str">
        <f aca="false">'Source Data'!B879</f>
        <v>Information Services: Technology</v>
      </c>
      <c r="C882" s="6" t="n">
        <f aca="false">'Source Data'!C879</f>
        <v>3</v>
      </c>
      <c r="D882" s="6" t="n">
        <f aca="false">'Source Data'!E879</f>
        <v>0</v>
      </c>
      <c r="E882" s="6" t="n">
        <f aca="false">IFERROR(N(C882)-N(D882),"")</f>
        <v>3</v>
      </c>
      <c r="F882" s="7" t="str">
        <f aca="false">IF(E882&gt;0,"Yes",IF(E882&lt;0,"No (Paternity higher)","Equal"))</f>
        <v>Yes</v>
      </c>
    </row>
    <row r="883" customFormat="false" ht="15" hidden="false" customHeight="false" outlineLevel="0" collapsed="false">
      <c r="A883" s="5" t="str">
        <f aca="false">'Source Data'!A880</f>
        <v>Eras Tech</v>
      </c>
      <c r="B883" s="5" t="str">
        <f aca="false">'Source Data'!B880</f>
        <v>Information Services: Technology</v>
      </c>
      <c r="C883" s="6" t="n">
        <f aca="false">'Source Data'!C880</f>
        <v>26</v>
      </c>
      <c r="D883" s="6" t="n">
        <f aca="false">'Source Data'!E880</f>
        <v>0</v>
      </c>
      <c r="E883" s="6" t="n">
        <f aca="false">IFERROR(N(C883)-N(D883),"")</f>
        <v>26</v>
      </c>
      <c r="F883" s="7" t="str">
        <f aca="false">IF(E883&gt;0,"Yes",IF(E883&lt;0,"No (Paternity higher)","Equal"))</f>
        <v>Yes</v>
      </c>
    </row>
    <row r="884" customFormat="false" ht="15" hidden="false" customHeight="false" outlineLevel="0" collapsed="false">
      <c r="A884" s="5" t="str">
        <f aca="false">'Source Data'!A881</f>
        <v>Gartner</v>
      </c>
      <c r="B884" s="5" t="str">
        <f aca="false">'Source Data'!B881</f>
        <v>Information Services: Technology</v>
      </c>
      <c r="C884" s="6" t="n">
        <f aca="false">'Source Data'!C881</f>
        <v>12</v>
      </c>
      <c r="D884" s="6" t="n">
        <f aca="false">'Source Data'!E881</f>
        <v>0</v>
      </c>
      <c r="E884" s="6" t="n">
        <f aca="false">IFERROR(N(C884)-N(D884),"")</f>
        <v>12</v>
      </c>
      <c r="F884" s="7" t="str">
        <f aca="false">IF(E884&gt;0,"Yes",IF(E884&lt;0,"No (Paternity higher)","Equal"))</f>
        <v>Yes</v>
      </c>
    </row>
    <row r="885" customFormat="false" ht="15" hidden="false" customHeight="false" outlineLevel="0" collapsed="false">
      <c r="A885" s="5" t="str">
        <f aca="false">'Source Data'!A882</f>
        <v>Google Cloud</v>
      </c>
      <c r="B885" s="5" t="str">
        <f aca="false">'Source Data'!B882</f>
        <v>Information Services: Technology</v>
      </c>
      <c r="C885" s="6" t="n">
        <f aca="false">'Source Data'!C882</f>
        <v>18.5</v>
      </c>
      <c r="D885" s="6" t="n">
        <f aca="false">'Source Data'!E882</f>
        <v>0</v>
      </c>
      <c r="E885" s="6" t="n">
        <f aca="false">IFERROR(N(C885)-N(D885),"")</f>
        <v>18.5</v>
      </c>
      <c r="F885" s="7" t="str">
        <f aca="false">IF(E885&gt;0,"Yes",IF(E885&lt;0,"No (Paternity higher)","Equal"))</f>
        <v>Yes</v>
      </c>
    </row>
    <row r="886" customFormat="false" ht="15" hidden="false" customHeight="false" outlineLevel="0" collapsed="false">
      <c r="A886" s="5" t="str">
        <f aca="false">'Source Data'!A883</f>
        <v>HealthStream</v>
      </c>
      <c r="B886" s="5" t="str">
        <f aca="false">'Source Data'!B883</f>
        <v>Information Services: Technology</v>
      </c>
      <c r="C886" s="6" t="n">
        <f aca="false">'Source Data'!C883</f>
        <v>6</v>
      </c>
      <c r="D886" s="6" t="n">
        <f aca="false">'Source Data'!E883</f>
        <v>0</v>
      </c>
      <c r="E886" s="6" t="n">
        <f aca="false">IFERROR(N(C886)-N(D886),"")</f>
        <v>6</v>
      </c>
      <c r="F886" s="7" t="str">
        <f aca="false">IF(E886&gt;0,"Yes",IF(E886&lt;0,"No (Paternity higher)","Equal"))</f>
        <v>Yes</v>
      </c>
    </row>
    <row r="887" customFormat="false" ht="15" hidden="false" customHeight="false" outlineLevel="0" collapsed="false">
      <c r="A887" s="5" t="str">
        <f aca="false">'Source Data'!A884</f>
        <v>Hitachi Vantara</v>
      </c>
      <c r="B887" s="5" t="str">
        <f aca="false">'Source Data'!B884</f>
        <v>Information Services: Technology</v>
      </c>
      <c r="C887" s="6" t="n">
        <f aca="false">'Source Data'!C884</f>
        <v>12</v>
      </c>
      <c r="D887" s="6" t="n">
        <f aca="false">'Source Data'!E884</f>
        <v>0</v>
      </c>
      <c r="E887" s="6" t="n">
        <f aca="false">IFERROR(N(C887)-N(D887),"")</f>
        <v>12</v>
      </c>
      <c r="F887" s="7" t="str">
        <f aca="false">IF(E887&gt;0,"Yes",IF(E887&lt;0,"No (Paternity higher)","Equal"))</f>
        <v>Yes</v>
      </c>
    </row>
    <row r="888" customFormat="false" ht="15" hidden="false" customHeight="false" outlineLevel="0" collapsed="false">
      <c r="A888" s="5" t="str">
        <f aca="false">'Source Data'!A885</f>
        <v>Infolock</v>
      </c>
      <c r="B888" s="5" t="str">
        <f aca="false">'Source Data'!B885</f>
        <v>Information Services: Technology</v>
      </c>
      <c r="C888" s="6" t="n">
        <f aca="false">'Source Data'!C885</f>
        <v>12</v>
      </c>
      <c r="D888" s="6" t="n">
        <f aca="false">'Source Data'!E885</f>
        <v>0</v>
      </c>
      <c r="E888" s="6" t="n">
        <f aca="false">IFERROR(N(C888)-N(D888),"")</f>
        <v>12</v>
      </c>
      <c r="F888" s="7" t="str">
        <f aca="false">IF(E888&gt;0,"Yes",IF(E888&lt;0,"No (Paternity higher)","Equal"))</f>
        <v>Yes</v>
      </c>
    </row>
    <row r="889" customFormat="false" ht="15" hidden="false" customHeight="false" outlineLevel="0" collapsed="false">
      <c r="A889" s="5" t="str">
        <f aca="false">'Source Data'!A886</f>
        <v>Infosys</v>
      </c>
      <c r="B889" s="5" t="str">
        <f aca="false">'Source Data'!B886</f>
        <v>Information Services: Technology</v>
      </c>
      <c r="C889" s="6" t="n">
        <f aca="false">'Source Data'!C886</f>
        <v>1.5</v>
      </c>
      <c r="D889" s="6" t="n">
        <f aca="false">'Source Data'!E886</f>
        <v>0</v>
      </c>
      <c r="E889" s="6" t="n">
        <f aca="false">IFERROR(N(C889)-N(D889),"")</f>
        <v>1.5</v>
      </c>
      <c r="F889" s="7" t="str">
        <f aca="false">IF(E889&gt;0,"Yes",IF(E889&lt;0,"No (Paternity higher)","Equal"))</f>
        <v>Yes</v>
      </c>
    </row>
    <row r="890" customFormat="false" ht="15" hidden="false" customHeight="false" outlineLevel="0" collapsed="false">
      <c r="A890" s="5" t="str">
        <f aca="false">'Source Data'!A887</f>
        <v>J2 Global</v>
      </c>
      <c r="B890" s="5" t="str">
        <f aca="false">'Source Data'!B887</f>
        <v>Information Services: Technology</v>
      </c>
      <c r="C890" s="6" t="n">
        <f aca="false">'Source Data'!C887</f>
        <v>16</v>
      </c>
      <c r="D890" s="6" t="n">
        <f aca="false">'Source Data'!E887</f>
        <v>0</v>
      </c>
      <c r="E890" s="6" t="n">
        <f aca="false">IFERROR(N(C890)-N(D890),"")</f>
        <v>16</v>
      </c>
      <c r="F890" s="7" t="str">
        <f aca="false">IF(E890&gt;0,"Yes",IF(E890&lt;0,"No (Paternity higher)","Equal"))</f>
        <v>Yes</v>
      </c>
    </row>
    <row r="891" customFormat="false" ht="15" hidden="false" customHeight="false" outlineLevel="0" collapsed="false">
      <c r="A891" s="5" t="str">
        <f aca="false">'Source Data'!A888</f>
        <v>LeverX</v>
      </c>
      <c r="B891" s="5" t="str">
        <f aca="false">'Source Data'!B888</f>
        <v>Information Services: Technology</v>
      </c>
      <c r="C891" s="6" t="n">
        <f aca="false">'Source Data'!C888</f>
        <v>52</v>
      </c>
      <c r="D891" s="6" t="n">
        <f aca="false">'Source Data'!E888</f>
        <v>0</v>
      </c>
      <c r="E891" s="6" t="n">
        <f aca="false">IFERROR(N(C891)-N(D891),"")</f>
        <v>52</v>
      </c>
      <c r="F891" s="7" t="str">
        <f aca="false">IF(E891&gt;0,"Yes",IF(E891&lt;0,"No (Paternity higher)","Equal"))</f>
        <v>Yes</v>
      </c>
    </row>
    <row r="892" customFormat="false" ht="15" hidden="false" customHeight="false" outlineLevel="0" collapsed="false">
      <c r="A892" s="5" t="str">
        <f aca="false">'Source Data'!A889</f>
        <v>LexisNexis</v>
      </c>
      <c r="B892" s="5" t="str">
        <f aca="false">'Source Data'!B889</f>
        <v>Information Services: Technology</v>
      </c>
      <c r="C892" s="6" t="n">
        <f aca="false">'Source Data'!C889</f>
        <v>14</v>
      </c>
      <c r="D892" s="6" t="n">
        <f aca="false">'Source Data'!E889</f>
        <v>0</v>
      </c>
      <c r="E892" s="6" t="n">
        <f aca="false">IFERROR(N(C892)-N(D892),"")</f>
        <v>14</v>
      </c>
      <c r="F892" s="7" t="str">
        <f aca="false">IF(E892&gt;0,"Yes",IF(E892&lt;0,"No (Paternity higher)","Equal"))</f>
        <v>Yes</v>
      </c>
    </row>
    <row r="893" customFormat="false" ht="15" hidden="false" customHeight="false" outlineLevel="0" collapsed="false">
      <c r="A893" s="5" t="str">
        <f aca="false">'Source Data'!A890</f>
        <v>Lloyd Group</v>
      </c>
      <c r="B893" s="5" t="str">
        <f aca="false">'Source Data'!B890</f>
        <v>Information Services: Technology</v>
      </c>
      <c r="C893" s="6" t="n">
        <f aca="false">'Source Data'!C890</f>
        <v>3</v>
      </c>
      <c r="D893" s="6" t="n">
        <f aca="false">'Source Data'!E890</f>
        <v>0</v>
      </c>
      <c r="E893" s="6" t="n">
        <f aca="false">IFERROR(N(C893)-N(D893),"")</f>
        <v>3</v>
      </c>
      <c r="F893" s="7" t="str">
        <f aca="false">IF(E893&gt;0,"Yes",IF(E893&lt;0,"No (Paternity higher)","Equal"))</f>
        <v>Yes</v>
      </c>
    </row>
    <row r="894" customFormat="false" ht="15" hidden="false" customHeight="false" outlineLevel="0" collapsed="false">
      <c r="A894" s="5" t="str">
        <f aca="false">'Source Data'!A891</f>
        <v>LMT Technology Solutions</v>
      </c>
      <c r="B894" s="5" t="str">
        <f aca="false">'Source Data'!B891</f>
        <v>Information Services: Technology</v>
      </c>
      <c r="C894" s="6" t="n">
        <f aca="false">'Source Data'!C891</f>
        <v>12</v>
      </c>
      <c r="D894" s="6" t="n">
        <f aca="false">'Source Data'!E891</f>
        <v>0</v>
      </c>
      <c r="E894" s="6" t="n">
        <f aca="false">IFERROR(N(C894)-N(D894),"")</f>
        <v>12</v>
      </c>
      <c r="F894" s="7" t="str">
        <f aca="false">IF(E894&gt;0,"Yes",IF(E894&lt;0,"No (Paternity higher)","Equal"))</f>
        <v>Yes</v>
      </c>
    </row>
    <row r="895" customFormat="false" ht="15" hidden="false" customHeight="false" outlineLevel="0" collapsed="false">
      <c r="A895" s="5" t="str">
        <f aca="false">'Source Data'!A892</f>
        <v>Microsoft Azure</v>
      </c>
      <c r="B895" s="5" t="str">
        <f aca="false">'Source Data'!B892</f>
        <v>Information Services: Technology</v>
      </c>
      <c r="C895" s="6" t="n">
        <f aca="false">'Source Data'!C892</f>
        <v>16</v>
      </c>
      <c r="D895" s="6" t="n">
        <f aca="false">'Source Data'!E892</f>
        <v>0</v>
      </c>
      <c r="E895" s="6" t="n">
        <f aca="false">IFERROR(N(C895)-N(D895),"")</f>
        <v>16</v>
      </c>
      <c r="F895" s="7" t="str">
        <f aca="false">IF(E895&gt;0,"Yes",IF(E895&lt;0,"No (Paternity higher)","Equal"))</f>
        <v>Yes</v>
      </c>
    </row>
    <row r="896" customFormat="false" ht="15" hidden="false" customHeight="false" outlineLevel="0" collapsed="false">
      <c r="A896" s="5" t="str">
        <f aca="false">'Source Data'!A893</f>
        <v>NetImpact Strategies</v>
      </c>
      <c r="B896" s="5" t="str">
        <f aca="false">'Source Data'!B893</f>
        <v>Information Services: Technology</v>
      </c>
      <c r="C896" s="6" t="n">
        <f aca="false">'Source Data'!C893</f>
        <v>4</v>
      </c>
      <c r="D896" s="6" t="n">
        <f aca="false">'Source Data'!E893</f>
        <v>0</v>
      </c>
      <c r="E896" s="6" t="n">
        <f aca="false">IFERROR(N(C896)-N(D896),"")</f>
        <v>4</v>
      </c>
      <c r="F896" s="7" t="str">
        <f aca="false">IF(E896&gt;0,"Yes",IF(E896&lt;0,"No (Paternity higher)","Equal"))</f>
        <v>Yes</v>
      </c>
    </row>
    <row r="897" customFormat="false" ht="15" hidden="false" customHeight="false" outlineLevel="0" collapsed="false">
      <c r="A897" s="5" t="str">
        <f aca="false">'Source Data'!A894</f>
        <v>Newfold Digital</v>
      </c>
      <c r="B897" s="5" t="str">
        <f aca="false">'Source Data'!B894</f>
        <v>Information Services: Technology</v>
      </c>
      <c r="C897" s="6" t="n">
        <f aca="false">'Source Data'!C894</f>
        <v>12</v>
      </c>
      <c r="D897" s="6" t="n">
        <f aca="false">'Source Data'!E894</f>
        <v>0</v>
      </c>
      <c r="E897" s="6" t="n">
        <f aca="false">IFERROR(N(C897)-N(D897),"")</f>
        <v>12</v>
      </c>
      <c r="F897" s="7" t="str">
        <f aca="false">IF(E897&gt;0,"Yes",IF(E897&lt;0,"No (Paternity higher)","Equal"))</f>
        <v>Yes</v>
      </c>
    </row>
    <row r="898" customFormat="false" ht="15" hidden="false" customHeight="false" outlineLevel="0" collapsed="false">
      <c r="A898" s="5" t="str">
        <f aca="false">'Source Data'!A895</f>
        <v>Niche</v>
      </c>
      <c r="B898" s="5" t="str">
        <f aca="false">'Source Data'!B895</f>
        <v>Information Services: Technology</v>
      </c>
      <c r="C898" s="6" t="n">
        <f aca="false">'Source Data'!C895</f>
        <v>4</v>
      </c>
      <c r="D898" s="6" t="n">
        <f aca="false">'Source Data'!E895</f>
        <v>0</v>
      </c>
      <c r="E898" s="6" t="n">
        <f aca="false">IFERROR(N(C898)-N(D898),"")</f>
        <v>4</v>
      </c>
      <c r="F898" s="7" t="str">
        <f aca="false">IF(E898&gt;0,"Yes",IF(E898&lt;0,"No (Paternity higher)","Equal"))</f>
        <v>Yes</v>
      </c>
    </row>
    <row r="899" customFormat="false" ht="15" hidden="false" customHeight="false" outlineLevel="0" collapsed="false">
      <c r="A899" s="5" t="str">
        <f aca="false">'Source Data'!A896</f>
        <v>NielsenIQ</v>
      </c>
      <c r="B899" s="5" t="str">
        <f aca="false">'Source Data'!B896</f>
        <v>Information Services: Technology</v>
      </c>
      <c r="C899" s="6" t="n">
        <f aca="false">'Source Data'!C896</f>
        <v>20</v>
      </c>
      <c r="D899" s="6" t="n">
        <f aca="false">'Source Data'!E896</f>
        <v>0</v>
      </c>
      <c r="E899" s="6" t="n">
        <f aca="false">IFERROR(N(C899)-N(D899),"")</f>
        <v>20</v>
      </c>
      <c r="F899" s="7" t="str">
        <f aca="false">IF(E899&gt;0,"Yes",IF(E899&lt;0,"No (Paternity higher)","Equal"))</f>
        <v>Yes</v>
      </c>
    </row>
    <row r="900" customFormat="false" ht="15" hidden="false" customHeight="false" outlineLevel="0" collapsed="false">
      <c r="A900" s="5" t="str">
        <f aca="false">'Source Data'!A897</f>
        <v>OM1</v>
      </c>
      <c r="B900" s="5" t="str">
        <f aca="false">'Source Data'!B897</f>
        <v>Information Services: Technology</v>
      </c>
      <c r="C900" s="6" t="n">
        <f aca="false">'Source Data'!C897</f>
        <v>4</v>
      </c>
      <c r="D900" s="6" t="n">
        <f aca="false">'Source Data'!E897</f>
        <v>0</v>
      </c>
      <c r="E900" s="6" t="n">
        <f aca="false">IFERROR(N(C900)-N(D900),"")</f>
        <v>4</v>
      </c>
      <c r="F900" s="7" t="str">
        <f aca="false">IF(E900&gt;0,"Yes",IF(E900&lt;0,"No (Paternity higher)","Equal"))</f>
        <v>Yes</v>
      </c>
    </row>
    <row r="901" customFormat="false" ht="15" hidden="false" customHeight="false" outlineLevel="0" collapsed="false">
      <c r="A901" s="5" t="str">
        <f aca="false">'Source Data'!A898</f>
        <v>OPTIMIZERx Corporation</v>
      </c>
      <c r="B901" s="5" t="str">
        <f aca="false">'Source Data'!B898</f>
        <v>Information Services: Technology</v>
      </c>
      <c r="C901" s="6" t="n">
        <f aca="false">'Source Data'!C898</f>
        <v>4</v>
      </c>
      <c r="D901" s="6" t="n">
        <f aca="false">'Source Data'!E898</f>
        <v>0</v>
      </c>
      <c r="E901" s="6" t="n">
        <f aca="false">IFERROR(N(C901)-N(D901),"")</f>
        <v>4</v>
      </c>
      <c r="F901" s="7" t="str">
        <f aca="false">IF(E901&gt;0,"Yes",IF(E901&lt;0,"No (Paternity higher)","Equal"))</f>
        <v>Yes</v>
      </c>
    </row>
    <row r="902" customFormat="false" ht="15" hidden="false" customHeight="false" outlineLevel="0" collapsed="false">
      <c r="A902" s="5" t="str">
        <f aca="false">'Source Data'!A899</f>
        <v>PatientPop</v>
      </c>
      <c r="B902" s="5" t="str">
        <f aca="false">'Source Data'!B899</f>
        <v>Information Services: Technology</v>
      </c>
      <c r="C902" s="6" t="n">
        <f aca="false">'Source Data'!C899</f>
        <v>12</v>
      </c>
      <c r="D902" s="6" t="n">
        <f aca="false">'Source Data'!E899</f>
        <v>0</v>
      </c>
      <c r="E902" s="6" t="n">
        <f aca="false">IFERROR(N(C902)-N(D902),"")</f>
        <v>12</v>
      </c>
      <c r="F902" s="7" t="str">
        <f aca="false">IF(E902&gt;0,"Yes",IF(E902&lt;0,"No (Paternity higher)","Equal"))</f>
        <v>Yes</v>
      </c>
    </row>
    <row r="903" customFormat="false" ht="15" hidden="false" customHeight="false" outlineLevel="0" collapsed="false">
      <c r="A903" s="5" t="str">
        <f aca="false">'Source Data'!A900</f>
        <v>Publicis Sapient</v>
      </c>
      <c r="B903" s="5" t="str">
        <f aca="false">'Source Data'!B900</f>
        <v>Information Services: Technology</v>
      </c>
      <c r="C903" s="6" t="n">
        <f aca="false">'Source Data'!C900</f>
        <v>12</v>
      </c>
      <c r="D903" s="6" t="n">
        <f aca="false">'Source Data'!E900</f>
        <v>0</v>
      </c>
      <c r="E903" s="6" t="n">
        <f aca="false">IFERROR(N(C903)-N(D903),"")</f>
        <v>12</v>
      </c>
      <c r="F903" s="7" t="str">
        <f aca="false">IF(E903&gt;0,"Yes",IF(E903&lt;0,"No (Paternity higher)","Equal"))</f>
        <v>Yes</v>
      </c>
    </row>
    <row r="904" customFormat="false" ht="15" hidden="false" customHeight="false" outlineLevel="0" collapsed="false">
      <c r="A904" s="5" t="str">
        <f aca="false">'Source Data'!A901</f>
        <v>Remind</v>
      </c>
      <c r="B904" s="5" t="str">
        <f aca="false">'Source Data'!B901</f>
        <v>Information Services: Technology</v>
      </c>
      <c r="C904" s="6" t="n">
        <f aca="false">'Source Data'!C901</f>
        <v>16</v>
      </c>
      <c r="D904" s="6" t="n">
        <f aca="false">'Source Data'!E901</f>
        <v>0</v>
      </c>
      <c r="E904" s="6" t="n">
        <f aca="false">IFERROR(N(C904)-N(D904),"")</f>
        <v>16</v>
      </c>
      <c r="F904" s="7" t="str">
        <f aca="false">IF(E904&gt;0,"Yes",IF(E904&lt;0,"No (Paternity higher)","Equal"))</f>
        <v>Yes</v>
      </c>
    </row>
    <row r="905" customFormat="false" ht="15" hidden="false" customHeight="false" outlineLevel="0" collapsed="false">
      <c r="A905" s="5" t="str">
        <f aca="false">'Source Data'!A902</f>
        <v>RF Code</v>
      </c>
      <c r="B905" s="5" t="str">
        <f aca="false">'Source Data'!B902</f>
        <v>Information Services: Technology</v>
      </c>
      <c r="C905" s="6" t="n">
        <f aca="false">'Source Data'!C902</f>
        <v>6</v>
      </c>
      <c r="D905" s="6" t="n">
        <f aca="false">'Source Data'!E902</f>
        <v>0</v>
      </c>
      <c r="E905" s="6" t="n">
        <f aca="false">IFERROR(N(C905)-N(D905),"")</f>
        <v>6</v>
      </c>
      <c r="F905" s="7" t="str">
        <f aca="false">IF(E905&gt;0,"Yes",IF(E905&lt;0,"No (Paternity higher)","Equal"))</f>
        <v>Yes</v>
      </c>
    </row>
    <row r="906" customFormat="false" ht="15" hidden="false" customHeight="false" outlineLevel="0" collapsed="false">
      <c r="A906" s="5" t="str">
        <f aca="false">'Source Data'!A903</f>
        <v>Siemens Healthineers</v>
      </c>
      <c r="B906" s="5" t="str">
        <f aca="false">'Source Data'!B903</f>
        <v>Information Services: Technology</v>
      </c>
      <c r="C906" s="6" t="n">
        <f aca="false">'Source Data'!C903</f>
        <v>12</v>
      </c>
      <c r="D906" s="6" t="n">
        <f aca="false">'Source Data'!E903</f>
        <v>0</v>
      </c>
      <c r="E906" s="6" t="n">
        <f aca="false">IFERROR(N(C906)-N(D906),"")</f>
        <v>12</v>
      </c>
      <c r="F906" s="7" t="str">
        <f aca="false">IF(E906&gt;0,"Yes",IF(E906&lt;0,"No (Paternity higher)","Equal"))</f>
        <v>Yes</v>
      </c>
    </row>
    <row r="907" customFormat="false" ht="15" hidden="false" customHeight="false" outlineLevel="0" collapsed="false">
      <c r="A907" s="5" t="str">
        <f aca="false">'Source Data'!A904</f>
        <v>Smarsh</v>
      </c>
      <c r="B907" s="5" t="str">
        <f aca="false">'Source Data'!B904</f>
        <v>Information Services: Technology</v>
      </c>
      <c r="C907" s="6" t="n">
        <f aca="false">'Source Data'!C904</f>
        <v>2</v>
      </c>
      <c r="D907" s="6" t="n">
        <f aca="false">'Source Data'!E904</f>
        <v>0</v>
      </c>
      <c r="E907" s="6" t="n">
        <f aca="false">IFERROR(N(C907)-N(D907),"")</f>
        <v>2</v>
      </c>
      <c r="F907" s="7" t="str">
        <f aca="false">IF(E907&gt;0,"Yes",IF(E907&lt;0,"No (Paternity higher)","Equal"))</f>
        <v>Yes</v>
      </c>
    </row>
    <row r="908" customFormat="false" ht="15" hidden="false" customHeight="false" outlineLevel="0" collapsed="false">
      <c r="A908" s="5" t="str">
        <f aca="false">'Source Data'!A905</f>
        <v>SpotX</v>
      </c>
      <c r="B908" s="5" t="str">
        <f aca="false">'Source Data'!B905</f>
        <v>Information Services: Technology</v>
      </c>
      <c r="C908" s="6" t="n">
        <f aca="false">'Source Data'!C905</f>
        <v>9</v>
      </c>
      <c r="D908" s="6" t="n">
        <f aca="false">'Source Data'!E905</f>
        <v>0</v>
      </c>
      <c r="E908" s="6" t="n">
        <f aca="false">IFERROR(N(C908)-N(D908),"")</f>
        <v>9</v>
      </c>
      <c r="F908" s="7" t="str">
        <f aca="false">IF(E908&gt;0,"Yes",IF(E908&lt;0,"No (Paternity higher)","Equal"))</f>
        <v>Yes</v>
      </c>
    </row>
    <row r="909" customFormat="false" ht="15" hidden="false" customHeight="false" outlineLevel="0" collapsed="false">
      <c r="A909" s="5" t="str">
        <f aca="false">'Source Data'!A906</f>
        <v>Surescripts</v>
      </c>
      <c r="B909" s="5" t="str">
        <f aca="false">'Source Data'!B906</f>
        <v>Information Services: Technology</v>
      </c>
      <c r="C909" s="6" t="n">
        <f aca="false">'Source Data'!C906</f>
        <v>10</v>
      </c>
      <c r="D909" s="6" t="n">
        <f aca="false">'Source Data'!E906</f>
        <v>0</v>
      </c>
      <c r="E909" s="6" t="n">
        <f aca="false">IFERROR(N(C909)-N(D909),"")</f>
        <v>10</v>
      </c>
      <c r="F909" s="7" t="str">
        <f aca="false">IF(E909&gt;0,"Yes",IF(E909&lt;0,"No (Paternity higher)","Equal"))</f>
        <v>Yes</v>
      </c>
    </row>
    <row r="910" customFormat="false" ht="15" hidden="false" customHeight="false" outlineLevel="0" collapsed="false">
      <c r="A910" s="5" t="str">
        <f aca="false">'Source Data'!A907</f>
        <v>The Gordian Group</v>
      </c>
      <c r="B910" s="5" t="str">
        <f aca="false">'Source Data'!B907</f>
        <v>Information Services: Technology</v>
      </c>
      <c r="C910" s="6" t="n">
        <f aca="false">'Source Data'!C907</f>
        <v>8</v>
      </c>
      <c r="D910" s="6" t="n">
        <f aca="false">'Source Data'!E907</f>
        <v>0</v>
      </c>
      <c r="E910" s="6" t="n">
        <f aca="false">IFERROR(N(C910)-N(D910),"")</f>
        <v>8</v>
      </c>
      <c r="F910" s="7" t="str">
        <f aca="false">IF(E910&gt;0,"Yes",IF(E910&lt;0,"No (Paternity higher)","Equal"))</f>
        <v>Yes</v>
      </c>
    </row>
    <row r="911" customFormat="false" ht="15" hidden="false" customHeight="false" outlineLevel="0" collapsed="false">
      <c r="A911" s="5" t="str">
        <f aca="false">'Source Data'!A908</f>
        <v>TriNet</v>
      </c>
      <c r="B911" s="5" t="str">
        <f aca="false">'Source Data'!B908</f>
        <v>Information Services: Technology</v>
      </c>
      <c r="C911" s="6" t="n">
        <f aca="false">'Source Data'!C908</f>
        <v>12</v>
      </c>
      <c r="D911" s="6" t="n">
        <f aca="false">'Source Data'!E908</f>
        <v>0</v>
      </c>
      <c r="E911" s="6" t="n">
        <f aca="false">IFERROR(N(C911)-N(D911),"")</f>
        <v>12</v>
      </c>
      <c r="F911" s="7" t="str">
        <f aca="false">IF(E911&gt;0,"Yes",IF(E911&lt;0,"No (Paternity higher)","Equal"))</f>
        <v>Yes</v>
      </c>
    </row>
    <row r="912" customFormat="false" ht="15" hidden="false" customHeight="false" outlineLevel="0" collapsed="false">
      <c r="A912" s="5" t="str">
        <f aca="false">'Source Data'!A909</f>
        <v>Verisk Analytics</v>
      </c>
      <c r="B912" s="5" t="str">
        <f aca="false">'Source Data'!B909</f>
        <v>Information Services: Technology</v>
      </c>
      <c r="C912" s="6" t="n">
        <f aca="false">'Source Data'!C909</f>
        <v>10</v>
      </c>
      <c r="D912" s="6" t="n">
        <f aca="false">'Source Data'!E909</f>
        <v>0</v>
      </c>
      <c r="E912" s="6" t="n">
        <f aca="false">IFERROR(N(C912)-N(D912),"")</f>
        <v>10</v>
      </c>
      <c r="F912" s="7" t="str">
        <f aca="false">IF(E912&gt;0,"Yes",IF(E912&lt;0,"No (Paternity higher)","Equal"))</f>
        <v>Yes</v>
      </c>
    </row>
    <row r="913" customFormat="false" ht="15" hidden="false" customHeight="false" outlineLevel="0" collapsed="false">
      <c r="A913" s="5" t="str">
        <f aca="false">'Source Data'!A910</f>
        <v>VTS</v>
      </c>
      <c r="B913" s="5" t="str">
        <f aca="false">'Source Data'!B910</f>
        <v>Information Services: Technology</v>
      </c>
      <c r="C913" s="6" t="n">
        <f aca="false">'Source Data'!C910</f>
        <v>18</v>
      </c>
      <c r="D913" s="6" t="n">
        <f aca="false">'Source Data'!E910</f>
        <v>0</v>
      </c>
      <c r="E913" s="6" t="n">
        <f aca="false">IFERROR(N(C913)-N(D913),"")</f>
        <v>18</v>
      </c>
      <c r="F913" s="7" t="str">
        <f aca="false">IF(E913&gt;0,"Yes",IF(E913&lt;0,"No (Paternity higher)","Equal"))</f>
        <v>Yes</v>
      </c>
    </row>
    <row r="914" customFormat="false" ht="15" hidden="false" customHeight="false" outlineLevel="0" collapsed="false">
      <c r="A914" s="5" t="str">
        <f aca="false">'Source Data'!A911</f>
        <v>WP Engine</v>
      </c>
      <c r="B914" s="5" t="str">
        <f aca="false">'Source Data'!B911</f>
        <v>Information Services: Technology</v>
      </c>
      <c r="C914" s="6" t="n">
        <f aca="false">'Source Data'!C911</f>
        <v>16</v>
      </c>
      <c r="D914" s="6" t="n">
        <f aca="false">'Source Data'!E911</f>
        <v>0</v>
      </c>
      <c r="E914" s="6" t="n">
        <f aca="false">IFERROR(N(C914)-N(D914),"")</f>
        <v>16</v>
      </c>
      <c r="F914" s="7" t="str">
        <f aca="false">IF(E914&gt;0,"Yes",IF(E914&lt;0,"No (Paternity higher)","Equal"))</f>
        <v>Yes</v>
      </c>
    </row>
    <row r="915" customFormat="false" ht="15" hidden="false" customHeight="false" outlineLevel="0" collapsed="false">
      <c r="A915" s="5" t="str">
        <f aca="false">'Source Data'!A912</f>
        <v>ZoomInfo</v>
      </c>
      <c r="B915" s="5" t="str">
        <f aca="false">'Source Data'!B912</f>
        <v>Information Services: Technology</v>
      </c>
      <c r="C915" s="6" t="n">
        <f aca="false">'Source Data'!C912</f>
        <v>12</v>
      </c>
      <c r="D915" s="6" t="n">
        <f aca="false">'Source Data'!E912</f>
        <v>0</v>
      </c>
      <c r="E915" s="6" t="n">
        <f aca="false">IFERROR(N(C915)-N(D915),"")</f>
        <v>12</v>
      </c>
      <c r="F915" s="7" t="str">
        <f aca="false">IF(E915&gt;0,"Yes",IF(E915&lt;0,"No (Paternity higher)","Equal"))</f>
        <v>Yes</v>
      </c>
    </row>
    <row r="916" customFormat="false" ht="15" hidden="false" customHeight="false" outlineLevel="0" collapsed="false">
      <c r="A916" s="5" t="str">
        <f aca="false">'Source Data'!A913</f>
        <v>Marsh &amp; McLennan Agency</v>
      </c>
      <c r="B916" s="5" t="str">
        <f aca="false">'Source Data'!B913</f>
        <v>Insurance</v>
      </c>
      <c r="C916" s="6" t="n">
        <f aca="false">'Source Data'!C913</f>
        <v>2</v>
      </c>
      <c r="D916" s="6" t="n">
        <f aca="false">'Source Data'!E913</f>
        <v>0</v>
      </c>
      <c r="E916" s="6" t="n">
        <f aca="false">IFERROR(N(C916)-N(D916),"")</f>
        <v>2</v>
      </c>
      <c r="F916" s="7" t="str">
        <f aca="false">IF(E916&gt;0,"Yes",IF(E916&lt;0,"No (Paternity higher)","Equal"))</f>
        <v>Yes</v>
      </c>
    </row>
    <row r="917" customFormat="false" ht="15" hidden="false" customHeight="false" outlineLevel="0" collapsed="false">
      <c r="A917" s="5" t="str">
        <f aca="false">'Source Data'!A914</f>
        <v>Hub International</v>
      </c>
      <c r="B917" s="5" t="str">
        <f aca="false">'Source Data'!B914</f>
        <v>Insurance: Brokerage</v>
      </c>
      <c r="C917" s="6" t="n">
        <f aca="false">'Source Data'!C914</f>
        <v>6</v>
      </c>
      <c r="D917" s="6" t="n">
        <f aca="false">'Source Data'!E914</f>
        <v>0</v>
      </c>
      <c r="E917" s="6" t="n">
        <f aca="false">IFERROR(N(C917)-N(D917),"")</f>
        <v>6</v>
      </c>
      <c r="F917" s="7" t="str">
        <f aca="false">IF(E917&gt;0,"Yes",IF(E917&lt;0,"No (Paternity higher)","Equal"))</f>
        <v>Yes</v>
      </c>
    </row>
    <row r="918" customFormat="false" ht="15" hidden="false" customHeight="false" outlineLevel="0" collapsed="false">
      <c r="A918" s="5" t="str">
        <f aca="false">'Source Data'!A915</f>
        <v>USI Insurance Services</v>
      </c>
      <c r="B918" s="5" t="str">
        <f aca="false">'Source Data'!B915</f>
        <v>Insurance: Brokerage</v>
      </c>
      <c r="C918" s="6" t="n">
        <f aca="false">'Source Data'!C915</f>
        <v>2</v>
      </c>
      <c r="D918" s="6" t="n">
        <f aca="false">'Source Data'!E915</f>
        <v>0</v>
      </c>
      <c r="E918" s="6" t="n">
        <f aca="false">IFERROR(N(C918)-N(D918),"")</f>
        <v>2</v>
      </c>
      <c r="F918" s="7" t="str">
        <f aca="false">IF(E918&gt;0,"Yes",IF(E918&lt;0,"No (Paternity higher)","Equal"))</f>
        <v>Yes</v>
      </c>
    </row>
    <row r="919" customFormat="false" ht="15" hidden="false" customHeight="false" outlineLevel="0" collapsed="false">
      <c r="A919" s="5" t="str">
        <f aca="false">'Source Data'!A916</f>
        <v>Willis Towers Watson</v>
      </c>
      <c r="B919" s="5" t="str">
        <f aca="false">'Source Data'!B916</f>
        <v>Insurance: Brokerage</v>
      </c>
      <c r="C919" s="6" t="n">
        <f aca="false">'Source Data'!C916</f>
        <v>4</v>
      </c>
      <c r="D919" s="6" t="n">
        <f aca="false">'Source Data'!E916</f>
        <v>0</v>
      </c>
      <c r="E919" s="6" t="n">
        <f aca="false">IFERROR(N(C919)-N(D919),"")</f>
        <v>4</v>
      </c>
      <c r="F919" s="7" t="str">
        <f aca="false">IF(E919&gt;0,"Yes",IF(E919&lt;0,"No (Paternity higher)","Equal"))</f>
        <v>Yes</v>
      </c>
    </row>
    <row r="920" customFormat="false" ht="15" hidden="false" customHeight="false" outlineLevel="0" collapsed="false">
      <c r="A920" s="5" t="str">
        <f aca="false">'Source Data'!A917</f>
        <v>AmeriTrust Group</v>
      </c>
      <c r="B920" s="5" t="str">
        <f aca="false">'Source Data'!B917</f>
        <v>Insurance: Diversified</v>
      </c>
      <c r="C920" s="6" t="n">
        <f aca="false">'Source Data'!C917</f>
        <v>4</v>
      </c>
      <c r="D920" s="6" t="n">
        <f aca="false">'Source Data'!E917</f>
        <v>0</v>
      </c>
      <c r="E920" s="6" t="n">
        <f aca="false">IFERROR(N(C920)-N(D920),"")</f>
        <v>4</v>
      </c>
      <c r="F920" s="7" t="str">
        <f aca="false">IF(E920&gt;0,"Yes",IF(E920&lt;0,"No (Paternity higher)","Equal"))</f>
        <v>Yes</v>
      </c>
    </row>
    <row r="921" customFormat="false" ht="15" hidden="false" customHeight="false" outlineLevel="0" collapsed="false">
      <c r="A921" s="5" t="str">
        <f aca="false">'Source Data'!A918</f>
        <v>Aspen Insurance Holdings Limited</v>
      </c>
      <c r="B921" s="5" t="str">
        <f aca="false">'Source Data'!B918</f>
        <v>Insurance: Diversified</v>
      </c>
      <c r="C921" s="6" t="n">
        <f aca="false">'Source Data'!C918</f>
        <v>16</v>
      </c>
      <c r="D921" s="6" t="n">
        <f aca="false">'Source Data'!E918</f>
        <v>0</v>
      </c>
      <c r="E921" s="6" t="n">
        <f aca="false">IFERROR(N(C921)-N(D921),"")</f>
        <v>16</v>
      </c>
      <c r="F921" s="7" t="str">
        <f aca="false">IF(E921&gt;0,"Yes",IF(E921&lt;0,"No (Paternity higher)","Equal"))</f>
        <v>Yes</v>
      </c>
    </row>
    <row r="922" customFormat="false" ht="15" hidden="false" customHeight="false" outlineLevel="0" collapsed="false">
      <c r="A922" s="5" t="str">
        <f aca="false">'Source Data'!A919</f>
        <v>CUNA Mutual Group</v>
      </c>
      <c r="B922" s="5" t="str">
        <f aca="false">'Source Data'!B919</f>
        <v>Insurance: Diversified</v>
      </c>
      <c r="C922" s="6" t="n">
        <f aca="false">'Source Data'!C919</f>
        <v>8</v>
      </c>
      <c r="D922" s="6" t="n">
        <f aca="false">'Source Data'!E919</f>
        <v>12</v>
      </c>
      <c r="E922" s="6" t="n">
        <f aca="false">IFERROR(N(C922)-N(D922),"")</f>
        <v>-4</v>
      </c>
      <c r="F922" s="7" t="str">
        <f aca="false">IF(E922&gt;0,"Yes",IF(E922&lt;0,"No (Paternity higher)","Equal"))</f>
        <v>No (Paternity higher)</v>
      </c>
    </row>
    <row r="923" customFormat="false" ht="15" hidden="false" customHeight="false" outlineLevel="0" collapsed="false">
      <c r="A923" s="5" t="str">
        <f aca="false">'Source Data'!A920</f>
        <v>First American</v>
      </c>
      <c r="B923" s="5" t="str">
        <f aca="false">'Source Data'!B920</f>
        <v>Insurance: Diversified</v>
      </c>
      <c r="C923" s="6" t="n">
        <f aca="false">'Source Data'!C920</f>
        <v>6</v>
      </c>
      <c r="D923" s="6" t="n">
        <f aca="false">'Source Data'!E920</f>
        <v>0</v>
      </c>
      <c r="E923" s="6" t="n">
        <f aca="false">IFERROR(N(C923)-N(D923),"")</f>
        <v>6</v>
      </c>
      <c r="F923" s="7" t="str">
        <f aca="false">IF(E923&gt;0,"Yes",IF(E923&lt;0,"No (Paternity higher)","Equal"))</f>
        <v>Yes</v>
      </c>
    </row>
    <row r="924" customFormat="false" ht="15" hidden="false" customHeight="false" outlineLevel="0" collapsed="false">
      <c r="A924" s="5" t="str">
        <f aca="false">'Source Data'!A921</f>
        <v>Hiscox</v>
      </c>
      <c r="B924" s="5" t="str">
        <f aca="false">'Source Data'!B921</f>
        <v>Insurance: Diversified</v>
      </c>
      <c r="C924" s="6" t="n">
        <f aca="false">'Source Data'!C921</f>
        <v>12</v>
      </c>
      <c r="D924" s="6" t="n">
        <f aca="false">'Source Data'!E921</f>
        <v>0</v>
      </c>
      <c r="E924" s="6" t="n">
        <f aca="false">IFERROR(N(C924)-N(D924),"")</f>
        <v>12</v>
      </c>
      <c r="F924" s="7" t="str">
        <f aca="false">IF(E924&gt;0,"Yes",IF(E924&lt;0,"No (Paternity higher)","Equal"))</f>
        <v>Yes</v>
      </c>
    </row>
    <row r="925" customFormat="false" ht="15" hidden="false" customHeight="false" outlineLevel="0" collapsed="false">
      <c r="A925" s="5" t="str">
        <f aca="false">'Source Data'!A922</f>
        <v>IAG Limited</v>
      </c>
      <c r="B925" s="5" t="str">
        <f aca="false">'Source Data'!B922</f>
        <v>Insurance: Diversified</v>
      </c>
      <c r="C925" s="6" t="n">
        <f aca="false">'Source Data'!C922</f>
        <v>12</v>
      </c>
      <c r="D925" s="6" t="n">
        <f aca="false">'Source Data'!E922</f>
        <v>0</v>
      </c>
      <c r="E925" s="6" t="n">
        <f aca="false">IFERROR(N(C925)-N(D925),"")</f>
        <v>12</v>
      </c>
      <c r="F925" s="7" t="str">
        <f aca="false">IF(E925&gt;0,"Yes",IF(E925&lt;0,"No (Paternity higher)","Equal"))</f>
        <v>Yes</v>
      </c>
    </row>
    <row r="926" customFormat="false" ht="15" hidden="false" customHeight="false" outlineLevel="0" collapsed="false">
      <c r="A926" s="5" t="str">
        <f aca="false">'Source Data'!A923</f>
        <v>Lockton Companies Inc.</v>
      </c>
      <c r="B926" s="5" t="str">
        <f aca="false">'Source Data'!B923</f>
        <v>Insurance: Diversified</v>
      </c>
      <c r="C926" s="6" t="n">
        <f aca="false">'Source Data'!C923</f>
        <v>12</v>
      </c>
      <c r="D926" s="6" t="n">
        <f aca="false">'Source Data'!E923</f>
        <v>0</v>
      </c>
      <c r="E926" s="6" t="n">
        <f aca="false">IFERROR(N(C926)-N(D926),"")</f>
        <v>12</v>
      </c>
      <c r="F926" s="7" t="str">
        <f aca="false">IF(E926&gt;0,"Yes",IF(E926&lt;0,"No (Paternity higher)","Equal"))</f>
        <v>Yes</v>
      </c>
    </row>
    <row r="927" customFormat="false" ht="15" hidden="false" customHeight="false" outlineLevel="0" collapsed="false">
      <c r="A927" s="5" t="str">
        <f aca="false">'Source Data'!A924</f>
        <v>MassMutual</v>
      </c>
      <c r="B927" s="5" t="str">
        <f aca="false">'Source Data'!B924</f>
        <v>Insurance: Diversified</v>
      </c>
      <c r="C927" s="6" t="n">
        <f aca="false">'Source Data'!C924</f>
        <v>8</v>
      </c>
      <c r="D927" s="6" t="n">
        <f aca="false">'Source Data'!E924</f>
        <v>0</v>
      </c>
      <c r="E927" s="6" t="n">
        <f aca="false">IFERROR(N(C927)-N(D927),"")</f>
        <v>8</v>
      </c>
      <c r="F927" s="7" t="str">
        <f aca="false">IF(E927&gt;0,"Yes",IF(E927&lt;0,"No (Paternity higher)","Equal"))</f>
        <v>Yes</v>
      </c>
    </row>
    <row r="928" customFormat="false" ht="15" hidden="false" customHeight="false" outlineLevel="0" collapsed="false">
      <c r="A928" s="5" t="str">
        <f aca="false">'Source Data'!A925</f>
        <v>MJ Insurance</v>
      </c>
      <c r="B928" s="5" t="str">
        <f aca="false">'Source Data'!B925</f>
        <v>Insurance: Diversified</v>
      </c>
      <c r="C928" s="6" t="n">
        <f aca="false">'Source Data'!C925</f>
        <v>2</v>
      </c>
      <c r="D928" s="6" t="n">
        <f aca="false">'Source Data'!E925</f>
        <v>0</v>
      </c>
      <c r="E928" s="6" t="n">
        <f aca="false">IFERROR(N(C928)-N(D928),"")</f>
        <v>2</v>
      </c>
      <c r="F928" s="7" t="str">
        <f aca="false">IF(E928&gt;0,"Yes",IF(E928&lt;0,"No (Paternity higher)","Equal"))</f>
        <v>Yes</v>
      </c>
    </row>
    <row r="929" customFormat="false" ht="15" hidden="false" customHeight="false" outlineLevel="0" collapsed="false">
      <c r="A929" s="5" t="str">
        <f aca="false">'Source Data'!A926</f>
        <v>Sana Benefits</v>
      </c>
      <c r="B929" s="5" t="str">
        <f aca="false">'Source Data'!B926</f>
        <v>Insurance: Diversified</v>
      </c>
      <c r="C929" s="6" t="n">
        <f aca="false">'Source Data'!C926</f>
        <v>13</v>
      </c>
      <c r="D929" s="6" t="n">
        <f aca="false">'Source Data'!E926</f>
        <v>0</v>
      </c>
      <c r="E929" s="6" t="n">
        <f aca="false">IFERROR(N(C929)-N(D929),"")</f>
        <v>13</v>
      </c>
      <c r="F929" s="7" t="str">
        <f aca="false">IF(E929&gt;0,"Yes",IF(E929&lt;0,"No (Paternity higher)","Equal"))</f>
        <v>Yes</v>
      </c>
    </row>
    <row r="930" customFormat="false" ht="15" hidden="false" customHeight="false" outlineLevel="0" collapsed="false">
      <c r="A930" s="5" t="str">
        <f aca="false">'Source Data'!A927</f>
        <v>Sun Life Financial</v>
      </c>
      <c r="B930" s="5" t="str">
        <f aca="false">'Source Data'!B927</f>
        <v>Insurance: Diversified</v>
      </c>
      <c r="C930" s="6" t="n">
        <f aca="false">'Source Data'!C927</f>
        <v>16</v>
      </c>
      <c r="D930" s="6" t="n">
        <f aca="false">'Source Data'!E927</f>
        <v>0</v>
      </c>
      <c r="E930" s="6" t="n">
        <f aca="false">IFERROR(N(C930)-N(D930),"")</f>
        <v>16</v>
      </c>
      <c r="F930" s="7" t="str">
        <f aca="false">IF(E930&gt;0,"Yes",IF(E930&lt;0,"No (Paternity higher)","Equal"))</f>
        <v>Yes</v>
      </c>
    </row>
    <row r="931" customFormat="false" ht="15" hidden="false" customHeight="false" outlineLevel="0" collapsed="false">
      <c r="A931" s="5" t="str">
        <f aca="false">'Source Data'!A928</f>
        <v>The McGowan Companies Inc.</v>
      </c>
      <c r="B931" s="5" t="str">
        <f aca="false">'Source Data'!B928</f>
        <v>Insurance: Diversified</v>
      </c>
      <c r="C931" s="6" t="n">
        <f aca="false">'Source Data'!C928</f>
        <v>12</v>
      </c>
      <c r="D931" s="6" t="n">
        <f aca="false">'Source Data'!E928</f>
        <v>0</v>
      </c>
      <c r="E931" s="6" t="n">
        <f aca="false">IFERROR(N(C931)-N(D931),"")</f>
        <v>12</v>
      </c>
      <c r="F931" s="7" t="str">
        <f aca="false">IF(E931&gt;0,"Yes",IF(E931&lt;0,"No (Paternity higher)","Equal"))</f>
        <v>Yes</v>
      </c>
    </row>
    <row r="932" customFormat="false" ht="15" hidden="false" customHeight="false" outlineLevel="0" collapsed="false">
      <c r="A932" s="5" t="str">
        <f aca="false">'Source Data'!A929</f>
        <v>Trustmark Companies</v>
      </c>
      <c r="B932" s="5" t="str">
        <f aca="false">'Source Data'!B929</f>
        <v>Insurance: Diversified</v>
      </c>
      <c r="C932" s="6" t="n">
        <f aca="false">'Source Data'!C929</f>
        <v>6</v>
      </c>
      <c r="D932" s="6" t="n">
        <f aca="false">'Source Data'!E929</f>
        <v>0</v>
      </c>
      <c r="E932" s="6" t="n">
        <f aca="false">IFERROR(N(C932)-N(D932),"")</f>
        <v>6</v>
      </c>
      <c r="F932" s="7" t="str">
        <f aca="false">IF(E932&gt;0,"Yes",IF(E932&lt;0,"No (Paternity higher)","Equal"))</f>
        <v>Yes</v>
      </c>
    </row>
    <row r="933" customFormat="false" ht="15" hidden="false" customHeight="false" outlineLevel="0" collapsed="false">
      <c r="A933" s="5" t="str">
        <f aca="false">'Source Data'!A930</f>
        <v>Anthem</v>
      </c>
      <c r="B933" s="5" t="str">
        <f aca="false">'Source Data'!B930</f>
        <v>Insurance: Health</v>
      </c>
      <c r="C933" s="6" t="n">
        <f aca="false">'Source Data'!C930</f>
        <v>0</v>
      </c>
      <c r="D933" s="6" t="n">
        <f aca="false">'Source Data'!E930</f>
        <v>0</v>
      </c>
      <c r="E933" s="6" t="n">
        <f aca="false">IFERROR(N(C933)-N(D933),"")</f>
        <v>0</v>
      </c>
      <c r="F933" s="7" t="str">
        <f aca="false">IF(E933&gt;0,"Yes",IF(E933&lt;0,"No (Paternity higher)","Equal"))</f>
        <v>Equal</v>
      </c>
    </row>
    <row r="934" customFormat="false" ht="15" hidden="false" customHeight="false" outlineLevel="0" collapsed="false">
      <c r="A934" s="5" t="str">
        <f aca="false">'Source Data'!A931</f>
        <v>Blue Cross and Blue Shield of Texas</v>
      </c>
      <c r="B934" s="5" t="str">
        <f aca="false">'Source Data'!B931</f>
        <v>Insurance: Health</v>
      </c>
      <c r="C934" s="6" t="n">
        <f aca="false">'Source Data'!C931</f>
        <v>6</v>
      </c>
      <c r="D934" s="6" t="n">
        <f aca="false">'Source Data'!E931</f>
        <v>0</v>
      </c>
      <c r="E934" s="6" t="n">
        <f aca="false">IFERROR(N(C934)-N(D934),"")</f>
        <v>6</v>
      </c>
      <c r="F934" s="7" t="str">
        <f aca="false">IF(E934&gt;0,"Yes",IF(E934&lt;0,"No (Paternity higher)","Equal"))</f>
        <v>Yes</v>
      </c>
    </row>
    <row r="935" customFormat="false" ht="15" hidden="false" customHeight="false" outlineLevel="0" collapsed="false">
      <c r="A935" s="5" t="str">
        <f aca="false">'Source Data'!A932</f>
        <v>Blue Cross Blue Shield of Alabama</v>
      </c>
      <c r="B935" s="5" t="str">
        <f aca="false">'Source Data'!B932</f>
        <v>Insurance: Health</v>
      </c>
      <c r="C935" s="6" t="n">
        <f aca="false">'Source Data'!C932</f>
        <v>6</v>
      </c>
      <c r="D935" s="6" t="n">
        <f aca="false">'Source Data'!E932</f>
        <v>0</v>
      </c>
      <c r="E935" s="6" t="n">
        <f aca="false">IFERROR(N(C935)-N(D935),"")</f>
        <v>6</v>
      </c>
      <c r="F935" s="7" t="str">
        <f aca="false">IF(E935&gt;0,"Yes",IF(E935&lt;0,"No (Paternity higher)","Equal"))</f>
        <v>Yes</v>
      </c>
    </row>
    <row r="936" customFormat="false" ht="15" hidden="false" customHeight="false" outlineLevel="0" collapsed="false">
      <c r="A936" s="5" t="str">
        <f aca="false">'Source Data'!A933</f>
        <v>Cambia Health Solutions</v>
      </c>
      <c r="B936" s="5" t="str">
        <f aca="false">'Source Data'!B933</f>
        <v>Insurance: Health</v>
      </c>
      <c r="C936" s="6" t="n">
        <f aca="false">'Source Data'!C933</f>
        <v>12</v>
      </c>
      <c r="D936" s="6" t="n">
        <f aca="false">'Source Data'!E933</f>
        <v>0</v>
      </c>
      <c r="E936" s="6" t="n">
        <f aca="false">IFERROR(N(C936)-N(D936),"")</f>
        <v>12</v>
      </c>
      <c r="F936" s="7" t="str">
        <f aca="false">IF(E936&gt;0,"Yes",IF(E936&lt;0,"No (Paternity higher)","Equal"))</f>
        <v>Yes</v>
      </c>
    </row>
    <row r="937" customFormat="false" ht="15" hidden="false" customHeight="false" outlineLevel="0" collapsed="false">
      <c r="A937" s="5" t="str">
        <f aca="false">'Source Data'!A934</f>
        <v>CareFirst</v>
      </c>
      <c r="B937" s="5" t="str">
        <f aca="false">'Source Data'!B934</f>
        <v>Insurance: Health</v>
      </c>
      <c r="C937" s="6" t="n">
        <f aca="false">'Source Data'!C934</f>
        <v>6</v>
      </c>
      <c r="D937" s="6" t="n">
        <f aca="false">'Source Data'!E934</f>
        <v>0</v>
      </c>
      <c r="E937" s="6" t="n">
        <f aca="false">IFERROR(N(C937)-N(D937),"")</f>
        <v>6</v>
      </c>
      <c r="F937" s="7" t="str">
        <f aca="false">IF(E937&gt;0,"Yes",IF(E937&lt;0,"No (Paternity higher)","Equal"))</f>
        <v>Yes</v>
      </c>
    </row>
    <row r="938" customFormat="false" ht="15" hidden="false" customHeight="false" outlineLevel="0" collapsed="false">
      <c r="A938" s="5" t="str">
        <f aca="false">'Source Data'!A935</f>
        <v>CareSource</v>
      </c>
      <c r="B938" s="5" t="str">
        <f aca="false">'Source Data'!B935</f>
        <v>Insurance: Health</v>
      </c>
      <c r="C938" s="6" t="n">
        <f aca="false">'Source Data'!C935</f>
        <v>12</v>
      </c>
      <c r="D938" s="6" t="n">
        <f aca="false">'Source Data'!E935</f>
        <v>0</v>
      </c>
      <c r="E938" s="6" t="n">
        <f aca="false">IFERROR(N(C938)-N(D938),"")</f>
        <v>12</v>
      </c>
      <c r="F938" s="7" t="str">
        <f aca="false">IF(E938&gt;0,"Yes",IF(E938&lt;0,"No (Paternity higher)","Equal"))</f>
        <v>Yes</v>
      </c>
    </row>
    <row r="939" customFormat="false" ht="15" hidden="false" customHeight="false" outlineLevel="0" collapsed="false">
      <c r="A939" s="5" t="str">
        <f aca="false">'Source Data'!A936</f>
        <v>Centene Corporation</v>
      </c>
      <c r="B939" s="5" t="str">
        <f aca="false">'Source Data'!B936</f>
        <v>Insurance: Health</v>
      </c>
      <c r="C939" s="6" t="n">
        <f aca="false">'Source Data'!C936</f>
        <v>3</v>
      </c>
      <c r="D939" s="6" t="n">
        <f aca="false">'Source Data'!E936</f>
        <v>0</v>
      </c>
      <c r="E939" s="6" t="n">
        <f aca="false">IFERROR(N(C939)-N(D939),"")</f>
        <v>3</v>
      </c>
      <c r="F939" s="7" t="str">
        <f aca="false">IF(E939&gt;0,"Yes",IF(E939&lt;0,"No (Paternity higher)","Equal"))</f>
        <v>Yes</v>
      </c>
    </row>
    <row r="940" customFormat="false" ht="15" hidden="false" customHeight="false" outlineLevel="0" collapsed="false">
      <c r="A940" s="5" t="str">
        <f aca="false">'Source Data'!A937</f>
        <v>CIGNA Corporation</v>
      </c>
      <c r="B940" s="5" t="str">
        <f aca="false">'Source Data'!B937</f>
        <v>Insurance: Health</v>
      </c>
      <c r="C940" s="6" t="n">
        <f aca="false">'Source Data'!C937</f>
        <v>6</v>
      </c>
      <c r="D940" s="6" t="n">
        <f aca="false">'Source Data'!E937</f>
        <v>0</v>
      </c>
      <c r="E940" s="6" t="n">
        <f aca="false">IFERROR(N(C940)-N(D940),"")</f>
        <v>6</v>
      </c>
      <c r="F940" s="7" t="str">
        <f aca="false">IF(E940&gt;0,"Yes",IF(E940&lt;0,"No (Paternity higher)","Equal"))</f>
        <v>Yes</v>
      </c>
    </row>
    <row r="941" customFormat="false" ht="15" hidden="false" customHeight="false" outlineLevel="0" collapsed="false">
      <c r="A941" s="5" t="str">
        <f aca="false">'Source Data'!A938</f>
        <v>Clover Health</v>
      </c>
      <c r="B941" s="5" t="str">
        <f aca="false">'Source Data'!B938</f>
        <v>Insurance: Health</v>
      </c>
      <c r="C941" s="6" t="n">
        <f aca="false">'Source Data'!C938</f>
        <v>6</v>
      </c>
      <c r="D941" s="6" t="n">
        <f aca="false">'Source Data'!E938</f>
        <v>0</v>
      </c>
      <c r="E941" s="6" t="n">
        <f aca="false">IFERROR(N(C941)-N(D941),"")</f>
        <v>6</v>
      </c>
      <c r="F941" s="7" t="str">
        <f aca="false">IF(E941&gt;0,"Yes",IF(E941&lt;0,"No (Paternity higher)","Equal"))</f>
        <v>Yes</v>
      </c>
    </row>
    <row r="942" customFormat="false" ht="15" hidden="false" customHeight="false" outlineLevel="0" collapsed="false">
      <c r="A942" s="5" t="str">
        <f aca="false">'Source Data'!A939</f>
        <v>Delta Dental Ins</v>
      </c>
      <c r="B942" s="5" t="str">
        <f aca="false">'Source Data'!B939</f>
        <v>Insurance: Health</v>
      </c>
      <c r="C942" s="6" t="n">
        <f aca="false">'Source Data'!C939</f>
        <v>6</v>
      </c>
      <c r="D942" s="6" t="n">
        <f aca="false">'Source Data'!E939</f>
        <v>0</v>
      </c>
      <c r="E942" s="6" t="n">
        <f aca="false">IFERROR(N(C942)-N(D942),"")</f>
        <v>6</v>
      </c>
      <c r="F942" s="7" t="str">
        <f aca="false">IF(E942&gt;0,"Yes",IF(E942&lt;0,"No (Paternity higher)","Equal"))</f>
        <v>Yes</v>
      </c>
    </row>
    <row r="943" customFormat="false" ht="15" hidden="false" customHeight="false" outlineLevel="0" collapsed="false">
      <c r="A943" s="5" t="str">
        <f aca="false">'Source Data'!A940</f>
        <v>GoHealth</v>
      </c>
      <c r="B943" s="5" t="str">
        <f aca="false">'Source Data'!B940</f>
        <v>Insurance: Health</v>
      </c>
      <c r="C943" s="6" t="n">
        <f aca="false">'Source Data'!C940</f>
        <v>6</v>
      </c>
      <c r="D943" s="6" t="n">
        <f aca="false">'Source Data'!E940</f>
        <v>0</v>
      </c>
      <c r="E943" s="6" t="n">
        <f aca="false">IFERROR(N(C943)-N(D943),"")</f>
        <v>6</v>
      </c>
      <c r="F943" s="7" t="str">
        <f aca="false">IF(E943&gt;0,"Yes",IF(E943&lt;0,"No (Paternity higher)","Equal"))</f>
        <v>Yes</v>
      </c>
    </row>
    <row r="944" customFormat="false" ht="15" hidden="false" customHeight="false" outlineLevel="0" collapsed="false">
      <c r="A944" s="5" t="str">
        <f aca="false">'Source Data'!A941</f>
        <v>Independence Blue Cross</v>
      </c>
      <c r="B944" s="5" t="str">
        <f aca="false">'Source Data'!B941</f>
        <v>Insurance: Health</v>
      </c>
      <c r="C944" s="6" t="n">
        <f aca="false">'Source Data'!C941</f>
        <v>12</v>
      </c>
      <c r="D944" s="6" t="n">
        <f aca="false">'Source Data'!E941</f>
        <v>0</v>
      </c>
      <c r="E944" s="6" t="n">
        <f aca="false">IFERROR(N(C944)-N(D944),"")</f>
        <v>12</v>
      </c>
      <c r="F944" s="7" t="str">
        <f aca="false">IF(E944&gt;0,"Yes",IF(E944&lt;0,"No (Paternity higher)","Equal"))</f>
        <v>Yes</v>
      </c>
    </row>
    <row r="945" customFormat="false" ht="15" hidden="false" customHeight="false" outlineLevel="0" collapsed="false">
      <c r="A945" s="5" t="str">
        <f aca="false">'Source Data'!A942</f>
        <v>Oscar Health</v>
      </c>
      <c r="B945" s="5" t="str">
        <f aca="false">'Source Data'!B942</f>
        <v>Insurance: Health</v>
      </c>
      <c r="C945" s="6" t="n">
        <f aca="false">'Source Data'!C942</f>
        <v>16</v>
      </c>
      <c r="D945" s="6" t="n">
        <f aca="false">'Source Data'!E942</f>
        <v>0</v>
      </c>
      <c r="E945" s="6" t="n">
        <f aca="false">IFERROR(N(C945)-N(D945),"")</f>
        <v>16</v>
      </c>
      <c r="F945" s="7" t="str">
        <f aca="false">IF(E945&gt;0,"Yes",IF(E945&lt;0,"No (Paternity higher)","Equal"))</f>
        <v>Yes</v>
      </c>
    </row>
    <row r="946" customFormat="false" ht="15" hidden="false" customHeight="false" outlineLevel="0" collapsed="false">
      <c r="A946" s="5" t="str">
        <f aca="false">'Source Data'!A943</f>
        <v>Premera Blue Cross</v>
      </c>
      <c r="B946" s="5" t="str">
        <f aca="false">'Source Data'!B943</f>
        <v>Insurance: Health</v>
      </c>
      <c r="C946" s="6" t="n">
        <f aca="false">'Source Data'!C943</f>
        <v>12</v>
      </c>
      <c r="D946" s="6" t="n">
        <f aca="false">'Source Data'!E943</f>
        <v>0</v>
      </c>
      <c r="E946" s="6" t="n">
        <f aca="false">IFERROR(N(C946)-N(D946),"")</f>
        <v>12</v>
      </c>
      <c r="F946" s="7" t="str">
        <f aca="false">IF(E946&gt;0,"Yes",IF(E946&lt;0,"No (Paternity higher)","Equal"))</f>
        <v>Yes</v>
      </c>
    </row>
    <row r="947" customFormat="false" ht="15" hidden="false" customHeight="false" outlineLevel="0" collapsed="false">
      <c r="A947" s="5" t="str">
        <f aca="false">'Source Data'!A944</f>
        <v>UCare</v>
      </c>
      <c r="B947" s="5" t="str">
        <f aca="false">'Source Data'!B944</f>
        <v>Insurance: Health</v>
      </c>
      <c r="C947" s="6" t="n">
        <f aca="false">'Source Data'!C944</f>
        <v>12</v>
      </c>
      <c r="D947" s="6" t="n">
        <f aca="false">'Source Data'!E944</f>
        <v>0</v>
      </c>
      <c r="E947" s="6" t="n">
        <f aca="false">IFERROR(N(C947)-N(D947),"")</f>
        <v>12</v>
      </c>
      <c r="F947" s="7" t="str">
        <f aca="false">IF(E947&gt;0,"Yes",IF(E947&lt;0,"No (Paternity higher)","Equal"))</f>
        <v>Yes</v>
      </c>
    </row>
    <row r="948" customFormat="false" ht="15" hidden="false" customHeight="false" outlineLevel="0" collapsed="false">
      <c r="A948" s="5" t="str">
        <f aca="false">'Source Data'!A945</f>
        <v>UnitedHealthcare</v>
      </c>
      <c r="B948" s="5" t="str">
        <f aca="false">'Source Data'!B945</f>
        <v>Insurance: Health</v>
      </c>
      <c r="C948" s="6" t="n">
        <f aca="false">'Source Data'!C945</f>
        <v>4</v>
      </c>
      <c r="D948" s="6" t="n">
        <f aca="false">'Source Data'!E945</f>
        <v>0</v>
      </c>
      <c r="E948" s="6" t="n">
        <f aca="false">IFERROR(N(C948)-N(D948),"")</f>
        <v>4</v>
      </c>
      <c r="F948" s="7" t="str">
        <f aca="false">IF(E948&gt;0,"Yes",IF(E948&lt;0,"No (Paternity higher)","Equal"))</f>
        <v>Yes</v>
      </c>
    </row>
    <row r="949" customFormat="false" ht="15" hidden="false" customHeight="false" outlineLevel="0" collapsed="false">
      <c r="A949" s="5" t="str">
        <f aca="false">'Source Data'!A946</f>
        <v>WellCare Health Plans</v>
      </c>
      <c r="B949" s="5" t="str">
        <f aca="false">'Source Data'!B946</f>
        <v>Insurance: Health</v>
      </c>
      <c r="C949" s="6" t="n">
        <f aca="false">'Source Data'!C946</f>
        <v>6</v>
      </c>
      <c r="D949" s="6" t="n">
        <f aca="false">'Source Data'!E946</f>
        <v>0</v>
      </c>
      <c r="E949" s="6" t="n">
        <f aca="false">IFERROR(N(C949)-N(D949),"")</f>
        <v>6</v>
      </c>
      <c r="F949" s="7" t="str">
        <f aca="false">IF(E949&gt;0,"Yes",IF(E949&lt;0,"No (Paternity higher)","Equal"))</f>
        <v>Yes</v>
      </c>
    </row>
    <row r="950" customFormat="false" ht="15" hidden="false" customHeight="false" outlineLevel="0" collapsed="false">
      <c r="A950" s="5" t="str">
        <f aca="false">'Source Data'!A947</f>
        <v>American Income Life</v>
      </c>
      <c r="B950" s="5" t="str">
        <f aca="false">'Source Data'!B947</f>
        <v>Insurance: Life</v>
      </c>
      <c r="C950" s="6" t="n">
        <f aca="false">'Source Data'!C947</f>
        <v>52</v>
      </c>
      <c r="D950" s="6" t="n">
        <f aca="false">'Source Data'!E947</f>
        <v>0</v>
      </c>
      <c r="E950" s="6" t="n">
        <f aca="false">IFERROR(N(C950)-N(D950),"")</f>
        <v>52</v>
      </c>
      <c r="F950" s="7" t="str">
        <f aca="false">IF(E950&gt;0,"Yes",IF(E950&lt;0,"No (Paternity higher)","Equal"))</f>
        <v>Yes</v>
      </c>
    </row>
    <row r="951" customFormat="false" ht="15" hidden="false" customHeight="false" outlineLevel="0" collapsed="false">
      <c r="A951" s="5" t="str">
        <f aca="false">'Source Data'!A948</f>
        <v>Genworth Financial, Inc.</v>
      </c>
      <c r="B951" s="5" t="str">
        <f aca="false">'Source Data'!B948</f>
        <v>Insurance: Life</v>
      </c>
      <c r="C951" s="6" t="n">
        <f aca="false">'Source Data'!C948</f>
        <v>12</v>
      </c>
      <c r="D951" s="6" t="n">
        <f aca="false">'Source Data'!E948</f>
        <v>0</v>
      </c>
      <c r="E951" s="6" t="n">
        <f aca="false">IFERROR(N(C951)-N(D951),"")</f>
        <v>12</v>
      </c>
      <c r="F951" s="7" t="str">
        <f aca="false">IF(E951&gt;0,"Yes",IF(E951&lt;0,"No (Paternity higher)","Equal"))</f>
        <v>Yes</v>
      </c>
    </row>
    <row r="952" customFormat="false" ht="15" hidden="false" customHeight="false" outlineLevel="0" collapsed="false">
      <c r="A952" s="5" t="str">
        <f aca="false">'Source Data'!A949</f>
        <v>GuardianLife</v>
      </c>
      <c r="B952" s="5" t="str">
        <f aca="false">'Source Data'!B949</f>
        <v>Insurance: Life</v>
      </c>
      <c r="C952" s="6" t="n">
        <f aca="false">'Source Data'!C949</f>
        <v>7</v>
      </c>
      <c r="D952" s="6" t="n">
        <f aca="false">'Source Data'!E949</f>
        <v>0</v>
      </c>
      <c r="E952" s="6" t="n">
        <f aca="false">IFERROR(N(C952)-N(D952),"")</f>
        <v>7</v>
      </c>
      <c r="F952" s="7" t="str">
        <f aca="false">IF(E952&gt;0,"Yes",IF(E952&lt;0,"No (Paternity higher)","Equal"))</f>
        <v>Yes</v>
      </c>
    </row>
    <row r="953" customFormat="false" ht="15" hidden="false" customHeight="false" outlineLevel="0" collapsed="false">
      <c r="A953" s="5" t="str">
        <f aca="false">'Source Data'!A950</f>
        <v>MetLife</v>
      </c>
      <c r="B953" s="5" t="str">
        <f aca="false">'Source Data'!B950</f>
        <v>Insurance: Life</v>
      </c>
      <c r="C953" s="6" t="n">
        <f aca="false">'Source Data'!C950</f>
        <v>5</v>
      </c>
      <c r="D953" s="6" t="n">
        <f aca="false">'Source Data'!E950</f>
        <v>0</v>
      </c>
      <c r="E953" s="6" t="n">
        <f aca="false">IFERROR(N(C953)-N(D953),"")</f>
        <v>5</v>
      </c>
      <c r="F953" s="7" t="str">
        <f aca="false">IF(E953&gt;0,"Yes",IF(E953&lt;0,"No (Paternity higher)","Equal"))</f>
        <v>Yes</v>
      </c>
    </row>
    <row r="954" customFormat="false" ht="15" hidden="false" customHeight="false" outlineLevel="0" collapsed="false">
      <c r="A954" s="5" t="str">
        <f aca="false">'Source Data'!A951</f>
        <v>National Benefit Life Insurance</v>
      </c>
      <c r="B954" s="5" t="str">
        <f aca="false">'Source Data'!B951</f>
        <v>Insurance: Life</v>
      </c>
      <c r="C954" s="6" t="n">
        <f aca="false">'Source Data'!C951</f>
        <v>13</v>
      </c>
      <c r="D954" s="6" t="n">
        <f aca="false">'Source Data'!E951</f>
        <v>0</v>
      </c>
      <c r="E954" s="6" t="n">
        <f aca="false">IFERROR(N(C954)-N(D954),"")</f>
        <v>13</v>
      </c>
      <c r="F954" s="7" t="str">
        <f aca="false">IF(E954&gt;0,"Yes",IF(E954&lt;0,"No (Paternity higher)","Equal"))</f>
        <v>Yes</v>
      </c>
    </row>
    <row r="955" customFormat="false" ht="15" hidden="false" customHeight="false" outlineLevel="0" collapsed="false">
      <c r="A955" s="5" t="str">
        <f aca="false">'Source Data'!A952</f>
        <v>New York Life Insurance Company</v>
      </c>
      <c r="B955" s="5" t="str">
        <f aca="false">'Source Data'!B952</f>
        <v>Insurance: Life</v>
      </c>
      <c r="C955" s="6" t="n">
        <f aca="false">'Source Data'!C952</f>
        <v>12</v>
      </c>
      <c r="D955" s="6" t="n">
        <f aca="false">'Source Data'!E952</f>
        <v>0</v>
      </c>
      <c r="E955" s="6" t="n">
        <f aca="false">IFERROR(N(C955)-N(D955),"")</f>
        <v>12</v>
      </c>
      <c r="F955" s="7" t="str">
        <f aca="false">IF(E955&gt;0,"Yes",IF(E955&lt;0,"No (Paternity higher)","Equal"))</f>
        <v>Yes</v>
      </c>
    </row>
    <row r="956" customFormat="false" ht="15" hidden="false" customHeight="false" outlineLevel="0" collapsed="false">
      <c r="A956" s="5" t="str">
        <f aca="false">'Source Data'!A953</f>
        <v>Prudential Financial</v>
      </c>
      <c r="B956" s="5" t="str">
        <f aca="false">'Source Data'!B953</f>
        <v>Insurance: Life</v>
      </c>
      <c r="C956" s="6" t="n">
        <f aca="false">'Source Data'!C953</f>
        <v>10</v>
      </c>
      <c r="D956" s="6" t="n">
        <f aca="false">'Source Data'!E953</f>
        <v>0</v>
      </c>
      <c r="E956" s="6" t="n">
        <f aca="false">IFERROR(N(C956)-N(D956),"")</f>
        <v>10</v>
      </c>
      <c r="F956" s="7" t="str">
        <f aca="false">IF(E956&gt;0,"Yes",IF(E956&lt;0,"No (Paternity higher)","Equal"))</f>
        <v>Yes</v>
      </c>
    </row>
    <row r="957" customFormat="false" ht="15" hidden="false" customHeight="false" outlineLevel="0" collapsed="false">
      <c r="A957" s="5" t="str">
        <f aca="false">'Source Data'!A954</f>
        <v>Unum</v>
      </c>
      <c r="B957" s="5" t="str">
        <f aca="false">'Source Data'!B954</f>
        <v>Insurance: Life</v>
      </c>
      <c r="C957" s="6" t="n">
        <f aca="false">'Source Data'!C954</f>
        <v>6</v>
      </c>
      <c r="D957" s="6" t="n">
        <f aca="false">'Source Data'!E954</f>
        <v>0</v>
      </c>
      <c r="E957" s="6" t="n">
        <f aca="false">IFERROR(N(C957)-N(D957),"")</f>
        <v>6</v>
      </c>
      <c r="F957" s="7" t="str">
        <f aca="false">IF(E957&gt;0,"Yes",IF(E957&lt;0,"No (Paternity higher)","Equal"))</f>
        <v>Yes</v>
      </c>
    </row>
    <row r="958" customFormat="false" ht="15" hidden="false" customHeight="false" outlineLevel="0" collapsed="false">
      <c r="A958" s="5" t="str">
        <f aca="false">'Source Data'!A955</f>
        <v>Allstate Insurance Company</v>
      </c>
      <c r="B958" s="5" t="str">
        <f aca="false">'Source Data'!B955</f>
        <v>Insurance: Property &amp; Casualty</v>
      </c>
      <c r="C958" s="6" t="n">
        <f aca="false">'Source Data'!C955</f>
        <v>6</v>
      </c>
      <c r="D958" s="6" t="n">
        <f aca="false">'Source Data'!E955</f>
        <v>0</v>
      </c>
      <c r="E958" s="6" t="n">
        <f aca="false">IFERROR(N(C958)-N(D958),"")</f>
        <v>6</v>
      </c>
      <c r="F958" s="7" t="str">
        <f aca="false">IF(E958&gt;0,"Yes",IF(E958&lt;0,"No (Paternity higher)","Equal"))</f>
        <v>Yes</v>
      </c>
    </row>
    <row r="959" customFormat="false" ht="15" hidden="false" customHeight="false" outlineLevel="0" collapsed="false">
      <c r="A959" s="5" t="str">
        <f aca="false">'Source Data'!A956</f>
        <v>American Family Insurance</v>
      </c>
      <c r="B959" s="5" t="str">
        <f aca="false">'Source Data'!B956</f>
        <v>Insurance: Property &amp; Casualty</v>
      </c>
      <c r="C959" s="6" t="n">
        <f aca="false">'Source Data'!C956</f>
        <v>12</v>
      </c>
      <c r="D959" s="6" t="n">
        <f aca="false">'Source Data'!E956</f>
        <v>0</v>
      </c>
      <c r="E959" s="6" t="n">
        <f aca="false">IFERROR(N(C959)-N(D959),"")</f>
        <v>12</v>
      </c>
      <c r="F959" s="7" t="str">
        <f aca="false">IF(E959&gt;0,"Yes",IF(E959&lt;0,"No (Paternity higher)","Equal"))</f>
        <v>Yes</v>
      </c>
    </row>
    <row r="960" customFormat="false" ht="15" hidden="false" customHeight="false" outlineLevel="0" collapsed="false">
      <c r="A960" s="5" t="str">
        <f aca="false">'Source Data'!A957</f>
        <v>Assurant, Inc.</v>
      </c>
      <c r="B960" s="5" t="str">
        <f aca="false">'Source Data'!B957</f>
        <v>Insurance: Property &amp; Casualty</v>
      </c>
      <c r="C960" s="6" t="n">
        <f aca="false">'Source Data'!C957</f>
        <v>4</v>
      </c>
      <c r="D960" s="6" t="n">
        <f aca="false">'Source Data'!E957</f>
        <v>0</v>
      </c>
      <c r="E960" s="6" t="n">
        <f aca="false">IFERROR(N(C960)-N(D960),"")</f>
        <v>4</v>
      </c>
      <c r="F960" s="7" t="str">
        <f aca="false">IF(E960&gt;0,"Yes",IF(E960&lt;0,"No (Paternity higher)","Equal"))</f>
        <v>Yes</v>
      </c>
    </row>
    <row r="961" customFormat="false" ht="15" hidden="false" customHeight="false" outlineLevel="0" collapsed="false">
      <c r="A961" s="5" t="str">
        <f aca="false">'Source Data'!A958</f>
        <v>Farmers Insurance</v>
      </c>
      <c r="B961" s="5" t="str">
        <f aca="false">'Source Data'!B958</f>
        <v>Insurance: Property &amp; Casualty</v>
      </c>
      <c r="C961" s="6" t="n">
        <f aca="false">'Source Data'!C958</f>
        <v>12</v>
      </c>
      <c r="D961" s="6" t="n">
        <f aca="false">'Source Data'!E958</f>
        <v>0</v>
      </c>
      <c r="E961" s="6" t="n">
        <f aca="false">IFERROR(N(C961)-N(D961),"")</f>
        <v>12</v>
      </c>
      <c r="F961" s="7" t="str">
        <f aca="false">IF(E961&gt;0,"Yes",IF(E961&lt;0,"No (Paternity higher)","Equal"))</f>
        <v>Yes</v>
      </c>
    </row>
    <row r="962" customFormat="false" ht="15" hidden="false" customHeight="false" outlineLevel="0" collapsed="false">
      <c r="A962" s="5" t="str">
        <f aca="false">'Source Data'!A959</f>
        <v>FM Global</v>
      </c>
      <c r="B962" s="5" t="str">
        <f aca="false">'Source Data'!B959</f>
        <v>Insurance: Property &amp; Casualty</v>
      </c>
      <c r="C962" s="6" t="n">
        <f aca="false">'Source Data'!C959</f>
        <v>4</v>
      </c>
      <c r="D962" s="6" t="n">
        <f aca="false">'Source Data'!E959</f>
        <v>0</v>
      </c>
      <c r="E962" s="6" t="n">
        <f aca="false">IFERROR(N(C962)-N(D962),"")</f>
        <v>4</v>
      </c>
      <c r="F962" s="7" t="str">
        <f aca="false">IF(E962&gt;0,"Yes",IF(E962&lt;0,"No (Paternity higher)","Equal"))</f>
        <v>Yes</v>
      </c>
    </row>
    <row r="963" customFormat="false" ht="15" hidden="false" customHeight="false" outlineLevel="0" collapsed="false">
      <c r="A963" s="5" t="str">
        <f aca="false">'Source Data'!A960</f>
        <v>GEICO</v>
      </c>
      <c r="B963" s="5" t="str">
        <f aca="false">'Source Data'!B960</f>
        <v>Insurance: Property &amp; Casualty</v>
      </c>
      <c r="C963" s="6" t="n">
        <f aca="false">'Source Data'!C960</f>
        <v>10</v>
      </c>
      <c r="D963" s="6" t="n">
        <f aca="false">'Source Data'!E960</f>
        <v>0</v>
      </c>
      <c r="E963" s="6" t="n">
        <f aca="false">IFERROR(N(C963)-N(D963),"")</f>
        <v>10</v>
      </c>
      <c r="F963" s="7" t="str">
        <f aca="false">IF(E963&gt;0,"Yes",IF(E963&lt;0,"No (Paternity higher)","Equal"))</f>
        <v>Yes</v>
      </c>
    </row>
    <row r="964" customFormat="false" ht="15" hidden="false" customHeight="false" outlineLevel="0" collapsed="false">
      <c r="A964" s="5" t="str">
        <f aca="false">'Source Data'!A961</f>
        <v>IAT Insurance Group</v>
      </c>
      <c r="B964" s="5" t="str">
        <f aca="false">'Source Data'!B961</f>
        <v>Insurance: Property &amp; Casualty</v>
      </c>
      <c r="C964" s="6" t="n">
        <f aca="false">'Source Data'!C961</f>
        <v>2</v>
      </c>
      <c r="D964" s="6" t="n">
        <f aca="false">'Source Data'!E961</f>
        <v>0</v>
      </c>
      <c r="E964" s="6" t="n">
        <f aca="false">IFERROR(N(C964)-N(D964),"")</f>
        <v>2</v>
      </c>
      <c r="F964" s="7" t="str">
        <f aca="false">IF(E964&gt;0,"Yes",IF(E964&lt;0,"No (Paternity higher)","Equal"))</f>
        <v>Yes</v>
      </c>
    </row>
    <row r="965" customFormat="false" ht="15" hidden="false" customHeight="false" outlineLevel="0" collapsed="false">
      <c r="A965" s="5" t="str">
        <f aca="false">'Source Data'!A962</f>
        <v>Intact Financial Corporation</v>
      </c>
      <c r="B965" s="5" t="str">
        <f aca="false">'Source Data'!B962</f>
        <v>Insurance: Property &amp; Casualty</v>
      </c>
      <c r="C965" s="6" t="n">
        <f aca="false">'Source Data'!C962</f>
        <v>52</v>
      </c>
      <c r="D965" s="6" t="n">
        <f aca="false">'Source Data'!E962</f>
        <v>0</v>
      </c>
      <c r="E965" s="6" t="n">
        <f aca="false">IFERROR(N(C965)-N(D965),"")</f>
        <v>52</v>
      </c>
      <c r="F965" s="7" t="str">
        <f aca="false">IF(E965&gt;0,"Yes",IF(E965&lt;0,"No (Paternity higher)","Equal"))</f>
        <v>Yes</v>
      </c>
    </row>
    <row r="966" customFormat="false" ht="15" hidden="false" customHeight="false" outlineLevel="0" collapsed="false">
      <c r="A966" s="5" t="str">
        <f aca="false">'Source Data'!A963</f>
        <v>Liberty Mutual Insurance</v>
      </c>
      <c r="B966" s="5" t="str">
        <f aca="false">'Source Data'!B963</f>
        <v>Insurance: Property &amp; Casualty</v>
      </c>
      <c r="C966" s="6" t="n">
        <f aca="false">'Source Data'!C963</f>
        <v>16</v>
      </c>
      <c r="D966" s="6" t="n">
        <f aca="false">'Source Data'!E963</f>
        <v>0</v>
      </c>
      <c r="E966" s="6" t="n">
        <f aca="false">IFERROR(N(C966)-N(D966),"")</f>
        <v>16</v>
      </c>
      <c r="F966" s="7" t="str">
        <f aca="false">IF(E966&gt;0,"Yes",IF(E966&lt;0,"No (Paternity higher)","Equal"))</f>
        <v>Yes</v>
      </c>
    </row>
    <row r="967" customFormat="false" ht="15" hidden="false" customHeight="false" outlineLevel="0" collapsed="false">
      <c r="A967" s="5" t="str">
        <f aca="false">'Source Data'!A964</f>
        <v>Progressive Corporation</v>
      </c>
      <c r="B967" s="5" t="str">
        <f aca="false">'Source Data'!B964</f>
        <v>Insurance: Property &amp; Casualty</v>
      </c>
      <c r="C967" s="6" t="n">
        <f aca="false">'Source Data'!C964</f>
        <v>7.5</v>
      </c>
      <c r="D967" s="6" t="n">
        <f aca="false">'Source Data'!E964</f>
        <v>0</v>
      </c>
      <c r="E967" s="6" t="n">
        <f aca="false">IFERROR(N(C967)-N(D967),"")</f>
        <v>7.5</v>
      </c>
      <c r="F967" s="7" t="str">
        <f aca="false">IF(E967&gt;0,"Yes",IF(E967&lt;0,"No (Paternity higher)","Equal"))</f>
        <v>Yes</v>
      </c>
    </row>
    <row r="968" customFormat="false" ht="15" hidden="false" customHeight="false" outlineLevel="0" collapsed="false">
      <c r="A968" s="5" t="str">
        <f aca="false">'Source Data'!A965</f>
        <v>Selective Insurance</v>
      </c>
      <c r="B968" s="5" t="str">
        <f aca="false">'Source Data'!B965</f>
        <v>Insurance: Property &amp; Casualty</v>
      </c>
      <c r="C968" s="6" t="n">
        <f aca="false">'Source Data'!C965</f>
        <v>2</v>
      </c>
      <c r="D968" s="6" t="n">
        <f aca="false">'Source Data'!E965</f>
        <v>0</v>
      </c>
      <c r="E968" s="6" t="n">
        <f aca="false">IFERROR(N(C968)-N(D968),"")</f>
        <v>2</v>
      </c>
      <c r="F968" s="7" t="str">
        <f aca="false">IF(E968&gt;0,"Yes",IF(E968&lt;0,"No (Paternity higher)","Equal"))</f>
        <v>Yes</v>
      </c>
    </row>
    <row r="969" customFormat="false" ht="15" hidden="false" customHeight="false" outlineLevel="0" collapsed="false">
      <c r="A969" s="5" t="str">
        <f aca="false">'Source Data'!A966</f>
        <v>The Hartford</v>
      </c>
      <c r="B969" s="5" t="str">
        <f aca="false">'Source Data'!B966</f>
        <v>Insurance: Property &amp; Casualty</v>
      </c>
      <c r="C969" s="6" t="n">
        <f aca="false">'Source Data'!C966</f>
        <v>4.5</v>
      </c>
      <c r="D969" s="6" t="n">
        <f aca="false">'Source Data'!E966</f>
        <v>0</v>
      </c>
      <c r="E969" s="6" t="n">
        <f aca="false">IFERROR(N(C969)-N(D969),"")</f>
        <v>4.5</v>
      </c>
      <c r="F969" s="7" t="str">
        <f aca="false">IF(E969&gt;0,"Yes",IF(E969&lt;0,"No (Paternity higher)","Equal"))</f>
        <v>Yes</v>
      </c>
    </row>
    <row r="970" customFormat="false" ht="15" hidden="false" customHeight="false" outlineLevel="0" collapsed="false">
      <c r="A970" s="5" t="str">
        <f aca="false">'Source Data'!A967</f>
        <v>Travelers</v>
      </c>
      <c r="B970" s="5" t="str">
        <f aca="false">'Source Data'!B967</f>
        <v>Insurance: Property &amp; Casualty</v>
      </c>
      <c r="C970" s="6" t="n">
        <f aca="false">'Source Data'!C967</f>
        <v>2</v>
      </c>
      <c r="D970" s="6" t="n">
        <f aca="false">'Source Data'!E967</f>
        <v>0</v>
      </c>
      <c r="E970" s="6" t="n">
        <f aca="false">IFERROR(N(C970)-N(D970),"")</f>
        <v>2</v>
      </c>
      <c r="F970" s="7" t="str">
        <f aca="false">IF(E970&gt;0,"Yes",IF(E970&lt;0,"No (Paternity higher)","Equal"))</f>
        <v>Yes</v>
      </c>
    </row>
    <row r="971" customFormat="false" ht="15" hidden="false" customHeight="false" outlineLevel="0" collapsed="false">
      <c r="A971" s="5" t="str">
        <f aca="false">'Source Data'!A968</f>
        <v>Guy Carpenter</v>
      </c>
      <c r="B971" s="5" t="str">
        <f aca="false">'Source Data'!B968</f>
        <v>Insurance: Reinsurance</v>
      </c>
      <c r="C971" s="6" t="n">
        <f aca="false">'Source Data'!C968</f>
        <v>8</v>
      </c>
      <c r="D971" s="6" t="n">
        <f aca="false">'Source Data'!E968</f>
        <v>0</v>
      </c>
      <c r="E971" s="6" t="n">
        <f aca="false">IFERROR(N(C971)-N(D971),"")</f>
        <v>8</v>
      </c>
      <c r="F971" s="7" t="str">
        <f aca="false">IF(E971&gt;0,"Yes",IF(E971&lt;0,"No (Paternity higher)","Equal"))</f>
        <v>Yes</v>
      </c>
    </row>
    <row r="972" customFormat="false" ht="15" hidden="false" customHeight="false" outlineLevel="0" collapsed="false">
      <c r="A972" s="5" t="str">
        <f aca="false">'Source Data'!A969</f>
        <v>Burr &amp; Forman LLP</v>
      </c>
      <c r="B972" s="5" t="str">
        <f aca="false">'Source Data'!B969</f>
        <v>Law Firm</v>
      </c>
      <c r="C972" s="6" t="n">
        <f aca="false">'Source Data'!C969</f>
        <v>4</v>
      </c>
      <c r="D972" s="6" t="n">
        <f aca="false">'Source Data'!E969</f>
        <v>0</v>
      </c>
      <c r="E972" s="6" t="n">
        <f aca="false">IFERROR(N(C972)-N(D972),"")</f>
        <v>4</v>
      </c>
      <c r="F972" s="7" t="str">
        <f aca="false">IF(E972&gt;0,"Yes",IF(E972&lt;0,"No (Paternity higher)","Equal"))</f>
        <v>Yes</v>
      </c>
    </row>
    <row r="973" customFormat="false" ht="15" hidden="false" customHeight="false" outlineLevel="0" collapsed="false">
      <c r="A973" s="5" t="str">
        <f aca="false">'Source Data'!A970</f>
        <v>Cleary Gottlieb Steen &amp; Hamilton LLP</v>
      </c>
      <c r="B973" s="5" t="str">
        <f aca="false">'Source Data'!B970</f>
        <v>Law Firm</v>
      </c>
      <c r="C973" s="6" t="n">
        <f aca="false">'Source Data'!C970</f>
        <v>16</v>
      </c>
      <c r="D973" s="6" t="n">
        <f aca="false">'Source Data'!E970</f>
        <v>0</v>
      </c>
      <c r="E973" s="6" t="n">
        <f aca="false">IFERROR(N(C973)-N(D973),"")</f>
        <v>16</v>
      </c>
      <c r="F973" s="7" t="str">
        <f aca="false">IF(E973&gt;0,"Yes",IF(E973&lt;0,"No (Paternity higher)","Equal"))</f>
        <v>Yes</v>
      </c>
    </row>
    <row r="974" customFormat="false" ht="15" hidden="false" customHeight="false" outlineLevel="0" collapsed="false">
      <c r="A974" s="5" t="str">
        <f aca="false">'Source Data'!A971</f>
        <v>Cooley LLP</v>
      </c>
      <c r="B974" s="5" t="str">
        <f aca="false">'Source Data'!B971</f>
        <v>Law Firm</v>
      </c>
      <c r="C974" s="6" t="n">
        <f aca="false">'Source Data'!C971</f>
        <v>24</v>
      </c>
      <c r="D974" s="6" t="n">
        <f aca="false">'Source Data'!E971</f>
        <v>0</v>
      </c>
      <c r="E974" s="6" t="n">
        <f aca="false">IFERROR(N(C974)-N(D974),"")</f>
        <v>24</v>
      </c>
      <c r="F974" s="7" t="str">
        <f aca="false">IF(E974&gt;0,"Yes",IF(E974&lt;0,"No (Paternity higher)","Equal"))</f>
        <v>Yes</v>
      </c>
    </row>
    <row r="975" customFormat="false" ht="15" hidden="false" customHeight="false" outlineLevel="0" collapsed="false">
      <c r="A975" s="5" t="str">
        <f aca="false">'Source Data'!A972</f>
        <v>Correia &amp; Puth, PLLC</v>
      </c>
      <c r="B975" s="5" t="str">
        <f aca="false">'Source Data'!B972</f>
        <v>Law Firm</v>
      </c>
      <c r="C975" s="6" t="n">
        <f aca="false">'Source Data'!C972</f>
        <v>6</v>
      </c>
      <c r="D975" s="6" t="n">
        <f aca="false">'Source Data'!E972</f>
        <v>0</v>
      </c>
      <c r="E975" s="6" t="n">
        <f aca="false">IFERROR(N(C975)-N(D975),"")</f>
        <v>6</v>
      </c>
      <c r="F975" s="7" t="str">
        <f aca="false">IF(E975&gt;0,"Yes",IF(E975&lt;0,"No (Paternity higher)","Equal"))</f>
        <v>Yes</v>
      </c>
    </row>
    <row r="976" customFormat="false" ht="15" hidden="false" customHeight="false" outlineLevel="0" collapsed="false">
      <c r="A976" s="5" t="str">
        <f aca="false">'Source Data'!A973</f>
        <v>Covington &amp; Burling LLP</v>
      </c>
      <c r="B976" s="5" t="str">
        <f aca="false">'Source Data'!B973</f>
        <v>Law Firm</v>
      </c>
      <c r="C976" s="6" t="n">
        <f aca="false">'Source Data'!C973</f>
        <v>16</v>
      </c>
      <c r="D976" s="6" t="n">
        <f aca="false">'Source Data'!E973</f>
        <v>0</v>
      </c>
      <c r="E976" s="6" t="n">
        <f aca="false">IFERROR(N(C976)-N(D976),"")</f>
        <v>16</v>
      </c>
      <c r="F976" s="7" t="str">
        <f aca="false">IF(E976&gt;0,"Yes",IF(E976&lt;0,"No (Paternity higher)","Equal"))</f>
        <v>Yes</v>
      </c>
    </row>
    <row r="977" customFormat="false" ht="15" hidden="false" customHeight="false" outlineLevel="0" collapsed="false">
      <c r="A977" s="5" t="str">
        <f aca="false">'Source Data'!A974</f>
        <v>Crowell &amp; Moring</v>
      </c>
      <c r="B977" s="5" t="str">
        <f aca="false">'Source Data'!B974</f>
        <v>Law Firm</v>
      </c>
      <c r="C977" s="6" t="n">
        <f aca="false">'Source Data'!C974</f>
        <v>4</v>
      </c>
      <c r="D977" s="6" t="n">
        <f aca="false">'Source Data'!E974</f>
        <v>0</v>
      </c>
      <c r="E977" s="6" t="n">
        <f aca="false">IFERROR(N(C977)-N(D977),"")</f>
        <v>4</v>
      </c>
      <c r="F977" s="7" t="str">
        <f aca="false">IF(E977&gt;0,"Yes",IF(E977&lt;0,"No (Paternity higher)","Equal"))</f>
        <v>Yes</v>
      </c>
    </row>
    <row r="978" customFormat="false" ht="15" hidden="false" customHeight="false" outlineLevel="0" collapsed="false">
      <c r="A978" s="5" t="str">
        <f aca="false">'Source Data'!A975</f>
        <v>Davis &amp; Santos</v>
      </c>
      <c r="B978" s="5" t="str">
        <f aca="false">'Source Data'!B975</f>
        <v>Law Firm</v>
      </c>
      <c r="C978" s="6" t="n">
        <f aca="false">'Source Data'!C975</f>
        <v>3</v>
      </c>
      <c r="D978" s="6" t="n">
        <f aca="false">'Source Data'!E975</f>
        <v>0</v>
      </c>
      <c r="E978" s="6" t="n">
        <f aca="false">IFERROR(N(C978)-N(D978),"")</f>
        <v>3</v>
      </c>
      <c r="F978" s="7" t="str">
        <f aca="false">IF(E978&gt;0,"Yes",IF(E978&lt;0,"No (Paternity higher)","Equal"))</f>
        <v>Yes</v>
      </c>
    </row>
    <row r="979" customFormat="false" ht="15" hidden="false" customHeight="false" outlineLevel="0" collapsed="false">
      <c r="A979" s="5" t="str">
        <f aca="false">'Source Data'!A976</f>
        <v>Desmarais LLP</v>
      </c>
      <c r="B979" s="5" t="str">
        <f aca="false">'Source Data'!B976</f>
        <v>Law Firm</v>
      </c>
      <c r="C979" s="6" t="n">
        <f aca="false">'Source Data'!C976</f>
        <v>12</v>
      </c>
      <c r="D979" s="6" t="n">
        <f aca="false">'Source Data'!E976</f>
        <v>0</v>
      </c>
      <c r="E979" s="6" t="n">
        <f aca="false">IFERROR(N(C979)-N(D979),"")</f>
        <v>12</v>
      </c>
      <c r="F979" s="7" t="str">
        <f aca="false">IF(E979&gt;0,"Yes",IF(E979&lt;0,"No (Paternity higher)","Equal"))</f>
        <v>Yes</v>
      </c>
    </row>
    <row r="980" customFormat="false" ht="15" hidden="false" customHeight="false" outlineLevel="0" collapsed="false">
      <c r="A980" s="5" t="str">
        <f aca="false">'Source Data'!A977</f>
        <v>Entwistle &amp; Cappucci LLC</v>
      </c>
      <c r="B980" s="5" t="str">
        <f aca="false">'Source Data'!B977</f>
        <v>Law Firm</v>
      </c>
      <c r="C980" s="6" t="n">
        <f aca="false">'Source Data'!C977</f>
        <v>8</v>
      </c>
      <c r="D980" s="6" t="n">
        <f aca="false">'Source Data'!E977</f>
        <v>0</v>
      </c>
      <c r="E980" s="6" t="n">
        <f aca="false">IFERROR(N(C980)-N(D980),"")</f>
        <v>8</v>
      </c>
      <c r="F980" s="7" t="str">
        <f aca="false">IF(E980&gt;0,"Yes",IF(E980&lt;0,"No (Paternity higher)","Equal"))</f>
        <v>Yes</v>
      </c>
    </row>
    <row r="981" customFormat="false" ht="15" hidden="false" customHeight="false" outlineLevel="0" collapsed="false">
      <c r="A981" s="5" t="str">
        <f aca="false">'Source Data'!A978</f>
        <v>Fox Rothschild LLP</v>
      </c>
      <c r="B981" s="5" t="str">
        <f aca="false">'Source Data'!B978</f>
        <v>Law Firm</v>
      </c>
      <c r="C981" s="6" t="n">
        <f aca="false">'Source Data'!C978</f>
        <v>12</v>
      </c>
      <c r="D981" s="6" t="n">
        <f aca="false">'Source Data'!E978</f>
        <v>0</v>
      </c>
      <c r="E981" s="6" t="n">
        <f aca="false">IFERROR(N(C981)-N(D981),"")</f>
        <v>12</v>
      </c>
      <c r="F981" s="7" t="str">
        <f aca="false">IF(E981&gt;0,"Yes",IF(E981&lt;0,"No (Paternity higher)","Equal"))</f>
        <v>Yes</v>
      </c>
    </row>
    <row r="982" customFormat="false" ht="15" hidden="false" customHeight="false" outlineLevel="0" collapsed="false">
      <c r="A982" s="5" t="str">
        <f aca="false">'Source Data'!A979</f>
        <v>Fragomen</v>
      </c>
      <c r="B982" s="5" t="str">
        <f aca="false">'Source Data'!B979</f>
        <v>Law Firm</v>
      </c>
      <c r="C982" s="6" t="n">
        <f aca="false">'Source Data'!C979</f>
        <v>6</v>
      </c>
      <c r="D982" s="6" t="n">
        <f aca="false">'Source Data'!E979</f>
        <v>0</v>
      </c>
      <c r="E982" s="6" t="n">
        <f aca="false">IFERROR(N(C982)-N(D982),"")</f>
        <v>6</v>
      </c>
      <c r="F982" s="7" t="str">
        <f aca="false">IF(E982&gt;0,"Yes",IF(E982&lt;0,"No (Paternity higher)","Equal"))</f>
        <v>Yes</v>
      </c>
    </row>
    <row r="983" customFormat="false" ht="15" hidden="false" customHeight="false" outlineLevel="0" collapsed="false">
      <c r="A983" s="5" t="str">
        <f aca="false">'Source Data'!A980</f>
        <v>Hogan Lovells</v>
      </c>
      <c r="B983" s="5" t="str">
        <f aca="false">'Source Data'!B980</f>
        <v>Law Firm</v>
      </c>
      <c r="C983" s="6" t="n">
        <f aca="false">'Source Data'!C980</f>
        <v>20</v>
      </c>
      <c r="D983" s="6" t="n">
        <f aca="false">'Source Data'!E980</f>
        <v>0</v>
      </c>
      <c r="E983" s="6" t="n">
        <f aca="false">IFERROR(N(C983)-N(D983),"")</f>
        <v>20</v>
      </c>
      <c r="F983" s="7" t="str">
        <f aca="false">IF(E983&gt;0,"Yes",IF(E983&lt;0,"No (Paternity higher)","Equal"))</f>
        <v>Yes</v>
      </c>
    </row>
    <row r="984" customFormat="false" ht="15" hidden="false" customHeight="false" outlineLevel="0" collapsed="false">
      <c r="A984" s="5" t="str">
        <f aca="false">'Source Data'!A981</f>
        <v>Hudson Cook</v>
      </c>
      <c r="B984" s="5" t="str">
        <f aca="false">'Source Data'!B981</f>
        <v>Law Firm</v>
      </c>
      <c r="C984" s="6" t="n">
        <f aca="false">'Source Data'!C981</f>
        <v>6</v>
      </c>
      <c r="D984" s="6" t="n">
        <f aca="false">'Source Data'!E981</f>
        <v>0</v>
      </c>
      <c r="E984" s="6" t="n">
        <f aca="false">IFERROR(N(C984)-N(D984),"")</f>
        <v>6</v>
      </c>
      <c r="F984" s="7" t="str">
        <f aca="false">IF(E984&gt;0,"Yes",IF(E984&lt;0,"No (Paternity higher)","Equal"))</f>
        <v>Yes</v>
      </c>
    </row>
    <row r="985" customFormat="false" ht="15" hidden="false" customHeight="false" outlineLevel="0" collapsed="false">
      <c r="A985" s="5" t="str">
        <f aca="false">'Source Data'!A982</f>
        <v>Kirkland &amp; Ellis LLP</v>
      </c>
      <c r="B985" s="5" t="str">
        <f aca="false">'Source Data'!B982</f>
        <v>Law Firm</v>
      </c>
      <c r="C985" s="6" t="n">
        <f aca="false">'Source Data'!C982</f>
        <v>18</v>
      </c>
      <c r="D985" s="6" t="n">
        <f aca="false">'Source Data'!E982</f>
        <v>0</v>
      </c>
      <c r="E985" s="6" t="n">
        <f aca="false">IFERROR(N(C985)-N(D985),"")</f>
        <v>18</v>
      </c>
      <c r="F985" s="7" t="str">
        <f aca="false">IF(E985&gt;0,"Yes",IF(E985&lt;0,"No (Paternity higher)","Equal"))</f>
        <v>Yes</v>
      </c>
    </row>
    <row r="986" customFormat="false" ht="15" hidden="false" customHeight="false" outlineLevel="0" collapsed="false">
      <c r="A986" s="5" t="str">
        <f aca="false">'Source Data'!A983</f>
        <v>Latham &amp; Watkins LLP</v>
      </c>
      <c r="B986" s="5" t="str">
        <f aca="false">'Source Data'!B983</f>
        <v>Law Firm</v>
      </c>
      <c r="C986" s="6" t="n">
        <f aca="false">'Source Data'!C983</f>
        <v>12</v>
      </c>
      <c r="D986" s="6" t="n">
        <f aca="false">'Source Data'!E983</f>
        <v>0</v>
      </c>
      <c r="E986" s="6" t="n">
        <f aca="false">IFERROR(N(C986)-N(D986),"")</f>
        <v>12</v>
      </c>
      <c r="F986" s="7" t="str">
        <f aca="false">IF(E986&gt;0,"Yes",IF(E986&lt;0,"No (Paternity higher)","Equal"))</f>
        <v>Yes</v>
      </c>
    </row>
    <row r="987" customFormat="false" ht="15" hidden="false" customHeight="false" outlineLevel="0" collapsed="false">
      <c r="A987" s="5" t="str">
        <f aca="false">'Source Data'!A984</f>
        <v>Lathrop GPM LLP</v>
      </c>
      <c r="B987" s="5" t="str">
        <f aca="false">'Source Data'!B984</f>
        <v>Law Firm</v>
      </c>
      <c r="C987" s="6" t="n">
        <f aca="false">'Source Data'!C984</f>
        <v>16</v>
      </c>
      <c r="D987" s="6" t="n">
        <f aca="false">'Source Data'!E984</f>
        <v>0</v>
      </c>
      <c r="E987" s="6" t="n">
        <f aca="false">IFERROR(N(C987)-N(D987),"")</f>
        <v>16</v>
      </c>
      <c r="F987" s="7" t="str">
        <f aca="false">IF(E987&gt;0,"Yes",IF(E987&lt;0,"No (Paternity higher)","Equal"))</f>
        <v>Yes</v>
      </c>
    </row>
    <row r="988" customFormat="false" ht="15" hidden="false" customHeight="false" outlineLevel="0" collapsed="false">
      <c r="A988" s="5" t="str">
        <f aca="false">'Source Data'!A985</f>
        <v>Linklaters LLP</v>
      </c>
      <c r="B988" s="5" t="str">
        <f aca="false">'Source Data'!B985</f>
        <v>Law Firm</v>
      </c>
      <c r="C988" s="6" t="n">
        <f aca="false">'Source Data'!C985</f>
        <v>18</v>
      </c>
      <c r="D988" s="6" t="n">
        <f aca="false">'Source Data'!E985</f>
        <v>0</v>
      </c>
      <c r="E988" s="6" t="n">
        <f aca="false">IFERROR(N(C988)-N(D988),"")</f>
        <v>18</v>
      </c>
      <c r="F988" s="7" t="str">
        <f aca="false">IF(E988&gt;0,"Yes",IF(E988&lt;0,"No (Paternity higher)","Equal"))</f>
        <v>Yes</v>
      </c>
    </row>
    <row r="989" customFormat="false" ht="15" hidden="false" customHeight="false" outlineLevel="0" collapsed="false">
      <c r="A989" s="5" t="str">
        <f aca="false">'Source Data'!A986</f>
        <v>Littler Mendelson P.C.</v>
      </c>
      <c r="B989" s="5" t="str">
        <f aca="false">'Source Data'!B986</f>
        <v>Law Firm</v>
      </c>
      <c r="C989" s="6" t="n">
        <f aca="false">'Source Data'!C986</f>
        <v>12</v>
      </c>
      <c r="D989" s="6" t="n">
        <f aca="false">'Source Data'!E986</f>
        <v>0</v>
      </c>
      <c r="E989" s="6" t="n">
        <f aca="false">IFERROR(N(C989)-N(D989),"")</f>
        <v>12</v>
      </c>
      <c r="F989" s="7" t="str">
        <f aca="false">IF(E989&gt;0,"Yes",IF(E989&lt;0,"No (Paternity higher)","Equal"))</f>
        <v>Yes</v>
      </c>
    </row>
    <row r="990" customFormat="false" ht="15" hidden="false" customHeight="false" outlineLevel="0" collapsed="false">
      <c r="A990" s="5" t="str">
        <f aca="false">'Source Data'!A987</f>
        <v>Manatt, Phelps &amp; Phillips, LLP</v>
      </c>
      <c r="B990" s="5" t="str">
        <f aca="false">'Source Data'!B987</f>
        <v>Law Firm</v>
      </c>
      <c r="C990" s="6" t="n">
        <f aca="false">'Source Data'!C987</f>
        <v>12</v>
      </c>
      <c r="D990" s="6" t="n">
        <f aca="false">'Source Data'!E987</f>
        <v>0</v>
      </c>
      <c r="E990" s="6" t="n">
        <f aca="false">IFERROR(N(C990)-N(D990),"")</f>
        <v>12</v>
      </c>
      <c r="F990" s="7" t="str">
        <f aca="false">IF(E990&gt;0,"Yes",IF(E990&lt;0,"No (Paternity higher)","Equal"))</f>
        <v>Yes</v>
      </c>
    </row>
    <row r="991" customFormat="false" ht="15" hidden="false" customHeight="false" outlineLevel="0" collapsed="false">
      <c r="A991" s="5" t="str">
        <f aca="false">'Source Data'!A988</f>
        <v>Mayer Brown</v>
      </c>
      <c r="B991" s="5" t="str">
        <f aca="false">'Source Data'!B988</f>
        <v>Law Firm</v>
      </c>
      <c r="C991" s="6" t="n">
        <f aca="false">'Source Data'!C988</f>
        <v>0</v>
      </c>
      <c r="D991" s="6" t="n">
        <f aca="false">'Source Data'!E988</f>
        <v>0</v>
      </c>
      <c r="E991" s="6" t="n">
        <f aca="false">IFERROR(N(C991)-N(D991),"")</f>
        <v>0</v>
      </c>
      <c r="F991" s="7" t="str">
        <f aca="false">IF(E991&gt;0,"Yes",IF(E991&lt;0,"No (Paternity higher)","Equal"))</f>
        <v>Equal</v>
      </c>
    </row>
    <row r="992" customFormat="false" ht="15" hidden="false" customHeight="false" outlineLevel="0" collapsed="false">
      <c r="A992" s="5" t="str">
        <f aca="false">'Source Data'!A989</f>
        <v>McLane Middleton PA</v>
      </c>
      <c r="B992" s="5" t="str">
        <f aca="false">'Source Data'!B989</f>
        <v>Law Firm</v>
      </c>
      <c r="C992" s="6" t="n">
        <f aca="false">'Source Data'!C989</f>
        <v>6</v>
      </c>
      <c r="D992" s="6" t="n">
        <f aca="false">'Source Data'!E989</f>
        <v>0</v>
      </c>
      <c r="E992" s="6" t="n">
        <f aca="false">IFERROR(N(C992)-N(D992),"")</f>
        <v>6</v>
      </c>
      <c r="F992" s="7" t="str">
        <f aca="false">IF(E992&gt;0,"Yes",IF(E992&lt;0,"No (Paternity higher)","Equal"))</f>
        <v>Yes</v>
      </c>
    </row>
    <row r="993" customFormat="false" ht="15" hidden="false" customHeight="false" outlineLevel="0" collapsed="false">
      <c r="A993" s="5" t="str">
        <f aca="false">'Source Data'!A990</f>
        <v>Mintz Levin Cohn Ferris Glovsky and Popeo PC</v>
      </c>
      <c r="B993" s="5" t="str">
        <f aca="false">'Source Data'!B990</f>
        <v>Law Firm</v>
      </c>
      <c r="C993" s="6" t="n">
        <f aca="false">'Source Data'!C990</f>
        <v>17</v>
      </c>
      <c r="D993" s="6" t="n">
        <f aca="false">'Source Data'!E990</f>
        <v>0</v>
      </c>
      <c r="E993" s="6" t="n">
        <f aca="false">IFERROR(N(C993)-N(D993),"")</f>
        <v>17</v>
      </c>
      <c r="F993" s="7" t="str">
        <f aca="false">IF(E993&gt;0,"Yes",IF(E993&lt;0,"No (Paternity higher)","Equal"))</f>
        <v>Yes</v>
      </c>
    </row>
    <row r="994" customFormat="false" ht="15" hidden="false" customHeight="false" outlineLevel="0" collapsed="false">
      <c r="A994" s="5" t="str">
        <f aca="false">'Source Data'!A991</f>
        <v>Schlam Stone &amp; Dolan</v>
      </c>
      <c r="B994" s="5" t="str">
        <f aca="false">'Source Data'!B991</f>
        <v>Law Firm</v>
      </c>
      <c r="C994" s="6" t="n">
        <f aca="false">'Source Data'!C991</f>
        <v>12</v>
      </c>
      <c r="D994" s="6" t="n">
        <f aca="false">'Source Data'!E991</f>
        <v>0</v>
      </c>
      <c r="E994" s="6" t="n">
        <f aca="false">IFERROR(N(C994)-N(D994),"")</f>
        <v>12</v>
      </c>
      <c r="F994" s="7" t="str">
        <f aca="false">IF(E994&gt;0,"Yes",IF(E994&lt;0,"No (Paternity higher)","Equal"))</f>
        <v>Yes</v>
      </c>
    </row>
    <row r="995" customFormat="false" ht="15" hidden="false" customHeight="false" outlineLevel="0" collapsed="false">
      <c r="A995" s="5" t="str">
        <f aca="false">'Source Data'!A992</f>
        <v>Simpson Thacher &amp; Bartlett LLP</v>
      </c>
      <c r="B995" s="5" t="str">
        <f aca="false">'Source Data'!B992</f>
        <v>Law Firm</v>
      </c>
      <c r="C995" s="6" t="n">
        <f aca="false">'Source Data'!C992</f>
        <v>16</v>
      </c>
      <c r="D995" s="6" t="n">
        <f aca="false">'Source Data'!E992</f>
        <v>0</v>
      </c>
      <c r="E995" s="6" t="n">
        <f aca="false">IFERROR(N(C995)-N(D995),"")</f>
        <v>16</v>
      </c>
      <c r="F995" s="7" t="str">
        <f aca="false">IF(E995&gt;0,"Yes",IF(E995&lt;0,"No (Paternity higher)","Equal"))</f>
        <v>Yes</v>
      </c>
    </row>
    <row r="996" customFormat="false" ht="15" hidden="false" customHeight="false" outlineLevel="0" collapsed="false">
      <c r="A996" s="5" t="str">
        <f aca="false">'Source Data'!A993</f>
        <v>Veritas Law</v>
      </c>
      <c r="B996" s="5" t="str">
        <f aca="false">'Source Data'!B993</f>
        <v>Law Firm</v>
      </c>
      <c r="C996" s="6" t="n">
        <f aca="false">'Source Data'!C993</f>
        <v>52</v>
      </c>
      <c r="D996" s="6" t="n">
        <f aca="false">'Source Data'!E993</f>
        <v>0</v>
      </c>
      <c r="E996" s="6" t="n">
        <f aca="false">IFERROR(N(C996)-N(D996),"")</f>
        <v>52</v>
      </c>
      <c r="F996" s="7" t="str">
        <f aca="false">IF(E996&gt;0,"Yes",IF(E996&lt;0,"No (Paternity higher)","Equal"))</f>
        <v>Yes</v>
      </c>
    </row>
    <row r="997" customFormat="false" ht="15" hidden="false" customHeight="false" outlineLevel="0" collapsed="false">
      <c r="A997" s="5" t="str">
        <f aca="false">'Source Data'!A994</f>
        <v>Wynyard Wood</v>
      </c>
      <c r="B997" s="5" t="str">
        <f aca="false">'Source Data'!B994</f>
        <v>Law Firm</v>
      </c>
      <c r="C997" s="6" t="n">
        <f aca="false">'Source Data'!C994</f>
        <v>26</v>
      </c>
      <c r="D997" s="6" t="n">
        <f aca="false">'Source Data'!E994</f>
        <v>0</v>
      </c>
      <c r="E997" s="6" t="n">
        <f aca="false">IFERROR(N(C997)-N(D997),"")</f>
        <v>26</v>
      </c>
      <c r="F997" s="7" t="str">
        <f aca="false">IF(E997&gt;0,"Yes",IF(E997&lt;0,"No (Paternity higher)","Equal"))</f>
        <v>Yes</v>
      </c>
    </row>
    <row r="998" customFormat="false" ht="15" hidden="false" customHeight="false" outlineLevel="0" collapsed="false">
      <c r="A998" s="5" t="str">
        <f aca="false">'Source Data'!A995</f>
        <v>HBR Consulting</v>
      </c>
      <c r="B998" s="5" t="str">
        <f aca="false">'Source Data'!B995</f>
        <v>Legal Services</v>
      </c>
      <c r="C998" s="6" t="n">
        <f aca="false">'Source Data'!C995</f>
        <v>4</v>
      </c>
      <c r="D998" s="6" t="n">
        <f aca="false">'Source Data'!E995</f>
        <v>0</v>
      </c>
      <c r="E998" s="6" t="n">
        <f aca="false">IFERROR(N(C998)-N(D998),"")</f>
        <v>4</v>
      </c>
      <c r="F998" s="7" t="str">
        <f aca="false">IF(E998&gt;0,"Yes",IF(E998&lt;0,"No (Paternity higher)","Equal"))</f>
        <v>Yes</v>
      </c>
    </row>
    <row r="999" customFormat="false" ht="15" hidden="false" customHeight="false" outlineLevel="0" collapsed="false">
      <c r="A999" s="5" t="str">
        <f aca="false">'Source Data'!A996</f>
        <v>Cruise Planners</v>
      </c>
      <c r="B999" s="5" t="str">
        <f aca="false">'Source Data'!B996</f>
        <v>Leisure, Travel &amp; Tourism</v>
      </c>
      <c r="C999" s="6" t="n">
        <f aca="false">'Source Data'!C996</f>
        <v>3</v>
      </c>
      <c r="D999" s="6" t="n">
        <f aca="false">'Source Data'!E996</f>
        <v>0</v>
      </c>
      <c r="E999" s="6" t="n">
        <f aca="false">IFERROR(N(C999)-N(D999),"")</f>
        <v>3</v>
      </c>
      <c r="F999" s="7" t="str">
        <f aca="false">IF(E999&gt;0,"Yes",IF(E999&lt;0,"No (Paternity higher)","Equal"))</f>
        <v>Yes</v>
      </c>
    </row>
    <row r="1000" customFormat="false" ht="15" hidden="false" customHeight="false" outlineLevel="0" collapsed="false">
      <c r="A1000" s="5" t="str">
        <f aca="false">'Source Data'!A997</f>
        <v>Royal Caribbean International</v>
      </c>
      <c r="B1000" s="5" t="str">
        <f aca="false">'Source Data'!B997</f>
        <v>Leisure, Travel &amp; Tourism</v>
      </c>
      <c r="C1000" s="6" t="n">
        <f aca="false">'Source Data'!C997</f>
        <v>4</v>
      </c>
      <c r="D1000" s="6" t="n">
        <f aca="false">'Source Data'!E997</f>
        <v>0</v>
      </c>
      <c r="E1000" s="6" t="n">
        <f aca="false">IFERROR(N(C1000)-N(D1000),"")</f>
        <v>4</v>
      </c>
      <c r="F1000" s="7" t="str">
        <f aca="false">IF(E1000&gt;0,"Yes",IF(E1000&lt;0,"No (Paternity higher)","Equal"))</f>
        <v>Yes</v>
      </c>
    </row>
    <row r="1001" customFormat="false" ht="15" hidden="false" customHeight="false" outlineLevel="0" collapsed="false">
      <c r="A1001" s="5" t="str">
        <f aca="false">'Source Data'!A998</f>
        <v>VRBO</v>
      </c>
      <c r="B1001" s="5" t="str">
        <f aca="false">'Source Data'!B998</f>
        <v>Leisure, Travel &amp; Tourism</v>
      </c>
      <c r="C1001" s="6" t="n">
        <f aca="false">'Source Data'!C998</f>
        <v>18</v>
      </c>
      <c r="D1001" s="6" t="n">
        <f aca="false">'Source Data'!E998</f>
        <v>0</v>
      </c>
      <c r="E1001" s="6" t="n">
        <f aca="false">IFERROR(N(C1001)-N(D1001),"")</f>
        <v>18</v>
      </c>
      <c r="F1001" s="7" t="str">
        <f aca="false">IF(E1001&gt;0,"Yes",IF(E1001&lt;0,"No (Paternity higher)","Equal"))</f>
        <v>Yes</v>
      </c>
    </row>
    <row r="1002" customFormat="false" ht="15" hidden="false" customHeight="false" outlineLevel="0" collapsed="false">
      <c r="A1002" s="5" t="str">
        <f aca="false">'Source Data'!A999</f>
        <v>BrightTALK</v>
      </c>
      <c r="B1002" s="5" t="str">
        <f aca="false">'Source Data'!B999</f>
        <v>Media</v>
      </c>
      <c r="C1002" s="6" t="n">
        <f aca="false">'Source Data'!C999</f>
        <v>12</v>
      </c>
      <c r="D1002" s="6" t="n">
        <f aca="false">'Source Data'!E999</f>
        <v>0</v>
      </c>
      <c r="E1002" s="6" t="n">
        <f aca="false">IFERROR(N(C1002)-N(D1002),"")</f>
        <v>12</v>
      </c>
      <c r="F1002" s="7" t="str">
        <f aca="false">IF(E1002&gt;0,"Yes",IF(E1002&lt;0,"No (Paternity higher)","Equal"))</f>
        <v>Yes</v>
      </c>
    </row>
    <row r="1003" customFormat="false" ht="15" hidden="false" customHeight="false" outlineLevel="0" collapsed="false">
      <c r="A1003" s="5" t="str">
        <f aca="false">'Source Data'!A1000</f>
        <v>Cond Nast</v>
      </c>
      <c r="B1003" s="5" t="str">
        <f aca="false">'Source Data'!B1000</f>
        <v>Media: Diversified</v>
      </c>
      <c r="C1003" s="6" t="n">
        <f aca="false">'Source Data'!C1000</f>
        <v>4</v>
      </c>
      <c r="D1003" s="6" t="n">
        <f aca="false">'Source Data'!E1000</f>
        <v>0</v>
      </c>
      <c r="E1003" s="6" t="n">
        <f aca="false">IFERROR(N(C1003)-N(D1003),"")</f>
        <v>4</v>
      </c>
      <c r="F1003" s="7" t="str">
        <f aca="false">IF(E1003&gt;0,"Yes",IF(E1003&lt;0,"No (Paternity higher)","Equal"))</f>
        <v>Yes</v>
      </c>
    </row>
    <row r="1004" customFormat="false" ht="15" hidden="false" customHeight="false" outlineLevel="0" collapsed="false">
      <c r="A1004" s="5" t="str">
        <f aca="false">'Source Data'!A1001</f>
        <v>Meredith</v>
      </c>
      <c r="B1004" s="5" t="str">
        <f aca="false">'Source Data'!B1001</f>
        <v>Media: Diversified</v>
      </c>
      <c r="C1004" s="6" t="n">
        <f aca="false">'Source Data'!C1001</f>
        <v>12</v>
      </c>
      <c r="D1004" s="6" t="n">
        <f aca="false">'Source Data'!E1001</f>
        <v>0</v>
      </c>
      <c r="E1004" s="6" t="n">
        <f aca="false">IFERROR(N(C1004)-N(D1004),"")</f>
        <v>12</v>
      </c>
      <c r="F1004" s="7" t="str">
        <f aca="false">IF(E1004&gt;0,"Yes",IF(E1004&lt;0,"No (Paternity higher)","Equal"))</f>
        <v>Yes</v>
      </c>
    </row>
    <row r="1005" customFormat="false" ht="15" hidden="false" customHeight="false" outlineLevel="0" collapsed="false">
      <c r="A1005" s="5" t="str">
        <f aca="false">'Source Data'!A1002</f>
        <v>NBCUniversal</v>
      </c>
      <c r="B1005" s="5" t="str">
        <f aca="false">'Source Data'!B1002</f>
        <v>Media: Diversified</v>
      </c>
      <c r="C1005" s="6" t="n">
        <f aca="false">'Source Data'!C1002</f>
        <v>16</v>
      </c>
      <c r="D1005" s="6" t="n">
        <f aca="false">'Source Data'!E1002</f>
        <v>0</v>
      </c>
      <c r="E1005" s="6" t="n">
        <f aca="false">IFERROR(N(C1005)-N(D1005),"")</f>
        <v>16</v>
      </c>
      <c r="F1005" s="7" t="str">
        <f aca="false">IF(E1005&gt;0,"Yes",IF(E1005&lt;0,"No (Paternity higher)","Equal"))</f>
        <v>Yes</v>
      </c>
    </row>
    <row r="1006" customFormat="false" ht="15" hidden="false" customHeight="false" outlineLevel="0" collapsed="false">
      <c r="A1006" s="5" t="str">
        <f aca="false">'Source Data'!A1003</f>
        <v>Quartz</v>
      </c>
      <c r="B1006" s="5" t="str">
        <f aca="false">'Source Data'!B1003</f>
        <v>Media: Diversified</v>
      </c>
      <c r="C1006" s="6" t="n">
        <f aca="false">'Source Data'!C1003</f>
        <v>2</v>
      </c>
      <c r="D1006" s="6" t="n">
        <f aca="false">'Source Data'!E1003</f>
        <v>0</v>
      </c>
      <c r="E1006" s="6" t="n">
        <f aca="false">IFERROR(N(C1006)-N(D1006),"")</f>
        <v>2</v>
      </c>
      <c r="F1006" s="7" t="str">
        <f aca="false">IF(E1006&gt;0,"Yes",IF(E1006&lt;0,"No (Paternity higher)","Equal"))</f>
        <v>Yes</v>
      </c>
    </row>
    <row r="1007" customFormat="false" ht="15" hidden="false" customHeight="false" outlineLevel="0" collapsed="false">
      <c r="A1007" s="5" t="str">
        <f aca="false">'Source Data'!A1004</f>
        <v>Sky PLC</v>
      </c>
      <c r="B1007" s="5" t="str">
        <f aca="false">'Source Data'!B1004</f>
        <v>Media: Diversified</v>
      </c>
      <c r="C1007" s="6" t="n">
        <f aca="false">'Source Data'!C1004</f>
        <v>26</v>
      </c>
      <c r="D1007" s="6" t="n">
        <f aca="false">'Source Data'!E1004</f>
        <v>6</v>
      </c>
      <c r="E1007" s="6" t="n">
        <f aca="false">IFERROR(N(C1007)-N(D1007),"")</f>
        <v>20</v>
      </c>
      <c r="F1007" s="7" t="str">
        <f aca="false">IF(E1007&gt;0,"Yes",IF(E1007&lt;0,"No (Paternity higher)","Equal"))</f>
        <v>Yes</v>
      </c>
    </row>
    <row r="1008" customFormat="false" ht="15" hidden="false" customHeight="false" outlineLevel="0" collapsed="false">
      <c r="A1008" s="5" t="str">
        <f aca="false">'Source Data'!A1005</f>
        <v>Thomson Reuters</v>
      </c>
      <c r="B1008" s="5" t="str">
        <f aca="false">'Source Data'!B1005</f>
        <v>Media: Diversified</v>
      </c>
      <c r="C1008" s="6" t="n">
        <f aca="false">'Source Data'!C1005</f>
        <v>12</v>
      </c>
      <c r="D1008" s="6" t="n">
        <f aca="false">'Source Data'!E1005</f>
        <v>0</v>
      </c>
      <c r="E1008" s="6" t="n">
        <f aca="false">IFERROR(N(C1008)-N(D1008),"")</f>
        <v>12</v>
      </c>
      <c r="F1008" s="7" t="str">
        <f aca="false">IF(E1008&gt;0,"Yes",IF(E1008&lt;0,"No (Paternity higher)","Equal"))</f>
        <v>Yes</v>
      </c>
    </row>
    <row r="1009" customFormat="false" ht="15" hidden="false" customHeight="false" outlineLevel="0" collapsed="false">
      <c r="A1009" s="5" t="str">
        <f aca="false">'Source Data'!A1006</f>
        <v>Townsquare Media</v>
      </c>
      <c r="B1009" s="5" t="str">
        <f aca="false">'Source Data'!B1006</f>
        <v>Media: Diversified</v>
      </c>
      <c r="C1009" s="6" t="n">
        <f aca="false">'Source Data'!C1006</f>
        <v>12</v>
      </c>
      <c r="D1009" s="6" t="n">
        <f aca="false">'Source Data'!E1006</f>
        <v>0</v>
      </c>
      <c r="E1009" s="6" t="n">
        <f aca="false">IFERROR(N(C1009)-N(D1009),"")</f>
        <v>12</v>
      </c>
      <c r="F1009" s="7" t="str">
        <f aca="false">IF(E1009&gt;0,"Yes",IF(E1009&lt;0,"No (Paternity higher)","Equal"))</f>
        <v>Yes</v>
      </c>
    </row>
    <row r="1010" customFormat="false" ht="15" hidden="false" customHeight="false" outlineLevel="0" collapsed="false">
      <c r="A1010" s="5" t="str">
        <f aca="false">'Source Data'!A1007</f>
        <v>Viacom Inc.</v>
      </c>
      <c r="B1010" s="5" t="str">
        <f aca="false">'Source Data'!B1007</f>
        <v>Media: Diversified</v>
      </c>
      <c r="C1010" s="6" t="n">
        <f aca="false">'Source Data'!C1007</f>
        <v>10</v>
      </c>
      <c r="D1010" s="6" t="n">
        <f aca="false">'Source Data'!E1007</f>
        <v>0</v>
      </c>
      <c r="E1010" s="6" t="n">
        <f aca="false">IFERROR(N(C1010)-N(D1010),"")</f>
        <v>10</v>
      </c>
      <c r="F1010" s="7" t="str">
        <f aca="false">IF(E1010&gt;0,"Yes",IF(E1010&lt;0,"No (Paternity higher)","Equal"))</f>
        <v>Yes</v>
      </c>
    </row>
    <row r="1011" customFormat="false" ht="15" hidden="false" customHeight="false" outlineLevel="0" collapsed="false">
      <c r="A1011" s="5" t="str">
        <f aca="false">'Source Data'!A1008</f>
        <v>ViacomCBS</v>
      </c>
      <c r="B1011" s="5" t="str">
        <f aca="false">'Source Data'!B1008</f>
        <v>Media: Diversified</v>
      </c>
      <c r="C1011" s="6" t="n">
        <f aca="false">'Source Data'!C1008</f>
        <v>4</v>
      </c>
      <c r="D1011" s="6" t="n">
        <f aca="false">'Source Data'!E1008</f>
        <v>0</v>
      </c>
      <c r="E1011" s="6" t="n">
        <f aca="false">IFERROR(N(C1011)-N(D1011),"")</f>
        <v>4</v>
      </c>
      <c r="F1011" s="7" t="str">
        <f aca="false">IF(E1011&gt;0,"Yes",IF(E1011&lt;0,"No (Paternity higher)","Equal"))</f>
        <v>Yes</v>
      </c>
    </row>
    <row r="1012" customFormat="false" ht="15" hidden="false" customHeight="false" outlineLevel="0" collapsed="false">
      <c r="A1012" s="5" t="str">
        <f aca="false">'Source Data'!A1009</f>
        <v>WGBH</v>
      </c>
      <c r="B1012" s="5" t="str">
        <f aca="false">'Source Data'!B1009</f>
        <v>Media: Diversified</v>
      </c>
      <c r="C1012" s="6" t="n">
        <f aca="false">'Source Data'!C1009</f>
        <v>4</v>
      </c>
      <c r="D1012" s="6" t="n">
        <f aca="false">'Source Data'!E1009</f>
        <v>0</v>
      </c>
      <c r="E1012" s="6" t="n">
        <f aca="false">IFERROR(N(C1012)-N(D1012),"")</f>
        <v>4</v>
      </c>
      <c r="F1012" s="7" t="str">
        <f aca="false">IF(E1012&gt;0,"Yes",IF(E1012&lt;0,"No (Paternity higher)","Equal"))</f>
        <v>Yes</v>
      </c>
    </row>
    <row r="1013" customFormat="false" ht="15" hidden="false" customHeight="false" outlineLevel="0" collapsed="false">
      <c r="A1013" s="5" t="str">
        <f aca="false">'Source Data'!A1010</f>
        <v>Cinemark</v>
      </c>
      <c r="B1013" s="5" t="str">
        <f aca="false">'Source Data'!B1010</f>
        <v>Media: Entertainment</v>
      </c>
      <c r="C1013" s="6" t="n">
        <f aca="false">'Source Data'!C1010</f>
        <v>1</v>
      </c>
      <c r="D1013" s="6" t="n">
        <f aca="false">'Source Data'!E1010</f>
        <v>0</v>
      </c>
      <c r="E1013" s="6" t="n">
        <f aca="false">IFERROR(N(C1013)-N(D1013),"")</f>
        <v>1</v>
      </c>
      <c r="F1013" s="7" t="str">
        <f aca="false">IF(E1013&gt;0,"Yes",IF(E1013&lt;0,"No (Paternity higher)","Equal"))</f>
        <v>Yes</v>
      </c>
    </row>
    <row r="1014" customFormat="false" ht="15" hidden="false" customHeight="false" outlineLevel="0" collapsed="false">
      <c r="A1014" s="5" t="str">
        <f aca="false">'Source Data'!A1011</f>
        <v>Lionsgate</v>
      </c>
      <c r="B1014" s="5" t="str">
        <f aca="false">'Source Data'!B1011</f>
        <v>Media: Entertainment</v>
      </c>
      <c r="C1014" s="6" t="n">
        <f aca="false">'Source Data'!C1011</f>
        <v>20</v>
      </c>
      <c r="D1014" s="6" t="n">
        <f aca="false">'Source Data'!E1011</f>
        <v>0</v>
      </c>
      <c r="E1014" s="6" t="n">
        <f aca="false">IFERROR(N(C1014)-N(D1014),"")</f>
        <v>20</v>
      </c>
      <c r="F1014" s="7" t="str">
        <f aca="false">IF(E1014&gt;0,"Yes",IF(E1014&lt;0,"No (Paternity higher)","Equal"))</f>
        <v>Yes</v>
      </c>
    </row>
    <row r="1015" customFormat="false" ht="15" hidden="false" customHeight="false" outlineLevel="0" collapsed="false">
      <c r="A1015" s="5" t="str">
        <f aca="false">'Source Data'!A1012</f>
        <v>Madison Square Garden</v>
      </c>
      <c r="B1015" s="5" t="str">
        <f aca="false">'Source Data'!B1012</f>
        <v>Media: Entertainment</v>
      </c>
      <c r="C1015" s="6" t="n">
        <f aca="false">'Source Data'!C1012</f>
        <v>12</v>
      </c>
      <c r="D1015" s="6" t="n">
        <f aca="false">'Source Data'!E1012</f>
        <v>0</v>
      </c>
      <c r="E1015" s="6" t="n">
        <f aca="false">IFERROR(N(C1015)-N(D1015),"")</f>
        <v>12</v>
      </c>
      <c r="F1015" s="7" t="str">
        <f aca="false">IF(E1015&gt;0,"Yes",IF(E1015&lt;0,"No (Paternity higher)","Equal"))</f>
        <v>Yes</v>
      </c>
    </row>
    <row r="1016" customFormat="false" ht="15" hidden="false" customHeight="false" outlineLevel="0" collapsed="false">
      <c r="A1016" s="5" t="str">
        <f aca="false">'Source Data'!A1013</f>
        <v>Showtime</v>
      </c>
      <c r="B1016" s="5" t="str">
        <f aca="false">'Source Data'!B1013</f>
        <v>Media: Entertainment</v>
      </c>
      <c r="C1016" s="6" t="n">
        <f aca="false">'Source Data'!C1013</f>
        <v>12</v>
      </c>
      <c r="D1016" s="6" t="n">
        <f aca="false">'Source Data'!E1013</f>
        <v>0</v>
      </c>
      <c r="E1016" s="6" t="n">
        <f aca="false">IFERROR(N(C1016)-N(D1016),"")</f>
        <v>12</v>
      </c>
      <c r="F1016" s="7" t="str">
        <f aca="false">IF(E1016&gt;0,"Yes",IF(E1016&lt;0,"No (Paternity higher)","Equal"))</f>
        <v>Yes</v>
      </c>
    </row>
    <row r="1017" customFormat="false" ht="15" hidden="false" customHeight="false" outlineLevel="0" collapsed="false">
      <c r="A1017" s="5" t="str">
        <f aca="false">'Source Data'!A1014</f>
        <v>Spins</v>
      </c>
      <c r="B1017" s="5" t="str">
        <f aca="false">'Source Data'!B1014</f>
        <v>Media: Magazines</v>
      </c>
      <c r="C1017" s="6" t="n">
        <f aca="false">'Source Data'!C1014</f>
        <v>6</v>
      </c>
      <c r="D1017" s="6" t="n">
        <f aca="false">'Source Data'!E1014</f>
        <v>0</v>
      </c>
      <c r="E1017" s="6" t="n">
        <f aca="false">IFERROR(N(C1017)-N(D1017),"")</f>
        <v>6</v>
      </c>
      <c r="F1017" s="7" t="str">
        <f aca="false">IF(E1017&gt;0,"Yes",IF(E1017&lt;0,"No (Paternity higher)","Equal"))</f>
        <v>Yes</v>
      </c>
    </row>
    <row r="1018" customFormat="false" ht="15" hidden="false" customHeight="false" outlineLevel="0" collapsed="false">
      <c r="A1018" s="5" t="str">
        <f aca="false">'Source Data'!A1015</f>
        <v>The Atlantic</v>
      </c>
      <c r="B1018" s="5" t="str">
        <f aca="false">'Source Data'!B1015</f>
        <v>Media: Magazines</v>
      </c>
      <c r="C1018" s="6" t="n">
        <f aca="false">'Source Data'!C1015</f>
        <v>12</v>
      </c>
      <c r="D1018" s="6" t="n">
        <f aca="false">'Source Data'!E1015</f>
        <v>0</v>
      </c>
      <c r="E1018" s="6" t="n">
        <f aca="false">IFERROR(N(C1018)-N(D1018),"")</f>
        <v>12</v>
      </c>
      <c r="F1018" s="7" t="str">
        <f aca="false">IF(E1018&gt;0,"Yes",IF(E1018&lt;0,"No (Paternity higher)","Equal"))</f>
        <v>Yes</v>
      </c>
    </row>
    <row r="1019" customFormat="false" ht="15" hidden="false" customHeight="false" outlineLevel="0" collapsed="false">
      <c r="A1019" s="5" t="str">
        <f aca="false">'Source Data'!A1016</f>
        <v>Business Insider</v>
      </c>
      <c r="B1019" s="5" t="str">
        <f aca="false">'Source Data'!B1016</f>
        <v>Media: News</v>
      </c>
      <c r="C1019" s="6" t="n">
        <f aca="false">'Source Data'!C1016</f>
        <v>12</v>
      </c>
      <c r="D1019" s="6" t="n">
        <f aca="false">'Source Data'!E1016</f>
        <v>0</v>
      </c>
      <c r="E1019" s="6" t="n">
        <f aca="false">IFERROR(N(C1019)-N(D1019),"")</f>
        <v>12</v>
      </c>
      <c r="F1019" s="7" t="str">
        <f aca="false">IF(E1019&gt;0,"Yes",IF(E1019&lt;0,"No (Paternity higher)","Equal"))</f>
        <v>Yes</v>
      </c>
    </row>
    <row r="1020" customFormat="false" ht="15" hidden="false" customHeight="false" outlineLevel="0" collapsed="false">
      <c r="A1020" s="5" t="str">
        <f aca="false">'Source Data'!A1017</f>
        <v>Dow Jones</v>
      </c>
      <c r="B1020" s="5" t="str">
        <f aca="false">'Source Data'!B1017</f>
        <v>Media: News</v>
      </c>
      <c r="C1020" s="6" t="n">
        <f aca="false">'Source Data'!C1017</f>
        <v>20</v>
      </c>
      <c r="D1020" s="6" t="n">
        <f aca="false">'Source Data'!E1017</f>
        <v>0</v>
      </c>
      <c r="E1020" s="6" t="n">
        <f aca="false">IFERROR(N(C1020)-N(D1020),"")</f>
        <v>20</v>
      </c>
      <c r="F1020" s="7" t="str">
        <f aca="false">IF(E1020&gt;0,"Yes",IF(E1020&lt;0,"No (Paternity higher)","Equal"))</f>
        <v>Yes</v>
      </c>
    </row>
    <row r="1021" customFormat="false" ht="15" hidden="false" customHeight="false" outlineLevel="0" collapsed="false">
      <c r="A1021" s="5" t="str">
        <f aca="false">'Source Data'!A1018</f>
        <v>Forbes</v>
      </c>
      <c r="B1021" s="5" t="str">
        <f aca="false">'Source Data'!B1018</f>
        <v>Media: News</v>
      </c>
      <c r="C1021" s="6" t="n">
        <f aca="false">'Source Data'!C1018</f>
        <v>12</v>
      </c>
      <c r="D1021" s="6" t="n">
        <f aca="false">'Source Data'!E1018</f>
        <v>0</v>
      </c>
      <c r="E1021" s="6" t="n">
        <f aca="false">IFERROR(N(C1021)-N(D1021),"")</f>
        <v>12</v>
      </c>
      <c r="F1021" s="7" t="str">
        <f aca="false">IF(E1021&gt;0,"Yes",IF(E1021&lt;0,"No (Paternity higher)","Equal"))</f>
        <v>Yes</v>
      </c>
    </row>
    <row r="1022" customFormat="false" ht="15" hidden="false" customHeight="false" outlineLevel="0" collapsed="false">
      <c r="A1022" s="5" t="str">
        <f aca="false">'Source Data'!A1019</f>
        <v>Gannett</v>
      </c>
      <c r="B1022" s="5" t="str">
        <f aca="false">'Source Data'!B1019</f>
        <v>Media: News</v>
      </c>
      <c r="C1022" s="6" t="n">
        <f aca="false">'Source Data'!C1019</f>
        <v>2</v>
      </c>
      <c r="D1022" s="6" t="n">
        <f aca="false">'Source Data'!E1019</f>
        <v>0</v>
      </c>
      <c r="E1022" s="6" t="n">
        <f aca="false">IFERROR(N(C1022)-N(D1022),"")</f>
        <v>2</v>
      </c>
      <c r="F1022" s="7" t="str">
        <f aca="false">IF(E1022&gt;0,"Yes",IF(E1022&lt;0,"No (Paternity higher)","Equal"))</f>
        <v>Yes</v>
      </c>
    </row>
    <row r="1023" customFormat="false" ht="15" hidden="false" customHeight="false" outlineLevel="0" collapsed="false">
      <c r="A1023" s="5" t="str">
        <f aca="false">'Source Data'!A1020</f>
        <v>New York Times</v>
      </c>
      <c r="B1023" s="5" t="str">
        <f aca="false">'Source Data'!B1020</f>
        <v>Media: News</v>
      </c>
      <c r="C1023" s="6" t="n">
        <f aca="false">'Source Data'!C1020</f>
        <v>16</v>
      </c>
      <c r="D1023" s="6" t="n">
        <f aca="false">'Source Data'!E1020</f>
        <v>0</v>
      </c>
      <c r="E1023" s="6" t="n">
        <f aca="false">IFERROR(N(C1023)-N(D1023),"")</f>
        <v>16</v>
      </c>
      <c r="F1023" s="7" t="str">
        <f aca="false">IF(E1023&gt;0,"Yes",IF(E1023&lt;0,"No (Paternity higher)","Equal"))</f>
        <v>Yes</v>
      </c>
    </row>
    <row r="1024" customFormat="false" ht="15" hidden="false" customHeight="false" outlineLevel="0" collapsed="false">
      <c r="A1024" s="5" t="str">
        <f aca="false">'Source Data'!A1021</f>
        <v>The New York Times Company</v>
      </c>
      <c r="B1024" s="5" t="str">
        <f aca="false">'Source Data'!B1021</f>
        <v>Media: News</v>
      </c>
      <c r="C1024" s="6" t="n">
        <f aca="false">'Source Data'!C1021</f>
        <v>20</v>
      </c>
      <c r="D1024" s="6" t="n">
        <f aca="false">'Source Data'!E1021</f>
        <v>0</v>
      </c>
      <c r="E1024" s="6" t="n">
        <f aca="false">IFERROR(N(C1024)-N(D1024),"")</f>
        <v>20</v>
      </c>
      <c r="F1024" s="7" t="str">
        <f aca="false">IF(E1024&gt;0,"Yes",IF(E1024&lt;0,"No (Paternity higher)","Equal"))</f>
        <v>Yes</v>
      </c>
    </row>
    <row r="1025" customFormat="false" ht="15" hidden="false" customHeight="false" outlineLevel="0" collapsed="false">
      <c r="A1025" s="5" t="str">
        <f aca="false">'Source Data'!A1022</f>
        <v>Washington Post</v>
      </c>
      <c r="B1025" s="5" t="str">
        <f aca="false">'Source Data'!B1022</f>
        <v>Media: News</v>
      </c>
      <c r="C1025" s="6" t="n">
        <f aca="false">'Source Data'!C1022</f>
        <v>18</v>
      </c>
      <c r="D1025" s="6" t="n">
        <f aca="false">'Source Data'!E1022</f>
        <v>0</v>
      </c>
      <c r="E1025" s="6" t="n">
        <f aca="false">IFERROR(N(C1025)-N(D1025),"")</f>
        <v>18</v>
      </c>
      <c r="F1025" s="7" t="str">
        <f aca="false">IF(E1025&gt;0,"Yes",IF(E1025&lt;0,"No (Paternity higher)","Equal"))</f>
        <v>Yes</v>
      </c>
    </row>
    <row r="1026" customFormat="false" ht="15" hidden="false" customHeight="false" outlineLevel="0" collapsed="false">
      <c r="A1026" s="5" t="str">
        <f aca="false">'Source Data'!A1023</f>
        <v>Public Broadcasting Service</v>
      </c>
      <c r="B1026" s="5" t="str">
        <f aca="false">'Source Data'!B1023</f>
        <v>Media: Television</v>
      </c>
      <c r="C1026" s="6" t="n">
        <f aca="false">'Source Data'!C1023</f>
        <v>12</v>
      </c>
      <c r="D1026" s="6" t="n">
        <f aca="false">'Source Data'!E1023</f>
        <v>0</v>
      </c>
      <c r="E1026" s="6" t="n">
        <f aca="false">IFERROR(N(C1026)-N(D1026),"")</f>
        <v>12</v>
      </c>
      <c r="F1026" s="7" t="str">
        <f aca="false">IF(E1026&gt;0,"Yes",IF(E1026&lt;0,"No (Paternity higher)","Equal"))</f>
        <v>Yes</v>
      </c>
    </row>
    <row r="1027" customFormat="false" ht="15" hidden="false" customHeight="false" outlineLevel="0" collapsed="false">
      <c r="A1027" s="5" t="str">
        <f aca="false">'Source Data'!A1024</f>
        <v>Sinclair Broadcast Group</v>
      </c>
      <c r="B1027" s="5" t="str">
        <f aca="false">'Source Data'!B1024</f>
        <v>Media: Television</v>
      </c>
      <c r="C1027" s="6" t="n">
        <f aca="false">'Source Data'!C1024</f>
        <v>6</v>
      </c>
      <c r="D1027" s="6" t="n">
        <f aca="false">'Source Data'!E1024</f>
        <v>0</v>
      </c>
      <c r="E1027" s="6" t="n">
        <f aca="false">IFERROR(N(C1027)-N(D1027),"")</f>
        <v>6</v>
      </c>
      <c r="F1027" s="7" t="str">
        <f aca="false">IF(E1027&gt;0,"Yes",IF(E1027&lt;0,"No (Paternity higher)","Equal"))</f>
        <v>Yes</v>
      </c>
    </row>
    <row r="1028" customFormat="false" ht="15" hidden="false" customHeight="false" outlineLevel="0" collapsed="false">
      <c r="A1028" s="5" t="str">
        <f aca="false">'Source Data'!A1025</f>
        <v>ASML</v>
      </c>
      <c r="B1028" s="5" t="str">
        <f aca="false">'Source Data'!B1025</f>
        <v>Unknown</v>
      </c>
      <c r="C1028" s="6" t="n">
        <f aca="false">'Source Data'!C1025</f>
        <v>52</v>
      </c>
      <c r="D1028" s="6" t="n">
        <f aca="false">'Source Data'!E1025</f>
        <v>0</v>
      </c>
      <c r="E1028" s="6" t="n">
        <f aca="false">IFERROR(N(C1028)-N(D1028),"")</f>
        <v>52</v>
      </c>
      <c r="F1028" s="7" t="str">
        <f aca="false">IF(E1028&gt;0,"Yes",IF(E1028&lt;0,"No (Paternity higher)","Equal"))</f>
        <v>Yes</v>
      </c>
    </row>
    <row r="1029" customFormat="false" ht="15" hidden="false" customHeight="false" outlineLevel="0" collapsed="false">
      <c r="A1029" s="5" t="str">
        <f aca="false">'Source Data'!A1026</f>
        <v>INK Communications Co.</v>
      </c>
      <c r="B1029" s="5" t="str">
        <f aca="false">'Source Data'!B1026</f>
        <v>Unknown</v>
      </c>
      <c r="C1029" s="6" t="n">
        <f aca="false">'Source Data'!C1026</f>
        <v>10</v>
      </c>
      <c r="D1029" s="6" t="n">
        <f aca="false">'Source Data'!E1026</f>
        <v>0</v>
      </c>
      <c r="E1029" s="6" t="n">
        <f aca="false">IFERROR(N(C1029)-N(D1029),"")</f>
        <v>10</v>
      </c>
      <c r="F1029" s="7" t="str">
        <f aca="false">IF(E1029&gt;0,"Yes",IF(E1029&lt;0,"No (Paternity higher)","Equal"))</f>
        <v>Yes</v>
      </c>
    </row>
    <row r="1030" customFormat="false" ht="15" hidden="false" customHeight="false" outlineLevel="0" collapsed="false">
      <c r="A1030" s="5" t="str">
        <f aca="false">'Source Data'!A1027</f>
        <v>Rokt</v>
      </c>
      <c r="B1030" s="5" t="str">
        <f aca="false">'Source Data'!B1027</f>
        <v>Unknown</v>
      </c>
      <c r="C1030" s="6" t="n">
        <f aca="false">'Source Data'!C1027</f>
        <v>15</v>
      </c>
      <c r="D1030" s="6" t="n">
        <f aca="false">'Source Data'!E1027</f>
        <v>0</v>
      </c>
      <c r="E1030" s="6" t="n">
        <f aca="false">IFERROR(N(C1030)-N(D1030),"")</f>
        <v>15</v>
      </c>
      <c r="F1030" s="7" t="str">
        <f aca="false">IF(E1030&gt;0,"Yes",IF(E1030&lt;0,"No (Paternity higher)","Equal"))</f>
        <v>Yes</v>
      </c>
    </row>
    <row r="1031" customFormat="false" ht="15" hidden="false" customHeight="false" outlineLevel="0" collapsed="false">
      <c r="A1031" s="5" t="str">
        <f aca="false">'Source Data'!A1028</f>
        <v>Bunge North America</v>
      </c>
      <c r="B1031" s="5" t="str">
        <f aca="false">'Source Data'!B1028</f>
        <v>Natural Resources: Agriculture and Food Processing</v>
      </c>
      <c r="C1031" s="6" t="n">
        <f aca="false">'Source Data'!C1028</f>
        <v>0</v>
      </c>
      <c r="D1031" s="6" t="n">
        <f aca="false">'Source Data'!E1028</f>
        <v>0</v>
      </c>
      <c r="E1031" s="6" t="n">
        <f aca="false">IFERROR(N(C1031)-N(D1031),"")</f>
        <v>0</v>
      </c>
      <c r="F1031" s="7" t="str">
        <f aca="false">IF(E1031&gt;0,"Yes",IF(E1031&lt;0,"No (Paternity higher)","Equal"))</f>
        <v>Equal</v>
      </c>
    </row>
    <row r="1032" customFormat="false" ht="15" hidden="false" customHeight="false" outlineLevel="0" collapsed="false">
      <c r="A1032" s="5" t="str">
        <f aca="false">'Source Data'!A1029</f>
        <v>Pilgrim's Pride</v>
      </c>
      <c r="B1032" s="5" t="str">
        <f aca="false">'Source Data'!B1029</f>
        <v>Natural Resources: Agriculture and Food Processing</v>
      </c>
      <c r="C1032" s="6" t="n">
        <f aca="false">'Source Data'!C1029</f>
        <v>6</v>
      </c>
      <c r="D1032" s="6" t="n">
        <f aca="false">'Source Data'!E1029</f>
        <v>0</v>
      </c>
      <c r="E1032" s="6" t="n">
        <f aca="false">IFERROR(N(C1032)-N(D1032),"")</f>
        <v>6</v>
      </c>
      <c r="F1032" s="7" t="str">
        <f aca="false">IF(E1032&gt;0,"Yes",IF(E1032&lt;0,"No (Paternity higher)","Equal"))</f>
        <v>Yes</v>
      </c>
    </row>
    <row r="1033" customFormat="false" ht="15" hidden="false" customHeight="false" outlineLevel="0" collapsed="false">
      <c r="A1033" s="5" t="str">
        <f aca="false">'Source Data'!A1030</f>
        <v>Tate &amp; Lyle</v>
      </c>
      <c r="B1033" s="5" t="str">
        <f aca="false">'Source Data'!B1030</f>
        <v>Natural Resources: Agriculture and Food Processing</v>
      </c>
      <c r="C1033" s="6" t="n">
        <f aca="false">'Source Data'!C1030</f>
        <v>20.5</v>
      </c>
      <c r="D1033" s="6" t="n">
        <f aca="false">'Source Data'!E1030</f>
        <v>0</v>
      </c>
      <c r="E1033" s="6" t="n">
        <f aca="false">IFERROR(N(C1033)-N(D1033),"")</f>
        <v>20.5</v>
      </c>
      <c r="F1033" s="7" t="str">
        <f aca="false">IF(E1033&gt;0,"Yes",IF(E1033&lt;0,"No (Paternity higher)","Equal"))</f>
        <v>Yes</v>
      </c>
    </row>
    <row r="1034" customFormat="false" ht="15" hidden="false" customHeight="false" outlineLevel="0" collapsed="false">
      <c r="A1034" s="5" t="str">
        <f aca="false">'Source Data'!A1031</f>
        <v>CHS Inc.</v>
      </c>
      <c r="B1034" s="5" t="str">
        <f aca="false">'Source Data'!B1031</f>
        <v>Natural Resources: Agrochemical</v>
      </c>
      <c r="C1034" s="6" t="n">
        <f aca="false">'Source Data'!C1031</f>
        <v>0</v>
      </c>
      <c r="D1034" s="6" t="n">
        <f aca="false">'Source Data'!E1031</f>
        <v>0</v>
      </c>
      <c r="E1034" s="6" t="n">
        <f aca="false">IFERROR(N(C1034)-N(D1034),"")</f>
        <v>0</v>
      </c>
      <c r="F1034" s="7" t="str">
        <f aca="false">IF(E1034&gt;0,"Yes",IF(E1034&lt;0,"No (Paternity higher)","Equal"))</f>
        <v>Equal</v>
      </c>
    </row>
    <row r="1035" customFormat="false" ht="15" hidden="false" customHeight="false" outlineLevel="0" collapsed="false">
      <c r="A1035" s="5" t="str">
        <f aca="false">'Source Data'!A1032</f>
        <v>Air Products &amp; Chemicals, Inc.</v>
      </c>
      <c r="B1035" s="5" t="str">
        <f aca="false">'Source Data'!B1032</f>
        <v>Natural Resources: Chemicals</v>
      </c>
      <c r="C1035" s="6" t="n">
        <f aca="false">'Source Data'!C1032</f>
        <v>4</v>
      </c>
      <c r="D1035" s="6" t="n">
        <f aca="false">'Source Data'!E1032</f>
        <v>0</v>
      </c>
      <c r="E1035" s="6" t="n">
        <f aca="false">IFERROR(N(C1035)-N(D1035),"")</f>
        <v>4</v>
      </c>
      <c r="F1035" s="7" t="str">
        <f aca="false">IF(E1035&gt;0,"Yes",IF(E1035&lt;0,"No (Paternity higher)","Equal"))</f>
        <v>Yes</v>
      </c>
    </row>
    <row r="1036" customFormat="false" ht="15" hidden="false" customHeight="false" outlineLevel="0" collapsed="false">
      <c r="A1036" s="5" t="str">
        <f aca="false">'Source Data'!A1033</f>
        <v>AkzoNobel Global</v>
      </c>
      <c r="B1036" s="5" t="str">
        <f aca="false">'Source Data'!B1033</f>
        <v>Natural Resources: Chemicals</v>
      </c>
      <c r="C1036" s="6" t="n">
        <f aca="false">'Source Data'!C1033</f>
        <v>12</v>
      </c>
      <c r="D1036" s="6" t="n">
        <f aca="false">'Source Data'!E1033</f>
        <v>0</v>
      </c>
      <c r="E1036" s="6" t="n">
        <f aca="false">IFERROR(N(C1036)-N(D1036),"")</f>
        <v>12</v>
      </c>
      <c r="F1036" s="7" t="str">
        <f aca="false">IF(E1036&gt;0,"Yes",IF(E1036&lt;0,"No (Paternity higher)","Equal"))</f>
        <v>Yes</v>
      </c>
    </row>
    <row r="1037" customFormat="false" ht="15" hidden="false" customHeight="false" outlineLevel="0" collapsed="false">
      <c r="A1037" s="5" t="str">
        <f aca="false">'Source Data'!A1034</f>
        <v>Albemarle Corporation</v>
      </c>
      <c r="B1037" s="5" t="str">
        <f aca="false">'Source Data'!B1034</f>
        <v>Natural Resources: Chemicals</v>
      </c>
      <c r="C1037" s="6" t="n">
        <f aca="false">'Source Data'!C1034</f>
        <v>7</v>
      </c>
      <c r="D1037" s="6" t="n">
        <f aca="false">'Source Data'!E1034</f>
        <v>0</v>
      </c>
      <c r="E1037" s="6" t="n">
        <f aca="false">IFERROR(N(C1037)-N(D1037),"")</f>
        <v>7</v>
      </c>
      <c r="F1037" s="7" t="str">
        <f aca="false">IF(E1037&gt;0,"Yes",IF(E1037&lt;0,"No (Paternity higher)","Equal"))</f>
        <v>Yes</v>
      </c>
    </row>
    <row r="1038" customFormat="false" ht="15" hidden="false" customHeight="false" outlineLevel="0" collapsed="false">
      <c r="A1038" s="5" t="str">
        <f aca="false">'Source Data'!A1035</f>
        <v>Ashland, Inc.</v>
      </c>
      <c r="B1038" s="5" t="str">
        <f aca="false">'Source Data'!B1035</f>
        <v>Natural Resources: Chemicals</v>
      </c>
      <c r="C1038" s="6" t="n">
        <f aca="false">'Source Data'!C1035</f>
        <v>6</v>
      </c>
      <c r="D1038" s="6" t="n">
        <f aca="false">'Source Data'!E1035</f>
        <v>0</v>
      </c>
      <c r="E1038" s="6" t="n">
        <f aca="false">IFERROR(N(C1038)-N(D1038),"")</f>
        <v>6</v>
      </c>
      <c r="F1038" s="7" t="str">
        <f aca="false">IF(E1038&gt;0,"Yes",IF(E1038&lt;0,"No (Paternity higher)","Equal"))</f>
        <v>Yes</v>
      </c>
    </row>
    <row r="1039" customFormat="false" ht="15" hidden="false" customHeight="false" outlineLevel="0" collapsed="false">
      <c r="A1039" s="5" t="str">
        <f aca="false">'Source Data'!A1036</f>
        <v>DuPont</v>
      </c>
      <c r="B1039" s="5" t="str">
        <f aca="false">'Source Data'!B1036</f>
        <v>Natural Resources: Chemicals</v>
      </c>
      <c r="C1039" s="6" t="n">
        <f aca="false">'Source Data'!C1036</f>
        <v>16</v>
      </c>
      <c r="D1039" s="6" t="n">
        <f aca="false">'Source Data'!E1036</f>
        <v>0</v>
      </c>
      <c r="E1039" s="6" t="n">
        <f aca="false">IFERROR(N(C1039)-N(D1039),"")</f>
        <v>16</v>
      </c>
      <c r="F1039" s="7" t="str">
        <f aca="false">IF(E1039&gt;0,"Yes",IF(E1039&lt;0,"No (Paternity higher)","Equal"))</f>
        <v>Yes</v>
      </c>
    </row>
    <row r="1040" customFormat="false" ht="15" hidden="false" customHeight="false" outlineLevel="0" collapsed="false">
      <c r="A1040" s="5" t="str">
        <f aca="false">'Source Data'!A1037</f>
        <v>Eastman Chemical Company</v>
      </c>
      <c r="B1040" s="5" t="str">
        <f aca="false">'Source Data'!B1037</f>
        <v>Natural Resources: Chemicals</v>
      </c>
      <c r="C1040" s="6" t="n">
        <f aca="false">'Source Data'!C1037</f>
        <v>4</v>
      </c>
      <c r="D1040" s="6" t="n">
        <f aca="false">'Source Data'!E1037</f>
        <v>0</v>
      </c>
      <c r="E1040" s="6" t="n">
        <f aca="false">IFERROR(N(C1040)-N(D1040),"")</f>
        <v>4</v>
      </c>
      <c r="F1040" s="7" t="str">
        <f aca="false">IF(E1040&gt;0,"Yes",IF(E1040&lt;0,"No (Paternity higher)","Equal"))</f>
        <v>Yes</v>
      </c>
    </row>
    <row r="1041" customFormat="false" ht="15" hidden="false" customHeight="false" outlineLevel="0" collapsed="false">
      <c r="A1041" s="5" t="str">
        <f aca="false">'Source Data'!A1038</f>
        <v>LyondellBasell</v>
      </c>
      <c r="B1041" s="5" t="str">
        <f aca="false">'Source Data'!B1038</f>
        <v>Natural Resources: Chemicals</v>
      </c>
      <c r="C1041" s="6" t="n">
        <f aca="false">'Source Data'!C1038</f>
        <v>0</v>
      </c>
      <c r="D1041" s="6" t="n">
        <f aca="false">'Source Data'!E1038</f>
        <v>0</v>
      </c>
      <c r="E1041" s="6" t="n">
        <f aca="false">IFERROR(N(C1041)-N(D1041),"")</f>
        <v>0</v>
      </c>
      <c r="F1041" s="7" t="str">
        <f aca="false">IF(E1041&gt;0,"Yes",IF(E1041&lt;0,"No (Paternity higher)","Equal"))</f>
        <v>Equal</v>
      </c>
    </row>
    <row r="1042" customFormat="false" ht="15" hidden="false" customHeight="false" outlineLevel="0" collapsed="false">
      <c r="A1042" s="5" t="str">
        <f aca="false">'Source Data'!A1039</f>
        <v>Nalco, An Ecolab Company</v>
      </c>
      <c r="B1042" s="5" t="str">
        <f aca="false">'Source Data'!B1039</f>
        <v>Natural Resources: Chemicals</v>
      </c>
      <c r="C1042" s="6" t="n">
        <f aca="false">'Source Data'!C1039</f>
        <v>24</v>
      </c>
      <c r="D1042" s="6" t="n">
        <f aca="false">'Source Data'!E1039</f>
        <v>0</v>
      </c>
      <c r="E1042" s="6" t="n">
        <f aca="false">IFERROR(N(C1042)-N(D1042),"")</f>
        <v>24</v>
      </c>
      <c r="F1042" s="7" t="str">
        <f aca="false">IF(E1042&gt;0,"Yes",IF(E1042&lt;0,"No (Paternity higher)","Equal"))</f>
        <v>Yes</v>
      </c>
    </row>
    <row r="1043" customFormat="false" ht="15" hidden="false" customHeight="false" outlineLevel="0" collapsed="false">
      <c r="A1043" s="5" t="str">
        <f aca="false">'Source Data'!A1040</f>
        <v>Nutrien</v>
      </c>
      <c r="B1043" s="5" t="str">
        <f aca="false">'Source Data'!B1040</f>
        <v>Natural Resources: Chemicals</v>
      </c>
      <c r="C1043" s="6" t="n">
        <f aca="false">'Source Data'!C1040</f>
        <v>12</v>
      </c>
      <c r="D1043" s="6" t="n">
        <f aca="false">'Source Data'!E1040</f>
        <v>0</v>
      </c>
      <c r="E1043" s="6" t="n">
        <f aca="false">IFERROR(N(C1043)-N(D1043),"")</f>
        <v>12</v>
      </c>
      <c r="F1043" s="7" t="str">
        <f aca="false">IF(E1043&gt;0,"Yes",IF(E1043&lt;0,"No (Paternity higher)","Equal"))</f>
        <v>Yes</v>
      </c>
    </row>
    <row r="1044" customFormat="false" ht="15" hidden="false" customHeight="false" outlineLevel="0" collapsed="false">
      <c r="A1044" s="5" t="str">
        <f aca="false">'Source Data'!A1041</f>
        <v>Solvay S.A.</v>
      </c>
      <c r="B1044" s="5" t="str">
        <f aca="false">'Source Data'!B1041</f>
        <v>Natural Resources: Chemicals</v>
      </c>
      <c r="C1044" s="6" t="n">
        <f aca="false">'Source Data'!C1041</f>
        <v>16</v>
      </c>
      <c r="D1044" s="6" t="n">
        <f aca="false">'Source Data'!E1041</f>
        <v>0</v>
      </c>
      <c r="E1044" s="6" t="n">
        <f aca="false">IFERROR(N(C1044)-N(D1044),"")</f>
        <v>16</v>
      </c>
      <c r="F1044" s="7" t="str">
        <f aca="false">IF(E1044&gt;0,"Yes",IF(E1044&lt;0,"No (Paternity higher)","Equal"))</f>
        <v>Yes</v>
      </c>
    </row>
    <row r="1045" customFormat="false" ht="15" hidden="false" customHeight="false" outlineLevel="0" collapsed="false">
      <c r="A1045" s="5" t="str">
        <f aca="false">'Source Data'!A1042</f>
        <v>Syngenta Flowers</v>
      </c>
      <c r="B1045" s="5" t="str">
        <f aca="false">'Source Data'!B1042</f>
        <v>Natural Resources: Chemicals</v>
      </c>
      <c r="C1045" s="6" t="n">
        <f aca="false">'Source Data'!C1042</f>
        <v>6</v>
      </c>
      <c r="D1045" s="6" t="n">
        <f aca="false">'Source Data'!E1042</f>
        <v>0</v>
      </c>
      <c r="E1045" s="6" t="n">
        <f aca="false">IFERROR(N(C1045)-N(D1045),"")</f>
        <v>6</v>
      </c>
      <c r="F1045" s="7" t="str">
        <f aca="false">IF(E1045&gt;0,"Yes",IF(E1045&lt;0,"No (Paternity higher)","Equal"))</f>
        <v>Yes</v>
      </c>
    </row>
    <row r="1046" customFormat="false" ht="15" hidden="false" customHeight="false" outlineLevel="0" collapsed="false">
      <c r="A1046" s="5" t="str">
        <f aca="false">'Source Data'!A1043</f>
        <v>CLEAResult</v>
      </c>
      <c r="B1046" s="5" t="str">
        <f aca="false">'Source Data'!B1043</f>
        <v>Natural Resources: Diversified Energy</v>
      </c>
      <c r="C1046" s="6" t="n">
        <f aca="false">'Source Data'!C1043</f>
        <v>2</v>
      </c>
      <c r="D1046" s="6" t="n">
        <f aca="false">'Source Data'!E1043</f>
        <v>0</v>
      </c>
      <c r="E1046" s="6" t="n">
        <f aca="false">IFERROR(N(C1046)-N(D1046),"")</f>
        <v>2</v>
      </c>
      <c r="F1046" s="7" t="str">
        <f aca="false">IF(E1046&gt;0,"Yes",IF(E1046&lt;0,"No (Paternity higher)","Equal"))</f>
        <v>Yes</v>
      </c>
    </row>
    <row r="1047" customFormat="false" ht="15" hidden="false" customHeight="false" outlineLevel="0" collapsed="false">
      <c r="A1047" s="5" t="str">
        <f aca="false">'Source Data'!A1044</f>
        <v>Consolidated Edison Inc.</v>
      </c>
      <c r="B1047" s="5" t="str">
        <f aca="false">'Source Data'!B1044</f>
        <v>Natural Resources: Diversified Energy</v>
      </c>
      <c r="C1047" s="6" t="n">
        <f aca="false">'Source Data'!C1044</f>
        <v>10</v>
      </c>
      <c r="D1047" s="6" t="n">
        <f aca="false">'Source Data'!E1044</f>
        <v>0</v>
      </c>
      <c r="E1047" s="6" t="n">
        <f aca="false">IFERROR(N(C1047)-N(D1047),"")</f>
        <v>10</v>
      </c>
      <c r="F1047" s="7" t="str">
        <f aca="false">IF(E1047&gt;0,"Yes",IF(E1047&lt;0,"No (Paternity higher)","Equal"))</f>
        <v>Yes</v>
      </c>
    </row>
    <row r="1048" customFormat="false" ht="15" hidden="false" customHeight="false" outlineLevel="0" collapsed="false">
      <c r="A1048" s="5" t="str">
        <f aca="false">'Source Data'!A1045</f>
        <v>Entergy Corporation</v>
      </c>
      <c r="B1048" s="5" t="str">
        <f aca="false">'Source Data'!B1045</f>
        <v>Natural Resources: Diversified Energy</v>
      </c>
      <c r="C1048" s="6" t="n">
        <f aca="false">'Source Data'!C1045</f>
        <v>6</v>
      </c>
      <c r="D1048" s="6" t="n">
        <f aca="false">'Source Data'!E1045</f>
        <v>0</v>
      </c>
      <c r="E1048" s="6" t="n">
        <f aca="false">IFERROR(N(C1048)-N(D1048),"")</f>
        <v>6</v>
      </c>
      <c r="F1048" s="7" t="str">
        <f aca="false">IF(E1048&gt;0,"Yes",IF(E1048&lt;0,"No (Paternity higher)","Equal"))</f>
        <v>Yes</v>
      </c>
    </row>
    <row r="1049" customFormat="false" ht="15" hidden="false" customHeight="false" outlineLevel="0" collapsed="false">
      <c r="A1049" s="5" t="str">
        <f aca="false">'Source Data'!A1046</f>
        <v>NRG Energy, Inc.</v>
      </c>
      <c r="B1049" s="5" t="str">
        <f aca="false">'Source Data'!B1046</f>
        <v>Natural Resources: Diversified Energy</v>
      </c>
      <c r="C1049" s="6" t="n">
        <f aca="false">'Source Data'!C1046</f>
        <v>6</v>
      </c>
      <c r="D1049" s="6" t="n">
        <f aca="false">'Source Data'!E1046</f>
        <v>0</v>
      </c>
      <c r="E1049" s="6" t="n">
        <f aca="false">IFERROR(N(C1049)-N(D1049),"")</f>
        <v>6</v>
      </c>
      <c r="F1049" s="7" t="str">
        <f aca="false">IF(E1049&gt;0,"Yes",IF(E1049&lt;0,"No (Paternity higher)","Equal"))</f>
        <v>Yes</v>
      </c>
    </row>
    <row r="1050" customFormat="false" ht="15" hidden="false" customHeight="false" outlineLevel="0" collapsed="false">
      <c r="A1050" s="5" t="str">
        <f aca="false">'Source Data'!A1047</f>
        <v>Eversource</v>
      </c>
      <c r="B1050" s="5" t="str">
        <f aca="false">'Source Data'!B1047</f>
        <v>Natural Resources: Electric &amp; Gas Utility</v>
      </c>
      <c r="C1050" s="6" t="n">
        <f aca="false">'Source Data'!C1047</f>
        <v>8</v>
      </c>
      <c r="D1050" s="6" t="n">
        <f aca="false">'Source Data'!E1047</f>
        <v>0</v>
      </c>
      <c r="E1050" s="6" t="n">
        <f aca="false">IFERROR(N(C1050)-N(D1050),"")</f>
        <v>8</v>
      </c>
      <c r="F1050" s="7" t="str">
        <f aca="false">IF(E1050&gt;0,"Yes",IF(E1050&lt;0,"No (Paternity higher)","Equal"))</f>
        <v>Yes</v>
      </c>
    </row>
    <row r="1051" customFormat="false" ht="15" hidden="false" customHeight="false" outlineLevel="0" collapsed="false">
      <c r="A1051" s="5" t="str">
        <f aca="false">'Source Data'!A1048</f>
        <v>GE Power</v>
      </c>
      <c r="B1051" s="5" t="str">
        <f aca="false">'Source Data'!B1048</f>
        <v>Natural Resources: Electric &amp; Gas Utility</v>
      </c>
      <c r="C1051" s="6" t="n">
        <f aca="false">'Source Data'!C1048</f>
        <v>24</v>
      </c>
      <c r="D1051" s="6" t="n">
        <f aca="false">'Source Data'!E1048</f>
        <v>0</v>
      </c>
      <c r="E1051" s="6" t="n">
        <f aca="false">IFERROR(N(C1051)-N(D1051),"")</f>
        <v>24</v>
      </c>
      <c r="F1051" s="7" t="str">
        <f aca="false">IF(E1051&gt;0,"Yes",IF(E1051&lt;0,"No (Paternity higher)","Equal"))</f>
        <v>Yes</v>
      </c>
    </row>
    <row r="1052" customFormat="false" ht="15" hidden="false" customHeight="false" outlineLevel="0" collapsed="false">
      <c r="A1052" s="5" t="str">
        <f aca="false">'Source Data'!A1049</f>
        <v>National Grid plc</v>
      </c>
      <c r="B1052" s="5" t="str">
        <f aca="false">'Source Data'!B1049</f>
        <v>Natural Resources: Electric &amp; Gas Utility</v>
      </c>
      <c r="C1052" s="6" t="n">
        <f aca="false">'Source Data'!C1049</f>
        <v>26</v>
      </c>
      <c r="D1052" s="6" t="n">
        <f aca="false">'Source Data'!E1049</f>
        <v>0</v>
      </c>
      <c r="E1052" s="6" t="n">
        <f aca="false">IFERROR(N(C1052)-N(D1052),"")</f>
        <v>26</v>
      </c>
      <c r="F1052" s="7" t="str">
        <f aca="false">IF(E1052&gt;0,"Yes",IF(E1052&lt;0,"No (Paternity higher)","Equal"))</f>
        <v>Yes</v>
      </c>
    </row>
    <row r="1053" customFormat="false" ht="15" hidden="false" customHeight="false" outlineLevel="0" collapsed="false">
      <c r="A1053" s="5" t="str">
        <f aca="false">'Source Data'!A1050</f>
        <v>NiSource</v>
      </c>
      <c r="B1053" s="5" t="str">
        <f aca="false">'Source Data'!B1050</f>
        <v>Natural Resources: Electric &amp; Gas Utility</v>
      </c>
      <c r="C1053" s="6" t="n">
        <f aca="false">'Source Data'!C1050</f>
        <v>26</v>
      </c>
      <c r="D1053" s="6" t="n">
        <f aca="false">'Source Data'!E1050</f>
        <v>0</v>
      </c>
      <c r="E1053" s="6" t="n">
        <f aca="false">IFERROR(N(C1053)-N(D1053),"")</f>
        <v>26</v>
      </c>
      <c r="F1053" s="7" t="str">
        <f aca="false">IF(E1053&gt;0,"Yes",IF(E1053&lt;0,"No (Paternity higher)","Equal"))</f>
        <v>Yes</v>
      </c>
    </row>
    <row r="1054" customFormat="false" ht="15" hidden="false" customHeight="false" outlineLevel="0" collapsed="false">
      <c r="A1054" s="5" t="str">
        <f aca="false">'Source Data'!A1051</f>
        <v>Sempra Energy</v>
      </c>
      <c r="B1054" s="5" t="str">
        <f aca="false">'Source Data'!B1051</f>
        <v>Natural Resources: Electric &amp; Gas Utility</v>
      </c>
      <c r="C1054" s="6" t="n">
        <f aca="false">'Source Data'!C1051</f>
        <v>12</v>
      </c>
      <c r="D1054" s="6" t="n">
        <f aca="false">'Source Data'!E1051</f>
        <v>0</v>
      </c>
      <c r="E1054" s="6" t="n">
        <f aca="false">IFERROR(N(C1054)-N(D1054),"")</f>
        <v>12</v>
      </c>
      <c r="F1054" s="7" t="str">
        <f aca="false">IF(E1054&gt;0,"Yes",IF(E1054&lt;0,"No (Paternity higher)","Equal"))</f>
        <v>Yes</v>
      </c>
    </row>
    <row r="1055" customFormat="false" ht="15" hidden="false" customHeight="false" outlineLevel="0" collapsed="false">
      <c r="A1055" s="5" t="str">
        <f aca="false">'Source Data'!A1052</f>
        <v>Williams</v>
      </c>
      <c r="B1055" s="5" t="str">
        <f aca="false">'Source Data'!B1052</f>
        <v>Natural Resources: Electric &amp; Gas Utility</v>
      </c>
      <c r="C1055" s="6" t="n">
        <f aca="false">'Source Data'!C1052</f>
        <v>10.5</v>
      </c>
      <c r="D1055" s="6" t="n">
        <f aca="false">'Source Data'!E1052</f>
        <v>0</v>
      </c>
      <c r="E1055" s="6" t="n">
        <f aca="false">IFERROR(N(C1055)-N(D1055),"")</f>
        <v>10.5</v>
      </c>
      <c r="F1055" s="7" t="str">
        <f aca="false">IF(E1055&gt;0,"Yes",IF(E1055&lt;0,"No (Paternity higher)","Equal"))</f>
        <v>Yes</v>
      </c>
    </row>
    <row r="1056" customFormat="false" ht="15" hidden="false" customHeight="false" outlineLevel="0" collapsed="false">
      <c r="A1056" s="5" t="str">
        <f aca="false">'Source Data'!A1053</f>
        <v>American Electric Power Company, Inc.</v>
      </c>
      <c r="B1056" s="5" t="str">
        <f aca="false">'Source Data'!B1053</f>
        <v>Natural Resources: Electric Power Generation</v>
      </c>
      <c r="C1056" s="6" t="n">
        <f aca="false">'Source Data'!C1053</f>
        <v>8</v>
      </c>
      <c r="D1056" s="6" t="n">
        <f aca="false">'Source Data'!E1053</f>
        <v>2</v>
      </c>
      <c r="E1056" s="6" t="n">
        <f aca="false">IFERROR(N(C1056)-N(D1056),"")</f>
        <v>6</v>
      </c>
      <c r="F1056" s="7" t="str">
        <f aca="false">IF(E1056&gt;0,"Yes",IF(E1056&lt;0,"No (Paternity higher)","Equal"))</f>
        <v>Yes</v>
      </c>
    </row>
    <row r="1057" customFormat="false" ht="15" hidden="false" customHeight="false" outlineLevel="0" collapsed="false">
      <c r="A1057" s="5" t="str">
        <f aca="false">'Source Data'!A1054</f>
        <v>Duke Energy</v>
      </c>
      <c r="B1057" s="5" t="str">
        <f aca="false">'Source Data'!B1054</f>
        <v>Natural Resources: Electric Power Generation</v>
      </c>
      <c r="C1057" s="6" t="n">
        <f aca="false">'Source Data'!C1054</f>
        <v>13</v>
      </c>
      <c r="D1057" s="6" t="n">
        <f aca="false">'Source Data'!E1054</f>
        <v>0</v>
      </c>
      <c r="E1057" s="6" t="n">
        <f aca="false">IFERROR(N(C1057)-N(D1057),"")</f>
        <v>13</v>
      </c>
      <c r="F1057" s="7" t="str">
        <f aca="false">IF(E1057&gt;0,"Yes",IF(E1057&lt;0,"No (Paternity higher)","Equal"))</f>
        <v>Yes</v>
      </c>
    </row>
    <row r="1058" customFormat="false" ht="15" hidden="false" customHeight="false" outlineLevel="0" collapsed="false">
      <c r="A1058" s="5" t="str">
        <f aca="false">'Source Data'!A1055</f>
        <v>Exelon Corporation</v>
      </c>
      <c r="B1058" s="5" t="str">
        <f aca="false">'Source Data'!B1055</f>
        <v>Natural Resources: Electric Power Generation</v>
      </c>
      <c r="C1058" s="6" t="n">
        <f aca="false">'Source Data'!C1055</f>
        <v>16</v>
      </c>
      <c r="D1058" s="6" t="n">
        <f aca="false">'Source Data'!E1055</f>
        <v>0</v>
      </c>
      <c r="E1058" s="6" t="n">
        <f aca="false">IFERROR(N(C1058)-N(D1058),"")</f>
        <v>16</v>
      </c>
      <c r="F1058" s="7" t="str">
        <f aca="false">IF(E1058&gt;0,"Yes",IF(E1058&lt;0,"No (Paternity higher)","Equal"))</f>
        <v>Yes</v>
      </c>
    </row>
    <row r="1059" customFormat="false" ht="15" hidden="false" customHeight="false" outlineLevel="0" collapsed="false">
      <c r="A1059" s="5" t="str">
        <f aca="false">'Source Data'!A1056</f>
        <v>Pacific Gas and Electric Company</v>
      </c>
      <c r="B1059" s="5" t="str">
        <f aca="false">'Source Data'!B1056</f>
        <v>Natural Resources: Electric Power Generation</v>
      </c>
      <c r="C1059" s="6" t="n">
        <f aca="false">'Source Data'!C1056</f>
        <v>12</v>
      </c>
      <c r="D1059" s="6" t="n">
        <f aca="false">'Source Data'!E1056</f>
        <v>0</v>
      </c>
      <c r="E1059" s="6" t="n">
        <f aca="false">IFERROR(N(C1059)-N(D1059),"")</f>
        <v>12</v>
      </c>
      <c r="F1059" s="7" t="str">
        <f aca="false">IF(E1059&gt;0,"Yes",IF(E1059&lt;0,"No (Paternity higher)","Equal"))</f>
        <v>Yes</v>
      </c>
    </row>
    <row r="1060" customFormat="false" ht="15" hidden="false" customHeight="false" outlineLevel="0" collapsed="false">
      <c r="A1060" s="5" t="str">
        <f aca="false">'Source Data'!A1057</f>
        <v>Southern California Edison</v>
      </c>
      <c r="B1060" s="5" t="str">
        <f aca="false">'Source Data'!B1057</f>
        <v>Natural Resources: Electric Power Generation</v>
      </c>
      <c r="C1060" s="6" t="n">
        <f aca="false">'Source Data'!C1057</f>
        <v>8</v>
      </c>
      <c r="D1060" s="6" t="n">
        <f aca="false">'Source Data'!E1057</f>
        <v>0</v>
      </c>
      <c r="E1060" s="6" t="n">
        <f aca="false">IFERROR(N(C1060)-N(D1060),"")</f>
        <v>8</v>
      </c>
      <c r="F1060" s="7" t="str">
        <f aca="false">IF(E1060&gt;0,"Yes",IF(E1060&lt;0,"No (Paternity higher)","Equal"))</f>
        <v>Yes</v>
      </c>
    </row>
    <row r="1061" customFormat="false" ht="15" hidden="false" customHeight="false" outlineLevel="0" collapsed="false">
      <c r="A1061" s="5" t="str">
        <f aca="false">'Source Data'!A1058</f>
        <v>Freeport-McMoRan</v>
      </c>
      <c r="B1061" s="5" t="str">
        <f aca="false">'Source Data'!B1058</f>
        <v>Natural Resources: Metals &amp; Mining</v>
      </c>
      <c r="C1061" s="6" t="n">
        <f aca="false">'Source Data'!C1058</f>
        <v>26</v>
      </c>
      <c r="D1061" s="6" t="n">
        <f aca="false">'Source Data'!E1058</f>
        <v>0</v>
      </c>
      <c r="E1061" s="6" t="n">
        <f aca="false">IFERROR(N(C1061)-N(D1061),"")</f>
        <v>26</v>
      </c>
      <c r="F1061" s="7" t="str">
        <f aca="false">IF(E1061&gt;0,"Yes",IF(E1061&lt;0,"No (Paternity higher)","Equal"))</f>
        <v>Yes</v>
      </c>
    </row>
    <row r="1062" customFormat="false" ht="15" hidden="false" customHeight="false" outlineLevel="0" collapsed="false">
      <c r="A1062" s="5" t="str">
        <f aca="false">'Source Data'!A1059</f>
        <v>Novelis</v>
      </c>
      <c r="B1062" s="5" t="str">
        <f aca="false">'Source Data'!B1059</f>
        <v>Natural Resources: Metals &amp; Mining</v>
      </c>
      <c r="C1062" s="6" t="n">
        <f aca="false">'Source Data'!C1059</f>
        <v>8</v>
      </c>
      <c r="D1062" s="6" t="n">
        <f aca="false">'Source Data'!E1059</f>
        <v>0</v>
      </c>
      <c r="E1062" s="6" t="n">
        <f aca="false">IFERROR(N(C1062)-N(D1062),"")</f>
        <v>8</v>
      </c>
      <c r="F1062" s="7" t="str">
        <f aca="false">IF(E1062&gt;0,"Yes",IF(E1062&lt;0,"No (Paternity higher)","Equal"))</f>
        <v>Yes</v>
      </c>
    </row>
    <row r="1063" customFormat="false" ht="15" hidden="false" customHeight="false" outlineLevel="0" collapsed="false">
      <c r="A1063" s="5" t="str">
        <f aca="false">'Source Data'!A1060</f>
        <v>Enbridge, Inc.</v>
      </c>
      <c r="B1063" s="5" t="str">
        <f aca="false">'Source Data'!B1060</f>
        <v>Natural Resources: Oil &amp; Gas</v>
      </c>
      <c r="C1063" s="6" t="n">
        <f aca="false">'Source Data'!C1060</f>
        <v>6</v>
      </c>
      <c r="D1063" s="6" t="n">
        <f aca="false">'Source Data'!E1060</f>
        <v>0</v>
      </c>
      <c r="E1063" s="6" t="n">
        <f aca="false">IFERROR(N(C1063)-N(D1063),"")</f>
        <v>6</v>
      </c>
      <c r="F1063" s="7" t="str">
        <f aca="false">IF(E1063&gt;0,"Yes",IF(E1063&lt;0,"No (Paternity higher)","Equal"))</f>
        <v>Yes</v>
      </c>
    </row>
    <row r="1064" customFormat="false" ht="15" hidden="false" customHeight="false" outlineLevel="0" collapsed="false">
      <c r="A1064" s="5" t="str">
        <f aca="false">'Source Data'!A1061</f>
        <v>ExxonMobil</v>
      </c>
      <c r="B1064" s="5" t="str">
        <f aca="false">'Source Data'!B1061</f>
        <v>Natural Resources: Oil &amp; Gas</v>
      </c>
      <c r="C1064" s="6" t="n">
        <f aca="false">'Source Data'!C1061</f>
        <v>8</v>
      </c>
      <c r="D1064" s="6" t="n">
        <f aca="false">'Source Data'!E1061</f>
        <v>0</v>
      </c>
      <c r="E1064" s="6" t="n">
        <f aca="false">IFERROR(N(C1064)-N(D1064),"")</f>
        <v>8</v>
      </c>
      <c r="F1064" s="7" t="str">
        <f aca="false">IF(E1064&gt;0,"Yes",IF(E1064&lt;0,"No (Paternity higher)","Equal"))</f>
        <v>Yes</v>
      </c>
    </row>
    <row r="1065" customFormat="false" ht="15" hidden="false" customHeight="false" outlineLevel="0" collapsed="false">
      <c r="A1065" s="5" t="str">
        <f aca="false">'Source Data'!A1062</f>
        <v>Marathon Petroleum Corporation</v>
      </c>
      <c r="B1065" s="5" t="str">
        <f aca="false">'Source Data'!B1062</f>
        <v>Natural Resources: Oil &amp; Gas</v>
      </c>
      <c r="C1065" s="6" t="n">
        <f aca="false">'Source Data'!C1062</f>
        <v>8</v>
      </c>
      <c r="D1065" s="6" t="n">
        <f aca="false">'Source Data'!E1062</f>
        <v>0</v>
      </c>
      <c r="E1065" s="6" t="n">
        <f aca="false">IFERROR(N(C1065)-N(D1065),"")</f>
        <v>8</v>
      </c>
      <c r="F1065" s="7" t="str">
        <f aca="false">IF(E1065&gt;0,"Yes",IF(E1065&lt;0,"No (Paternity higher)","Equal"))</f>
        <v>Yes</v>
      </c>
    </row>
    <row r="1066" customFormat="false" ht="15" hidden="false" customHeight="false" outlineLevel="0" collapsed="false">
      <c r="A1066" s="5" t="str">
        <f aca="false">'Source Data'!A1063</f>
        <v>Shell Oil Company</v>
      </c>
      <c r="B1066" s="5" t="str">
        <f aca="false">'Source Data'!B1063</f>
        <v>Natural Resources: Oil &amp; Gas</v>
      </c>
      <c r="C1066" s="6" t="n">
        <f aca="false">'Source Data'!C1063</f>
        <v>16</v>
      </c>
      <c r="D1066" s="6" t="n">
        <f aca="false">'Source Data'!E1063</f>
        <v>0</v>
      </c>
      <c r="E1066" s="6" t="n">
        <f aca="false">IFERROR(N(C1066)-N(D1066),"")</f>
        <v>16</v>
      </c>
      <c r="F1066" s="7" t="str">
        <f aca="false">IF(E1066&gt;0,"Yes",IF(E1066&lt;0,"No (Paternity higher)","Equal"))</f>
        <v>Yes</v>
      </c>
    </row>
    <row r="1067" customFormat="false" ht="15" hidden="false" customHeight="false" outlineLevel="0" collapsed="false">
      <c r="A1067" s="5" t="str">
        <f aca="false">'Source Data'!A1064</f>
        <v>T.D. Williamson, Inc.</v>
      </c>
      <c r="B1067" s="5" t="str">
        <f aca="false">'Source Data'!B1064</f>
        <v>Natural Resources: Oil &amp; Gas</v>
      </c>
      <c r="C1067" s="6" t="n">
        <f aca="false">'Source Data'!C1064</f>
        <v>6</v>
      </c>
      <c r="D1067" s="6" t="n">
        <f aca="false">'Source Data'!E1064</f>
        <v>0</v>
      </c>
      <c r="E1067" s="6" t="n">
        <f aca="false">IFERROR(N(C1067)-N(D1067),"")</f>
        <v>6</v>
      </c>
      <c r="F1067" s="7" t="str">
        <f aca="false">IF(E1067&gt;0,"Yes",IF(E1067&lt;0,"No (Paternity higher)","Equal"))</f>
        <v>Yes</v>
      </c>
    </row>
    <row r="1068" customFormat="false" ht="15" hidden="false" customHeight="false" outlineLevel="0" collapsed="false">
      <c r="A1068" s="5" t="str">
        <f aca="false">'Source Data'!A1065</f>
        <v>ASRC Energy Services</v>
      </c>
      <c r="B1068" s="5" t="str">
        <f aca="false">'Source Data'!B1065</f>
        <v>Natural Resources: Oilfield Services</v>
      </c>
      <c r="C1068" s="6" t="n">
        <f aca="false">'Source Data'!C1065</f>
        <v>12</v>
      </c>
      <c r="D1068" s="6" t="n">
        <f aca="false">'Source Data'!E1065</f>
        <v>0</v>
      </c>
      <c r="E1068" s="6" t="n">
        <f aca="false">IFERROR(N(C1068)-N(D1068),"")</f>
        <v>12</v>
      </c>
      <c r="F1068" s="7" t="str">
        <f aca="false">IF(E1068&gt;0,"Yes",IF(E1068&lt;0,"No (Paternity higher)","Equal"))</f>
        <v>Yes</v>
      </c>
    </row>
    <row r="1069" customFormat="false" ht="15" hidden="false" customHeight="false" outlineLevel="0" collapsed="false">
      <c r="A1069" s="5" t="str">
        <f aca="false">'Source Data'!A1066</f>
        <v>Baker Hughes</v>
      </c>
      <c r="B1069" s="5" t="str">
        <f aca="false">'Source Data'!B1066</f>
        <v>Natural Resources: Oilfield Services</v>
      </c>
      <c r="C1069" s="6" t="n">
        <f aca="false">'Source Data'!C1066</f>
        <v>8</v>
      </c>
      <c r="D1069" s="6" t="n">
        <f aca="false">'Source Data'!E1066</f>
        <v>0</v>
      </c>
      <c r="E1069" s="6" t="n">
        <f aca="false">IFERROR(N(C1069)-N(D1069),"")</f>
        <v>8</v>
      </c>
      <c r="F1069" s="7" t="str">
        <f aca="false">IF(E1069&gt;0,"Yes",IF(E1069&lt;0,"No (Paternity higher)","Equal"))</f>
        <v>Yes</v>
      </c>
    </row>
    <row r="1070" customFormat="false" ht="15" hidden="false" customHeight="false" outlineLevel="0" collapsed="false">
      <c r="A1070" s="5" t="str">
        <f aca="false">'Source Data'!A1067</f>
        <v>Schlumberger</v>
      </c>
      <c r="B1070" s="5" t="str">
        <f aca="false">'Source Data'!B1067</f>
        <v>Natural Resources: Oilfield Services</v>
      </c>
      <c r="C1070" s="6" t="n">
        <f aca="false">'Source Data'!C1067</f>
        <v>11</v>
      </c>
      <c r="D1070" s="6" t="n">
        <f aca="false">'Source Data'!E1067</f>
        <v>0</v>
      </c>
      <c r="E1070" s="6" t="n">
        <f aca="false">IFERROR(N(C1070)-N(D1070),"")</f>
        <v>11</v>
      </c>
      <c r="F1070" s="7" t="str">
        <f aca="false">IF(E1070&gt;0,"Yes",IF(E1070&lt;0,"No (Paternity higher)","Equal"))</f>
        <v>Yes</v>
      </c>
    </row>
    <row r="1071" customFormat="false" ht="15" hidden="false" customHeight="false" outlineLevel="0" collapsed="false">
      <c r="A1071" s="5" t="str">
        <f aca="false">'Source Data'!A1068</f>
        <v>Save the Children</v>
      </c>
      <c r="B1071" s="5" t="str">
        <f aca="false">'Source Data'!B1068</f>
        <v>Nonprofit: Charity</v>
      </c>
      <c r="C1071" s="6" t="n">
        <f aca="false">'Source Data'!C1068</f>
        <v>5</v>
      </c>
      <c r="D1071" s="6" t="n">
        <f aca="false">'Source Data'!E1068</f>
        <v>0</v>
      </c>
      <c r="E1071" s="6" t="n">
        <f aca="false">IFERROR(N(C1071)-N(D1071),"")</f>
        <v>5</v>
      </c>
      <c r="F1071" s="7" t="str">
        <f aca="false">IF(E1071&gt;0,"Yes",IF(E1071&lt;0,"No (Paternity higher)","Equal"))</f>
        <v>Yes</v>
      </c>
    </row>
    <row r="1072" customFormat="false" ht="15" hidden="false" customHeight="false" outlineLevel="0" collapsed="false">
      <c r="A1072" s="5" t="str">
        <f aca="false">'Source Data'!A1069</f>
        <v>The Pew Charitable Trusts</v>
      </c>
      <c r="B1072" s="5" t="str">
        <f aca="false">'Source Data'!B1069</f>
        <v>Nonprofit: Charity</v>
      </c>
      <c r="C1072" s="6" t="n">
        <f aca="false">'Source Data'!C1069</f>
        <v>6</v>
      </c>
      <c r="D1072" s="6" t="n">
        <f aca="false">'Source Data'!E1069</f>
        <v>0</v>
      </c>
      <c r="E1072" s="6" t="n">
        <f aca="false">IFERROR(N(C1072)-N(D1072),"")</f>
        <v>6</v>
      </c>
      <c r="F1072" s="7" t="str">
        <f aca="false">IF(E1072&gt;0,"Yes",IF(E1072&lt;0,"No (Paternity higher)","Equal"))</f>
        <v>Yes</v>
      </c>
    </row>
    <row r="1073" customFormat="false" ht="15" hidden="false" customHeight="false" outlineLevel="0" collapsed="false">
      <c r="A1073" s="5" t="str">
        <f aca="false">'Source Data'!A1070</f>
        <v>World Vision</v>
      </c>
      <c r="B1073" s="5" t="str">
        <f aca="false">'Source Data'!B1070</f>
        <v>Nonprofit: Charity</v>
      </c>
      <c r="C1073" s="6" t="n">
        <f aca="false">'Source Data'!C1070</f>
        <v>52</v>
      </c>
      <c r="D1073" s="6" t="n">
        <f aca="false">'Source Data'!E1070</f>
        <v>0</v>
      </c>
      <c r="E1073" s="6" t="n">
        <f aca="false">IFERROR(N(C1073)-N(D1073),"")</f>
        <v>52</v>
      </c>
      <c r="F1073" s="7" t="str">
        <f aca="false">IF(E1073&gt;0,"Yes",IF(E1073&lt;0,"No (Paternity higher)","Equal"))</f>
        <v>Yes</v>
      </c>
    </row>
    <row r="1074" customFormat="false" ht="15" hidden="false" customHeight="false" outlineLevel="0" collapsed="false">
      <c r="A1074" s="5" t="str">
        <f aca="false">'Source Data'!A1071</f>
        <v>AARP</v>
      </c>
      <c r="B1074" s="5" t="str">
        <f aca="false">'Source Data'!B1071</f>
        <v>Nonprofit: Civic &amp; Social</v>
      </c>
      <c r="C1074" s="6" t="n">
        <f aca="false">'Source Data'!C1071</f>
        <v>6</v>
      </c>
      <c r="D1074" s="6" t="n">
        <f aca="false">'Source Data'!E1071</f>
        <v>0</v>
      </c>
      <c r="E1074" s="6" t="n">
        <f aca="false">IFERROR(N(C1074)-N(D1074),"")</f>
        <v>6</v>
      </c>
      <c r="F1074" s="7" t="str">
        <f aca="false">IF(E1074&gt;0,"Yes",IF(E1074&lt;0,"No (Paternity higher)","Equal"))</f>
        <v>Yes</v>
      </c>
    </row>
    <row r="1075" customFormat="false" ht="15" hidden="false" customHeight="false" outlineLevel="0" collapsed="false">
      <c r="A1075" s="5" t="str">
        <f aca="false">'Source Data'!A1072</f>
        <v>Convergence</v>
      </c>
      <c r="B1075" s="5" t="str">
        <f aca="false">'Source Data'!B1072</f>
        <v>Nonprofit: Civic &amp; Social</v>
      </c>
      <c r="C1075" s="6" t="n">
        <f aca="false">'Source Data'!C1072</f>
        <v>26</v>
      </c>
      <c r="D1075" s="6" t="n">
        <f aca="false">'Source Data'!E1072</f>
        <v>0</v>
      </c>
      <c r="E1075" s="6" t="n">
        <f aca="false">IFERROR(N(C1075)-N(D1075),"")</f>
        <v>26</v>
      </c>
      <c r="F1075" s="7" t="str">
        <f aca="false">IF(E1075&gt;0,"Yes",IF(E1075&lt;0,"No (Paternity higher)","Equal"))</f>
        <v>Yes</v>
      </c>
    </row>
    <row r="1076" customFormat="false" ht="15" hidden="false" customHeight="false" outlineLevel="0" collapsed="false">
      <c r="A1076" s="5" t="str">
        <f aca="false">'Source Data'!A1073</f>
        <v>Enterprise Community Partners</v>
      </c>
      <c r="B1076" s="5" t="str">
        <f aca="false">'Source Data'!B1073</f>
        <v>Nonprofit: Civic &amp; Social</v>
      </c>
      <c r="C1076" s="6" t="n">
        <f aca="false">'Source Data'!C1073</f>
        <v>12</v>
      </c>
      <c r="D1076" s="6" t="n">
        <f aca="false">'Source Data'!E1073</f>
        <v>0</v>
      </c>
      <c r="E1076" s="6" t="n">
        <f aca="false">IFERROR(N(C1076)-N(D1076),"")</f>
        <v>12</v>
      </c>
      <c r="F1076" s="7" t="str">
        <f aca="false">IF(E1076&gt;0,"Yes",IF(E1076&lt;0,"No (Paternity higher)","Equal"))</f>
        <v>Yes</v>
      </c>
    </row>
    <row r="1077" customFormat="false" ht="15" hidden="false" customHeight="false" outlineLevel="0" collapsed="false">
      <c r="A1077" s="5" t="str">
        <f aca="false">'Source Data'!A1074</f>
        <v>Help USA</v>
      </c>
      <c r="B1077" s="5" t="str">
        <f aca="false">'Source Data'!B1074</f>
        <v>Nonprofit: Civic &amp; Social</v>
      </c>
      <c r="C1077" s="6" t="n">
        <f aca="false">'Source Data'!C1074</f>
        <v>12</v>
      </c>
      <c r="D1077" s="6" t="n">
        <f aca="false">'Source Data'!E1074</f>
        <v>0</v>
      </c>
      <c r="E1077" s="6" t="n">
        <f aca="false">IFERROR(N(C1077)-N(D1077),"")</f>
        <v>12</v>
      </c>
      <c r="F1077" s="7" t="str">
        <f aca="false">IF(E1077&gt;0,"Yes",IF(E1077&lt;0,"No (Paternity higher)","Equal"))</f>
        <v>Yes</v>
      </c>
    </row>
    <row r="1078" customFormat="false" ht="15" hidden="false" customHeight="false" outlineLevel="0" collapsed="false">
      <c r="A1078" s="5" t="str">
        <f aca="false">'Source Data'!A1075</f>
        <v>National Partnership for Women &amp; Families</v>
      </c>
      <c r="B1078" s="5" t="str">
        <f aca="false">'Source Data'!B1075</f>
        <v>Nonprofit: Civic &amp; Social</v>
      </c>
      <c r="C1078" s="6" t="n">
        <f aca="false">'Source Data'!C1075</f>
        <v>15</v>
      </c>
      <c r="D1078" s="6" t="n">
        <f aca="false">'Source Data'!E1075</f>
        <v>0</v>
      </c>
      <c r="E1078" s="6" t="n">
        <f aca="false">IFERROR(N(C1078)-N(D1078),"")</f>
        <v>15</v>
      </c>
      <c r="F1078" s="7" t="str">
        <f aca="false">IF(E1078&gt;0,"Yes",IF(E1078&lt;0,"No (Paternity higher)","Equal"))</f>
        <v>Yes</v>
      </c>
    </row>
    <row r="1079" customFormat="false" ht="15" hidden="false" customHeight="false" outlineLevel="0" collapsed="false">
      <c r="A1079" s="5" t="str">
        <f aca="false">'Source Data'!A1076</f>
        <v>Project Renewal</v>
      </c>
      <c r="B1079" s="5" t="str">
        <f aca="false">'Source Data'!B1076</f>
        <v>Nonprofit: Civic &amp; Social</v>
      </c>
      <c r="C1079" s="6" t="n">
        <f aca="false">'Source Data'!C1076</f>
        <v>0</v>
      </c>
      <c r="D1079" s="6" t="n">
        <f aca="false">'Source Data'!E1076</f>
        <v>0</v>
      </c>
      <c r="E1079" s="6" t="n">
        <f aca="false">IFERROR(N(C1079)-N(D1079),"")</f>
        <v>0</v>
      </c>
      <c r="F1079" s="7" t="str">
        <f aca="false">IF(E1079&gt;0,"Yes",IF(E1079&lt;0,"No (Paternity higher)","Equal"))</f>
        <v>Equal</v>
      </c>
    </row>
    <row r="1080" customFormat="false" ht="15" hidden="false" customHeight="false" outlineLevel="0" collapsed="false">
      <c r="A1080" s="5" t="str">
        <f aca="false">'Source Data'!A1077</f>
        <v>uAspire</v>
      </c>
      <c r="B1080" s="5" t="str">
        <f aca="false">'Source Data'!B1077</f>
        <v>Nonprofit: Civic &amp; Social</v>
      </c>
      <c r="C1080" s="6" t="n">
        <f aca="false">'Source Data'!C1077</f>
        <v>2</v>
      </c>
      <c r="D1080" s="6" t="n">
        <f aca="false">'Source Data'!E1077</f>
        <v>0</v>
      </c>
      <c r="E1080" s="6" t="n">
        <f aca="false">IFERROR(N(C1080)-N(D1080),"")</f>
        <v>2</v>
      </c>
      <c r="F1080" s="7" t="str">
        <f aca="false">IF(E1080&gt;0,"Yes",IF(E1080&lt;0,"No (Paternity higher)","Equal"))</f>
        <v>Yes</v>
      </c>
    </row>
    <row r="1081" customFormat="false" ht="15" hidden="false" customHeight="false" outlineLevel="0" collapsed="false">
      <c r="A1081" s="5" t="str">
        <f aca="false">'Source Data'!A1078</f>
        <v>Washburn Center For Children</v>
      </c>
      <c r="B1081" s="5" t="str">
        <f aca="false">'Source Data'!B1078</f>
        <v>Nonprofit: Civic &amp; Social</v>
      </c>
      <c r="C1081" s="6" t="n">
        <f aca="false">'Source Data'!C1078</f>
        <v>52</v>
      </c>
      <c r="D1081" s="6" t="n">
        <f aca="false">'Source Data'!E1078</f>
        <v>0</v>
      </c>
      <c r="E1081" s="6" t="n">
        <f aca="false">IFERROR(N(C1081)-N(D1081),"")</f>
        <v>52</v>
      </c>
      <c r="F1081" s="7" t="str">
        <f aca="false">IF(E1081&gt;0,"Yes",IF(E1081&lt;0,"No (Paternity higher)","Equal"))</f>
        <v>Yes</v>
      </c>
    </row>
    <row r="1082" customFormat="false" ht="15" hidden="false" customHeight="false" outlineLevel="0" collapsed="false">
      <c r="A1082" s="5" t="str">
        <f aca="false">'Source Data'!A1079</f>
        <v>Endeavor</v>
      </c>
      <c r="B1082" s="5" t="str">
        <f aca="false">'Source Data'!B1079</f>
        <v>Nonprofit: Development</v>
      </c>
      <c r="C1082" s="6" t="n">
        <f aca="false">'Source Data'!C1079</f>
        <v>16</v>
      </c>
      <c r="D1082" s="6" t="n">
        <f aca="false">'Source Data'!E1079</f>
        <v>0</v>
      </c>
      <c r="E1082" s="6" t="n">
        <f aca="false">IFERROR(N(C1082)-N(D1082),"")</f>
        <v>16</v>
      </c>
      <c r="F1082" s="7" t="str">
        <f aca="false">IF(E1082&gt;0,"Yes",IF(E1082&lt;0,"No (Paternity higher)","Equal"))</f>
        <v>Yes</v>
      </c>
    </row>
    <row r="1083" customFormat="false" ht="15" hidden="false" customHeight="false" outlineLevel="0" collapsed="false">
      <c r="A1083" s="5" t="str">
        <f aca="false">'Source Data'!A1080</f>
        <v>Achievement Network</v>
      </c>
      <c r="B1083" s="5" t="str">
        <f aca="false">'Source Data'!B1080</f>
        <v>Nonprofit: Education</v>
      </c>
      <c r="C1083" s="6" t="n">
        <f aca="false">'Source Data'!C1080</f>
        <v>12</v>
      </c>
      <c r="D1083" s="6" t="n">
        <f aca="false">'Source Data'!E1080</f>
        <v>0</v>
      </c>
      <c r="E1083" s="6" t="n">
        <f aca="false">IFERROR(N(C1083)-N(D1083),"")</f>
        <v>12</v>
      </c>
      <c r="F1083" s="7" t="str">
        <f aca="false">IF(E1083&gt;0,"Yes",IF(E1083&lt;0,"No (Paternity higher)","Equal"))</f>
        <v>Yes</v>
      </c>
    </row>
    <row r="1084" customFormat="false" ht="15" hidden="false" customHeight="false" outlineLevel="0" collapsed="false">
      <c r="A1084" s="5" t="str">
        <f aca="false">'Source Data'!A1081</f>
        <v>Start Early</v>
      </c>
      <c r="B1084" s="5" t="str">
        <f aca="false">'Source Data'!B1081</f>
        <v>Nonprofit: Education</v>
      </c>
      <c r="C1084" s="6" t="n">
        <f aca="false">'Source Data'!C1081</f>
        <v>24</v>
      </c>
      <c r="D1084" s="6" t="n">
        <f aca="false">'Source Data'!E1081</f>
        <v>24</v>
      </c>
      <c r="E1084" s="6" t="n">
        <f aca="false">IFERROR(N(C1084)-N(D1084),"")</f>
        <v>0</v>
      </c>
      <c r="F1084" s="7" t="str">
        <f aca="false">IF(E1084&gt;0,"Yes",IF(E1084&lt;0,"No (Paternity higher)","Equal"))</f>
        <v>Equal</v>
      </c>
    </row>
    <row r="1085" customFormat="false" ht="15" hidden="false" customHeight="false" outlineLevel="0" collapsed="false">
      <c r="A1085" s="5" t="str">
        <f aca="false">'Source Data'!A1082</f>
        <v>Teach for America</v>
      </c>
      <c r="B1085" s="5" t="str">
        <f aca="false">'Source Data'!B1082</f>
        <v>Nonprofit: Education</v>
      </c>
      <c r="C1085" s="6" t="n">
        <f aca="false">'Source Data'!C1082</f>
        <v>12</v>
      </c>
      <c r="D1085" s="6" t="n">
        <f aca="false">'Source Data'!E1082</f>
        <v>0</v>
      </c>
      <c r="E1085" s="6" t="n">
        <f aca="false">IFERROR(N(C1085)-N(D1085),"")</f>
        <v>12</v>
      </c>
      <c r="F1085" s="7" t="str">
        <f aca="false">IF(E1085&gt;0,"Yes",IF(E1085&lt;0,"No (Paternity higher)","Equal"))</f>
        <v>Yes</v>
      </c>
    </row>
    <row r="1086" customFormat="false" ht="15" hidden="false" customHeight="false" outlineLevel="0" collapsed="false">
      <c r="A1086" s="5" t="str">
        <f aca="false">'Source Data'!A1083</f>
        <v>Wildwood Programs</v>
      </c>
      <c r="B1086" s="5" t="str">
        <f aca="false">'Source Data'!B1083</f>
        <v>Nonprofit: Education</v>
      </c>
      <c r="C1086" s="6" t="n">
        <f aca="false">'Source Data'!C1083</f>
        <v>12</v>
      </c>
      <c r="D1086" s="6" t="n">
        <f aca="false">'Source Data'!E1083</f>
        <v>0</v>
      </c>
      <c r="E1086" s="6" t="n">
        <f aca="false">IFERROR(N(C1086)-N(D1086),"")</f>
        <v>12</v>
      </c>
      <c r="F1086" s="7" t="str">
        <f aca="false">IF(E1086&gt;0,"Yes",IF(E1086&lt;0,"No (Paternity higher)","Equal"))</f>
        <v>Yes</v>
      </c>
    </row>
    <row r="1087" customFormat="false" ht="15" hidden="false" customHeight="false" outlineLevel="0" collapsed="false">
      <c r="A1087" s="5" t="str">
        <f aca="false">'Source Data'!A1084</f>
        <v>Environmental Defense Fund</v>
      </c>
      <c r="B1087" s="5" t="str">
        <f aca="false">'Source Data'!B1084</f>
        <v>Nonprofit: Environmental Organization</v>
      </c>
      <c r="C1087" s="6" t="n">
        <f aca="false">'Source Data'!C1084</f>
        <v>8</v>
      </c>
      <c r="D1087" s="6" t="n">
        <f aca="false">'Source Data'!E1084</f>
        <v>0</v>
      </c>
      <c r="E1087" s="6" t="n">
        <f aca="false">IFERROR(N(C1087)-N(D1087),"")</f>
        <v>8</v>
      </c>
      <c r="F1087" s="7" t="str">
        <f aca="false">IF(E1087&gt;0,"Yes",IF(E1087&lt;0,"No (Paternity higher)","Equal"))</f>
        <v>Yes</v>
      </c>
    </row>
    <row r="1088" customFormat="false" ht="15" hidden="false" customHeight="false" outlineLevel="0" collapsed="false">
      <c r="A1088" s="5" t="str">
        <f aca="false">'Source Data'!A1085</f>
        <v>Natural Resources Defense Council</v>
      </c>
      <c r="B1088" s="5" t="str">
        <f aca="false">'Source Data'!B1085</f>
        <v>Nonprofit: Environmental Organization</v>
      </c>
      <c r="C1088" s="6" t="n">
        <f aca="false">'Source Data'!C1085</f>
        <v>15</v>
      </c>
      <c r="D1088" s="6" t="n">
        <f aca="false">'Source Data'!E1085</f>
        <v>0</v>
      </c>
      <c r="E1088" s="6" t="n">
        <f aca="false">IFERROR(N(C1088)-N(D1088),"")</f>
        <v>15</v>
      </c>
      <c r="F1088" s="7" t="str">
        <f aca="false">IF(E1088&gt;0,"Yes",IF(E1088&lt;0,"No (Paternity higher)","Equal"))</f>
        <v>Yes</v>
      </c>
    </row>
    <row r="1089" customFormat="false" ht="15" hidden="false" customHeight="false" outlineLevel="0" collapsed="false">
      <c r="A1089" s="5" t="str">
        <f aca="false">'Source Data'!A1086</f>
        <v>The Nature Conservancy</v>
      </c>
      <c r="B1089" s="5" t="str">
        <f aca="false">'Source Data'!B1086</f>
        <v>Nonprofit: Environmental Organization</v>
      </c>
      <c r="C1089" s="6" t="n">
        <f aca="false">'Source Data'!C1086</f>
        <v>6</v>
      </c>
      <c r="D1089" s="6" t="n">
        <f aca="false">'Source Data'!E1086</f>
        <v>0</v>
      </c>
      <c r="E1089" s="6" t="n">
        <f aca="false">IFERROR(N(C1089)-N(D1089),"")</f>
        <v>6</v>
      </c>
      <c r="F1089" s="7" t="str">
        <f aca="false">IF(E1089&gt;0,"Yes",IF(E1089&lt;0,"No (Paternity higher)","Equal"))</f>
        <v>Yes</v>
      </c>
    </row>
    <row r="1090" customFormat="false" ht="15" hidden="false" customHeight="false" outlineLevel="0" collapsed="false">
      <c r="A1090" s="5" t="str">
        <f aca="false">'Source Data'!A1087</f>
        <v>Financial Industry Regulatory Authority</v>
      </c>
      <c r="B1090" s="5" t="str">
        <f aca="false">'Source Data'!B1087</f>
        <v>Nonprofit: Finance</v>
      </c>
      <c r="C1090" s="6" t="n">
        <f aca="false">'Source Data'!C1087</f>
        <v>12</v>
      </c>
      <c r="D1090" s="6" t="n">
        <f aca="false">'Source Data'!E1087</f>
        <v>0</v>
      </c>
      <c r="E1090" s="6" t="n">
        <f aca="false">IFERROR(N(C1090)-N(D1090),"")</f>
        <v>12</v>
      </c>
      <c r="F1090" s="7" t="str">
        <f aca="false">IF(E1090&gt;0,"Yes",IF(E1090&lt;0,"No (Paternity higher)","Equal"))</f>
        <v>Yes</v>
      </c>
    </row>
    <row r="1091" customFormat="false" ht="15" hidden="false" customHeight="false" outlineLevel="0" collapsed="false">
      <c r="A1091" s="5" t="str">
        <f aca="false">'Source Data'!A1088</f>
        <v>Financial Ombudsman Service</v>
      </c>
      <c r="B1091" s="5" t="str">
        <f aca="false">'Source Data'!B1088</f>
        <v>Nonprofit: Finance</v>
      </c>
      <c r="C1091" s="6" t="n">
        <f aca="false">'Source Data'!C1088</f>
        <v>26</v>
      </c>
      <c r="D1091" s="6" t="n">
        <f aca="false">'Source Data'!E1088</f>
        <v>0</v>
      </c>
      <c r="E1091" s="6" t="n">
        <f aca="false">IFERROR(N(C1091)-N(D1091),"")</f>
        <v>26</v>
      </c>
      <c r="F1091" s="7" t="str">
        <f aca="false">IF(E1091&gt;0,"Yes",IF(E1091&lt;0,"No (Paternity higher)","Equal"))</f>
        <v>Yes</v>
      </c>
    </row>
    <row r="1092" customFormat="false" ht="15" hidden="false" customHeight="false" outlineLevel="0" collapsed="false">
      <c r="A1092" s="5" t="str">
        <f aca="false">'Source Data'!A1089</f>
        <v>Harvard Pilgrim Health Care</v>
      </c>
      <c r="B1092" s="5" t="str">
        <f aca="false">'Source Data'!B1089</f>
        <v>Nonprofit: Healthcare</v>
      </c>
      <c r="C1092" s="6" t="n">
        <f aca="false">'Source Data'!C1089</f>
        <v>4</v>
      </c>
      <c r="D1092" s="6" t="n">
        <f aca="false">'Source Data'!E1089</f>
        <v>0</v>
      </c>
      <c r="E1092" s="6" t="n">
        <f aca="false">IFERROR(N(C1092)-N(D1092),"")</f>
        <v>4</v>
      </c>
      <c r="F1092" s="7" t="str">
        <f aca="false">IF(E1092&gt;0,"Yes",IF(E1092&lt;0,"No (Paternity higher)","Equal"))</f>
        <v>Yes</v>
      </c>
    </row>
    <row r="1093" customFormat="false" ht="15" hidden="false" customHeight="false" outlineLevel="0" collapsed="false">
      <c r="A1093" s="5" t="str">
        <f aca="false">'Source Data'!A1090</f>
        <v>Jewish Board of Family and Children's Services</v>
      </c>
      <c r="B1093" s="5" t="str">
        <f aca="false">'Source Data'!B1090</f>
        <v>Nonprofit: Healthcare</v>
      </c>
      <c r="C1093" s="6" t="n">
        <f aca="false">'Source Data'!C1090</f>
        <v>12</v>
      </c>
      <c r="D1093" s="6" t="n">
        <f aca="false">'Source Data'!E1090</f>
        <v>0</v>
      </c>
      <c r="E1093" s="6" t="n">
        <f aca="false">IFERROR(N(C1093)-N(D1093),"")</f>
        <v>12</v>
      </c>
      <c r="F1093" s="7" t="str">
        <f aca="false">IF(E1093&gt;0,"Yes",IF(E1093&lt;0,"No (Paternity higher)","Equal"))</f>
        <v>Yes</v>
      </c>
    </row>
    <row r="1094" customFormat="false" ht="15" hidden="false" customHeight="false" outlineLevel="0" collapsed="false">
      <c r="A1094" s="5" t="str">
        <f aca="false">'Source Data'!A1091</f>
        <v>Planned Parenthood</v>
      </c>
      <c r="B1094" s="5" t="str">
        <f aca="false">'Source Data'!B1091</f>
        <v>Nonprofit: Healthcare</v>
      </c>
      <c r="C1094" s="6" t="n">
        <f aca="false">'Source Data'!C1091</f>
        <v>6</v>
      </c>
      <c r="D1094" s="6" t="n">
        <f aca="false">'Source Data'!E1091</f>
        <v>0</v>
      </c>
      <c r="E1094" s="6" t="n">
        <f aca="false">IFERROR(N(C1094)-N(D1094),"")</f>
        <v>6</v>
      </c>
      <c r="F1094" s="7" t="str">
        <f aca="false">IF(E1094&gt;0,"Yes",IF(E1094&lt;0,"No (Paternity higher)","Equal"))</f>
        <v>Yes</v>
      </c>
    </row>
    <row r="1095" customFormat="false" ht="15" hidden="false" customHeight="false" outlineLevel="0" collapsed="false">
      <c r="A1095" s="5" t="str">
        <f aca="false">'Source Data'!A1092</f>
        <v>Sanford Health</v>
      </c>
      <c r="B1095" s="5" t="str">
        <f aca="false">'Source Data'!B1092</f>
        <v>Nonprofit: Healthcare</v>
      </c>
      <c r="C1095" s="6" t="n">
        <f aca="false">'Source Data'!C1092</f>
        <v>4</v>
      </c>
      <c r="D1095" s="6" t="n">
        <f aca="false">'Source Data'!E1092</f>
        <v>0</v>
      </c>
      <c r="E1095" s="6" t="n">
        <f aca="false">IFERROR(N(C1095)-N(D1095),"")</f>
        <v>4</v>
      </c>
      <c r="F1095" s="7" t="str">
        <f aca="false">IF(E1095&gt;0,"Yes",IF(E1095&lt;0,"No (Paternity higher)","Equal"))</f>
        <v>Yes</v>
      </c>
    </row>
    <row r="1096" customFormat="false" ht="15" hidden="false" customHeight="false" outlineLevel="0" collapsed="false">
      <c r="A1096" s="5" t="str">
        <f aca="false">'Source Data'!A1093</f>
        <v>SWOG</v>
      </c>
      <c r="B1096" s="5" t="str">
        <f aca="false">'Source Data'!B1093</f>
        <v>Nonprofit: Healthcare</v>
      </c>
      <c r="C1096" s="6" t="n">
        <f aca="false">'Source Data'!C1093</f>
        <v>6</v>
      </c>
      <c r="D1096" s="6" t="n">
        <f aca="false">'Source Data'!E1093</f>
        <v>0</v>
      </c>
      <c r="E1096" s="6" t="n">
        <f aca="false">IFERROR(N(C1096)-N(D1096),"")</f>
        <v>6</v>
      </c>
      <c r="F1096" s="7" t="str">
        <f aca="false">IF(E1096&gt;0,"Yes",IF(E1096&lt;0,"No (Paternity higher)","Equal"))</f>
        <v>Yes</v>
      </c>
    </row>
    <row r="1097" customFormat="false" ht="15" hidden="false" customHeight="false" outlineLevel="0" collapsed="false">
      <c r="A1097" s="5" t="str">
        <f aca="false">'Source Data'!A1094</f>
        <v>The Task Force For Global Health</v>
      </c>
      <c r="B1097" s="5" t="str">
        <f aca="false">'Source Data'!B1094</f>
        <v>Nonprofit: Healthcare</v>
      </c>
      <c r="C1097" s="6" t="n">
        <f aca="false">'Source Data'!C1094</f>
        <v>0</v>
      </c>
      <c r="D1097" s="6" t="n">
        <f aca="false">'Source Data'!E1094</f>
        <v>0</v>
      </c>
      <c r="E1097" s="6" t="n">
        <f aca="false">IFERROR(N(C1097)-N(D1097),"")</f>
        <v>0</v>
      </c>
      <c r="F1097" s="7" t="str">
        <f aca="false">IF(E1097&gt;0,"Yes",IF(E1097&lt;0,"No (Paternity higher)","Equal"))</f>
        <v>Equal</v>
      </c>
    </row>
    <row r="1098" customFormat="false" ht="15" hidden="false" customHeight="false" outlineLevel="0" collapsed="false">
      <c r="A1098" s="5" t="str">
        <f aca="false">'Source Data'!A1095</f>
        <v>American Red Cross</v>
      </c>
      <c r="B1098" s="5" t="str">
        <f aca="false">'Source Data'!B1095</f>
        <v>Nonprofit: Humanitarian Aid Organization</v>
      </c>
      <c r="C1098" s="6" t="n">
        <f aca="false">'Source Data'!C1095</f>
        <v>8</v>
      </c>
      <c r="D1098" s="6" t="n">
        <f aca="false">'Source Data'!E1095</f>
        <v>0</v>
      </c>
      <c r="E1098" s="6" t="n">
        <f aca="false">IFERROR(N(C1098)-N(D1098),"")</f>
        <v>8</v>
      </c>
      <c r="F1098" s="7" t="str">
        <f aca="false">IF(E1098&gt;0,"Yes",IF(E1098&lt;0,"No (Paternity higher)","Equal"))</f>
        <v>Yes</v>
      </c>
    </row>
    <row r="1099" customFormat="false" ht="15" hidden="false" customHeight="false" outlineLevel="0" collapsed="false">
      <c r="A1099" s="5" t="str">
        <f aca="false">'Source Data'!A1096</f>
        <v>International Justice Mission</v>
      </c>
      <c r="B1099" s="5" t="str">
        <f aca="false">'Source Data'!B1096</f>
        <v>Nonprofit: Legal</v>
      </c>
      <c r="C1099" s="6" t="n">
        <f aca="false">'Source Data'!C1096</f>
        <v>12</v>
      </c>
      <c r="D1099" s="6" t="n">
        <f aca="false">'Source Data'!E1096</f>
        <v>0</v>
      </c>
      <c r="E1099" s="6" t="n">
        <f aca="false">IFERROR(N(C1099)-N(D1099),"")</f>
        <v>12</v>
      </c>
      <c r="F1099" s="7" t="str">
        <f aca="false">IF(E1099&gt;0,"Yes",IF(E1099&lt;0,"No (Paternity higher)","Equal"))</f>
        <v>Yes</v>
      </c>
    </row>
    <row r="1100" customFormat="false" ht="15" hidden="false" customHeight="false" outlineLevel="0" collapsed="false">
      <c r="A1100" s="5" t="str">
        <f aca="false">'Source Data'!A1097</f>
        <v>Legal Aid Society - Employment Law Center</v>
      </c>
      <c r="B1100" s="5" t="str">
        <f aca="false">'Source Data'!B1097</f>
        <v>Nonprofit: Legal</v>
      </c>
      <c r="C1100" s="6" t="n">
        <f aca="false">'Source Data'!C1097</f>
        <v>12</v>
      </c>
      <c r="D1100" s="6" t="n">
        <f aca="false">'Source Data'!E1097</f>
        <v>0</v>
      </c>
      <c r="E1100" s="6" t="n">
        <f aca="false">IFERROR(N(C1100)-N(D1100),"")</f>
        <v>12</v>
      </c>
      <c r="F1100" s="7" t="str">
        <f aca="false">IF(E1100&gt;0,"Yes",IF(E1100&lt;0,"No (Paternity higher)","Equal"))</f>
        <v>Yes</v>
      </c>
    </row>
    <row r="1101" customFormat="false" ht="15" hidden="false" customHeight="false" outlineLevel="0" collapsed="false">
      <c r="A1101" s="5" t="str">
        <f aca="false">'Source Data'!A1098</f>
        <v>Center for Reproductive Rights</v>
      </c>
      <c r="B1101" s="5" t="str">
        <f aca="false">'Source Data'!B1098</f>
        <v>Nonprofit: Legal Services</v>
      </c>
      <c r="C1101" s="6" t="n">
        <f aca="false">'Source Data'!C1098</f>
        <v>12</v>
      </c>
      <c r="D1101" s="6" t="n">
        <f aca="false">'Source Data'!E1098</f>
        <v>0</v>
      </c>
      <c r="E1101" s="6" t="n">
        <f aca="false">IFERROR(N(C1101)-N(D1101),"")</f>
        <v>12</v>
      </c>
      <c r="F1101" s="7" t="str">
        <f aca="false">IF(E1101&gt;0,"Yes",IF(E1101&lt;0,"No (Paternity higher)","Equal"))</f>
        <v>Yes</v>
      </c>
    </row>
    <row r="1102" customFormat="false" ht="15" hidden="false" customHeight="false" outlineLevel="0" collapsed="false">
      <c r="A1102" s="5" t="str">
        <f aca="false">'Source Data'!A1099</f>
        <v>Legal Aid of North Carolina</v>
      </c>
      <c r="B1102" s="5" t="str">
        <f aca="false">'Source Data'!B1099</f>
        <v>Nonprofit: Legal Services</v>
      </c>
      <c r="C1102" s="6" t="n">
        <f aca="false">'Source Data'!C1099</f>
        <v>6</v>
      </c>
      <c r="D1102" s="6" t="n">
        <f aca="false">'Source Data'!E1099</f>
        <v>0</v>
      </c>
      <c r="E1102" s="6" t="n">
        <f aca="false">IFERROR(N(C1102)-N(D1102),"")</f>
        <v>6</v>
      </c>
      <c r="F1102" s="7" t="str">
        <f aca="false">IF(E1102&gt;0,"Yes",IF(E1102&lt;0,"No (Paternity higher)","Equal"))</f>
        <v>Yes</v>
      </c>
    </row>
    <row r="1103" customFormat="false" ht="15" hidden="false" customHeight="false" outlineLevel="0" collapsed="false">
      <c r="A1103" s="5" t="str">
        <f aca="false">'Source Data'!A1100</f>
        <v>Westbank Community Library</v>
      </c>
      <c r="B1103" s="5" t="str">
        <f aca="false">'Source Data'!B1100</f>
        <v>Nonprofit: Libraries</v>
      </c>
      <c r="C1103" s="6" t="n">
        <f aca="false">'Source Data'!C1100</f>
        <v>12</v>
      </c>
      <c r="D1103" s="6" t="n">
        <f aca="false">'Source Data'!E1100</f>
        <v>0</v>
      </c>
      <c r="E1103" s="6" t="n">
        <f aca="false">IFERROR(N(C1103)-N(D1103),"")</f>
        <v>12</v>
      </c>
      <c r="F1103" s="7" t="str">
        <f aca="false">IF(E1103&gt;0,"Yes",IF(E1103&lt;0,"No (Paternity higher)","Equal"))</f>
        <v>Yes</v>
      </c>
    </row>
    <row r="1104" customFormat="false" ht="15" hidden="false" customHeight="false" outlineLevel="0" collapsed="false">
      <c r="A1104" s="5" t="str">
        <f aca="false">'Source Data'!A1101</f>
        <v>Camden Coalition of Healthcare Providers</v>
      </c>
      <c r="B1104" s="5" t="str">
        <f aca="false">'Source Data'!B1101</f>
        <v>Nonprofit: Medical</v>
      </c>
      <c r="C1104" s="6" t="n">
        <f aca="false">'Source Data'!C1101</f>
        <v>4</v>
      </c>
      <c r="D1104" s="6" t="n">
        <f aca="false">'Source Data'!E1101</f>
        <v>0</v>
      </c>
      <c r="E1104" s="6" t="n">
        <f aca="false">IFERROR(N(C1104)-N(D1104),"")</f>
        <v>4</v>
      </c>
      <c r="F1104" s="7" t="str">
        <f aca="false">IF(E1104&gt;0,"Yes",IF(E1104&lt;0,"No (Paternity higher)","Equal"))</f>
        <v>Yes</v>
      </c>
    </row>
    <row r="1105" customFormat="false" ht="15" hidden="false" customHeight="false" outlineLevel="0" collapsed="false">
      <c r="A1105" s="5" t="str">
        <f aca="false">'Source Data'!A1102</f>
        <v>MOXI, The Wolf Museum of Exploration + Innovation</v>
      </c>
      <c r="B1105" s="5" t="str">
        <f aca="false">'Source Data'!B1102</f>
        <v>Nonprofit: Museums</v>
      </c>
      <c r="C1105" s="6" t="n">
        <f aca="false">'Source Data'!C1102</f>
        <v>1</v>
      </c>
      <c r="D1105" s="6" t="n">
        <f aca="false">'Source Data'!E1102</f>
        <v>0</v>
      </c>
      <c r="E1105" s="6" t="n">
        <f aca="false">IFERROR(N(C1105)-N(D1105),"")</f>
        <v>1</v>
      </c>
      <c r="F1105" s="7" t="str">
        <f aca="false">IF(E1105&gt;0,"Yes",IF(E1105&lt;0,"No (Paternity higher)","Equal"))</f>
        <v>Yes</v>
      </c>
    </row>
    <row r="1106" customFormat="false" ht="15" hidden="false" customHeight="false" outlineLevel="0" collapsed="false">
      <c r="A1106" s="5" t="str">
        <f aca="false">'Source Data'!A1103</f>
        <v>The Field Museum</v>
      </c>
      <c r="B1106" s="5" t="str">
        <f aca="false">'Source Data'!B1103</f>
        <v>Nonprofit: Museums</v>
      </c>
      <c r="C1106" s="6" t="n">
        <f aca="false">'Source Data'!C1103</f>
        <v>8</v>
      </c>
      <c r="D1106" s="6" t="n">
        <f aca="false">'Source Data'!E1103</f>
        <v>0</v>
      </c>
      <c r="E1106" s="6" t="n">
        <f aca="false">IFERROR(N(C1106)-N(D1106),"")</f>
        <v>8</v>
      </c>
      <c r="F1106" s="7" t="str">
        <f aca="false">IF(E1106&gt;0,"Yes",IF(E1106&lt;0,"No (Paternity higher)","Equal"))</f>
        <v>Yes</v>
      </c>
    </row>
    <row r="1107" customFormat="false" ht="15" hidden="false" customHeight="false" outlineLevel="0" collapsed="false">
      <c r="A1107" s="5" t="str">
        <f aca="false">'Source Data'!A1104</f>
        <v>The World Economic Forum</v>
      </c>
      <c r="B1107" s="5" t="str">
        <f aca="false">'Source Data'!B1104</f>
        <v>Nonprofit: Political Organization</v>
      </c>
      <c r="C1107" s="6" t="n">
        <f aca="false">'Source Data'!C1104</f>
        <v>12</v>
      </c>
      <c r="D1107" s="6" t="n">
        <f aca="false">'Source Data'!E1104</f>
        <v>0</v>
      </c>
      <c r="E1107" s="6" t="n">
        <f aca="false">IFERROR(N(C1107)-N(D1107),"")</f>
        <v>12</v>
      </c>
      <c r="F1107" s="7" t="str">
        <f aca="false">IF(E1107&gt;0,"Yes",IF(E1107&lt;0,"No (Paternity higher)","Equal"))</f>
        <v>Yes</v>
      </c>
    </row>
    <row r="1108" customFormat="false" ht="15" hidden="false" customHeight="false" outlineLevel="0" collapsed="false">
      <c r="A1108" s="5" t="str">
        <f aca="false">'Source Data'!A1105</f>
        <v>Archdiocese of Chicago</v>
      </c>
      <c r="B1108" s="5" t="str">
        <f aca="false">'Source Data'!B1105</f>
        <v>Nonprofit: Religious</v>
      </c>
      <c r="C1108" s="6" t="n">
        <f aca="false">'Source Data'!C1105</f>
        <v>12</v>
      </c>
      <c r="D1108" s="6" t="n">
        <f aca="false">'Source Data'!E1105</f>
        <v>0</v>
      </c>
      <c r="E1108" s="6" t="n">
        <f aca="false">IFERROR(N(C1108)-N(D1108),"")</f>
        <v>12</v>
      </c>
      <c r="F1108" s="7" t="str">
        <f aca="false">IF(E1108&gt;0,"Yes",IF(E1108&lt;0,"No (Paternity higher)","Equal"))</f>
        <v>Yes</v>
      </c>
    </row>
    <row r="1109" customFormat="false" ht="15" hidden="false" customHeight="false" outlineLevel="0" collapsed="false">
      <c r="A1109" s="5" t="str">
        <f aca="false">'Source Data'!A1106</f>
        <v>Battelle Memorial Institute</v>
      </c>
      <c r="B1109" s="5" t="str">
        <f aca="false">'Source Data'!B1106</f>
        <v>Nonprofit: Research</v>
      </c>
      <c r="C1109" s="6" t="n">
        <f aca="false">'Source Data'!C1106</f>
        <v>6</v>
      </c>
      <c r="D1109" s="6" t="n">
        <f aca="false">'Source Data'!E1106</f>
        <v>0</v>
      </c>
      <c r="E1109" s="6" t="n">
        <f aca="false">IFERROR(N(C1109)-N(D1109),"")</f>
        <v>6</v>
      </c>
      <c r="F1109" s="7" t="str">
        <f aca="false">IF(E1109&gt;0,"Yes",IF(E1109&lt;0,"No (Paternity higher)","Equal"))</f>
        <v>Yes</v>
      </c>
    </row>
    <row r="1110" customFormat="false" ht="15" hidden="false" customHeight="false" outlineLevel="0" collapsed="false">
      <c r="A1110" s="5" t="str">
        <f aca="false">'Source Data'!A1107</f>
        <v>Charles Stark Draper Laboratory</v>
      </c>
      <c r="B1110" s="5" t="str">
        <f aca="false">'Source Data'!B1107</f>
        <v>Nonprofit: Research</v>
      </c>
      <c r="C1110" s="6" t="n">
        <f aca="false">'Source Data'!C1107</f>
        <v>12</v>
      </c>
      <c r="D1110" s="6" t="n">
        <f aca="false">'Source Data'!E1107</f>
        <v>0</v>
      </c>
      <c r="E1110" s="6" t="n">
        <f aca="false">IFERROR(N(C1110)-N(D1110),"")</f>
        <v>12</v>
      </c>
      <c r="F1110" s="7" t="str">
        <f aca="false">IF(E1110&gt;0,"Yes",IF(E1110&lt;0,"No (Paternity higher)","Equal"))</f>
        <v>Yes</v>
      </c>
    </row>
    <row r="1111" customFormat="false" ht="15" hidden="false" customHeight="false" outlineLevel="0" collapsed="false">
      <c r="A1111" s="5" t="str">
        <f aca="false">'Source Data'!A1108</f>
        <v>Education Development Center, Inc.</v>
      </c>
      <c r="B1111" s="5" t="str">
        <f aca="false">'Source Data'!B1108</f>
        <v>Nonprofit: Research</v>
      </c>
      <c r="C1111" s="6" t="n">
        <f aca="false">'Source Data'!C1108</f>
        <v>12</v>
      </c>
      <c r="D1111" s="6" t="n">
        <f aca="false">'Source Data'!E1108</f>
        <v>0</v>
      </c>
      <c r="E1111" s="6" t="n">
        <f aca="false">IFERROR(N(C1111)-N(D1111),"")</f>
        <v>12</v>
      </c>
      <c r="F1111" s="7" t="str">
        <f aca="false">IF(E1111&gt;0,"Yes",IF(E1111&lt;0,"No (Paternity higher)","Equal"))</f>
        <v>Yes</v>
      </c>
    </row>
    <row r="1112" customFormat="false" ht="15" hidden="false" customHeight="false" outlineLevel="0" collapsed="false">
      <c r="A1112" s="5" t="str">
        <f aca="false">'Source Data'!A1109</f>
        <v>HopeLab</v>
      </c>
      <c r="B1112" s="5" t="str">
        <f aca="false">'Source Data'!B1109</f>
        <v>Nonprofit: Research</v>
      </c>
      <c r="C1112" s="6" t="n">
        <f aca="false">'Source Data'!C1109</f>
        <v>16</v>
      </c>
      <c r="D1112" s="6" t="n">
        <f aca="false">'Source Data'!E1109</f>
        <v>0</v>
      </c>
      <c r="E1112" s="6" t="n">
        <f aca="false">IFERROR(N(C1112)-N(D1112),"")</f>
        <v>16</v>
      </c>
      <c r="F1112" s="7" t="str">
        <f aca="false">IF(E1112&gt;0,"Yes",IF(E1112&lt;0,"No (Paternity higher)","Equal"))</f>
        <v>Yes</v>
      </c>
    </row>
    <row r="1113" customFormat="false" ht="15" hidden="false" customHeight="false" outlineLevel="0" collapsed="false">
      <c r="A1113" s="5" t="str">
        <f aca="false">'Source Data'!A1110</f>
        <v>RTI International</v>
      </c>
      <c r="B1113" s="5" t="str">
        <f aca="false">'Source Data'!B1110</f>
        <v>Nonprofit: Research</v>
      </c>
      <c r="C1113" s="6" t="n">
        <f aca="false">'Source Data'!C1110</f>
        <v>6</v>
      </c>
      <c r="D1113" s="6" t="n">
        <f aca="false">'Source Data'!E1110</f>
        <v>0</v>
      </c>
      <c r="E1113" s="6" t="n">
        <f aca="false">IFERROR(N(C1113)-N(D1113),"")</f>
        <v>6</v>
      </c>
      <c r="F1113" s="7" t="str">
        <f aca="false">IF(E1113&gt;0,"Yes",IF(E1113&lt;0,"No (Paternity higher)","Equal"))</f>
        <v>Yes</v>
      </c>
    </row>
    <row r="1114" customFormat="false" ht="15" hidden="false" customHeight="false" outlineLevel="0" collapsed="false">
      <c r="A1114" s="5" t="str">
        <f aca="false">'Source Data'!A1111</f>
        <v>The Leukemia &amp; Lymphoma Society</v>
      </c>
      <c r="B1114" s="5" t="str">
        <f aca="false">'Source Data'!B1111</f>
        <v>Nonprofit: Research</v>
      </c>
      <c r="C1114" s="6" t="n">
        <f aca="false">'Source Data'!C1111</f>
        <v>3</v>
      </c>
      <c r="D1114" s="6" t="n">
        <f aca="false">'Source Data'!E1111</f>
        <v>0</v>
      </c>
      <c r="E1114" s="6" t="n">
        <f aca="false">IFERROR(N(C1114)-N(D1114),"")</f>
        <v>3</v>
      </c>
      <c r="F1114" s="7" t="str">
        <f aca="false">IF(E1114&gt;0,"Yes",IF(E1114&lt;0,"No (Paternity higher)","Equal"))</f>
        <v>Yes</v>
      </c>
    </row>
    <row r="1115" customFormat="false" ht="15" hidden="false" customHeight="false" outlineLevel="0" collapsed="false">
      <c r="A1115" s="5" t="str">
        <f aca="false">'Source Data'!A1112</f>
        <v>American Chemical Society</v>
      </c>
      <c r="B1115" s="5" t="str">
        <f aca="false">'Source Data'!B1112</f>
        <v>Nonprofit: Science &amp; Technology</v>
      </c>
      <c r="C1115" s="6" t="n">
        <f aca="false">'Source Data'!C1112</f>
        <v>8</v>
      </c>
      <c r="D1115" s="6" t="n">
        <f aca="false">'Source Data'!E1112</f>
        <v>0</v>
      </c>
      <c r="E1115" s="6" t="n">
        <f aca="false">IFERROR(N(C1115)-N(D1115),"")</f>
        <v>8</v>
      </c>
      <c r="F1115" s="7" t="str">
        <f aca="false">IF(E1115&gt;0,"Yes",IF(E1115&lt;0,"No (Paternity higher)","Equal"))</f>
        <v>Yes</v>
      </c>
    </row>
    <row r="1116" customFormat="false" ht="15" hidden="false" customHeight="false" outlineLevel="0" collapsed="false">
      <c r="A1116" s="5" t="str">
        <f aca="false">'Source Data'!A1113</f>
        <v>AICPA</v>
      </c>
      <c r="B1116" s="5" t="str">
        <f aca="false">'Source Data'!B1113</f>
        <v>Nonprofit: Trade Organization</v>
      </c>
      <c r="C1116" s="6" t="n">
        <f aca="false">'Source Data'!C1113</f>
        <v>10</v>
      </c>
      <c r="D1116" s="6" t="n">
        <f aca="false">'Source Data'!E1113</f>
        <v>0</v>
      </c>
      <c r="E1116" s="6" t="n">
        <f aca="false">IFERROR(N(C1116)-N(D1116),"")</f>
        <v>10</v>
      </c>
      <c r="F1116" s="7" t="str">
        <f aca="false">IF(E1116&gt;0,"Yes",IF(E1116&lt;0,"No (Paternity higher)","Equal"))</f>
        <v>Yes</v>
      </c>
    </row>
    <row r="1117" customFormat="false" ht="15" hidden="false" customHeight="false" outlineLevel="0" collapsed="false">
      <c r="A1117" s="5" t="str">
        <f aca="false">'Source Data'!A1114</f>
        <v>The Georgia Society of CPAs</v>
      </c>
      <c r="B1117" s="5" t="str">
        <f aca="false">'Source Data'!B1114</f>
        <v>Nonprofit: Trade Organization</v>
      </c>
      <c r="C1117" s="6" t="n">
        <f aca="false">'Source Data'!C1114</f>
        <v>8</v>
      </c>
      <c r="D1117" s="6" t="n">
        <f aca="false">'Source Data'!E1114</f>
        <v>0</v>
      </c>
      <c r="E1117" s="6" t="n">
        <f aca="false">IFERROR(N(C1117)-N(D1117),"")</f>
        <v>8</v>
      </c>
      <c r="F1117" s="7" t="str">
        <f aca="false">IF(E1117&gt;0,"Yes",IF(E1117&lt;0,"No (Paternity higher)","Equal"))</f>
        <v>Yes</v>
      </c>
    </row>
    <row r="1118" customFormat="false" ht="15" hidden="false" customHeight="false" outlineLevel="0" collapsed="false">
      <c r="A1118" s="5" t="str">
        <f aca="false">'Source Data'!A1115</f>
        <v>American Canning</v>
      </c>
      <c r="B1118" s="5" t="str">
        <f aca="false">'Source Data'!B1115</f>
        <v>Packaging</v>
      </c>
      <c r="C1118" s="6" t="n">
        <f aca="false">'Source Data'!C1115</f>
        <v>6</v>
      </c>
      <c r="D1118" s="6" t="n">
        <f aca="false">'Source Data'!E1115</f>
        <v>0</v>
      </c>
      <c r="E1118" s="6" t="n">
        <f aca="false">IFERROR(N(C1118)-N(D1118),"")</f>
        <v>6</v>
      </c>
      <c r="F1118" s="7" t="str">
        <f aca="false">IF(E1118&gt;0,"Yes",IF(E1118&lt;0,"No (Paternity higher)","Equal"))</f>
        <v>Yes</v>
      </c>
    </row>
    <row r="1119" customFormat="false" ht="15" hidden="false" customHeight="false" outlineLevel="0" collapsed="false">
      <c r="A1119" s="5" t="str">
        <f aca="false">'Source Data'!A1116</f>
        <v>Avery Dennison</v>
      </c>
      <c r="B1119" s="5" t="str">
        <f aca="false">'Source Data'!B1116</f>
        <v>Packaging</v>
      </c>
      <c r="C1119" s="6" t="n">
        <f aca="false">'Source Data'!C1116</f>
        <v>9</v>
      </c>
      <c r="D1119" s="6" t="n">
        <f aca="false">'Source Data'!E1116</f>
        <v>0</v>
      </c>
      <c r="E1119" s="6" t="n">
        <f aca="false">IFERROR(N(C1119)-N(D1119),"")</f>
        <v>9</v>
      </c>
      <c r="F1119" s="7" t="str">
        <f aca="false">IF(E1119&gt;0,"Yes",IF(E1119&lt;0,"No (Paternity higher)","Equal"))</f>
        <v>Yes</v>
      </c>
    </row>
    <row r="1120" customFormat="false" ht="15" hidden="false" customHeight="false" outlineLevel="0" collapsed="false">
      <c r="A1120" s="5" t="str">
        <f aca="false">'Source Data'!A1117</f>
        <v>AbbVie Inc.</v>
      </c>
      <c r="B1120" s="5" t="str">
        <f aca="false">'Source Data'!B1117</f>
        <v>Pharmaceutical</v>
      </c>
      <c r="C1120" s="6" t="n">
        <f aca="false">'Source Data'!C1117</f>
        <v>12</v>
      </c>
      <c r="D1120" s="6" t="n">
        <f aca="false">'Source Data'!E1117</f>
        <v>0</v>
      </c>
      <c r="E1120" s="6" t="n">
        <f aca="false">IFERROR(N(C1120)-N(D1120),"")</f>
        <v>12</v>
      </c>
      <c r="F1120" s="7" t="str">
        <f aca="false">IF(E1120&gt;0,"Yes",IF(E1120&lt;0,"No (Paternity higher)","Equal"))</f>
        <v>Yes</v>
      </c>
    </row>
    <row r="1121" customFormat="false" ht="15" hidden="false" customHeight="false" outlineLevel="0" collapsed="false">
      <c r="A1121" s="5" t="str">
        <f aca="false">'Source Data'!A1118</f>
        <v>Agios Pharmaceuticals</v>
      </c>
      <c r="B1121" s="5" t="str">
        <f aca="false">'Source Data'!B1118</f>
        <v>Pharmaceutical</v>
      </c>
      <c r="C1121" s="6" t="n">
        <f aca="false">'Source Data'!C1118</f>
        <v>8</v>
      </c>
      <c r="D1121" s="6" t="n">
        <f aca="false">'Source Data'!E1118</f>
        <v>0</v>
      </c>
      <c r="E1121" s="6" t="n">
        <f aca="false">IFERROR(N(C1121)-N(D1121),"")</f>
        <v>8</v>
      </c>
      <c r="F1121" s="7" t="str">
        <f aca="false">IF(E1121&gt;0,"Yes",IF(E1121&lt;0,"No (Paternity higher)","Equal"))</f>
        <v>Yes</v>
      </c>
    </row>
    <row r="1122" customFormat="false" ht="15" hidden="false" customHeight="false" outlineLevel="0" collapsed="false">
      <c r="A1122" s="5" t="str">
        <f aca="false">'Source Data'!A1119</f>
        <v>AstraZeneca</v>
      </c>
      <c r="B1122" s="5" t="str">
        <f aca="false">'Source Data'!B1119</f>
        <v>Pharmaceutical</v>
      </c>
      <c r="C1122" s="6" t="n">
        <f aca="false">'Source Data'!C1119</f>
        <v>6</v>
      </c>
      <c r="D1122" s="6" t="n">
        <f aca="false">'Source Data'!E1119</f>
        <v>0</v>
      </c>
      <c r="E1122" s="6" t="n">
        <f aca="false">IFERROR(N(C1122)-N(D1122),"")</f>
        <v>6</v>
      </c>
      <c r="F1122" s="7" t="str">
        <f aca="false">IF(E1122&gt;0,"Yes",IF(E1122&lt;0,"No (Paternity higher)","Equal"))</f>
        <v>Yes</v>
      </c>
    </row>
    <row r="1123" customFormat="false" ht="15" hidden="false" customHeight="false" outlineLevel="0" collapsed="false">
      <c r="A1123" s="5" t="str">
        <f aca="false">'Source Data'!A1120</f>
        <v>Bayer AG</v>
      </c>
      <c r="B1123" s="5" t="str">
        <f aca="false">'Source Data'!B1120</f>
        <v>Pharmaceutical</v>
      </c>
      <c r="C1123" s="6" t="n">
        <f aca="false">'Source Data'!C1120</f>
        <v>4</v>
      </c>
      <c r="D1123" s="6" t="n">
        <f aca="false">'Source Data'!E1120</f>
        <v>0</v>
      </c>
      <c r="E1123" s="6" t="n">
        <f aca="false">IFERROR(N(C1123)-N(D1123),"")</f>
        <v>4</v>
      </c>
      <c r="F1123" s="7" t="str">
        <f aca="false">IF(E1123&gt;0,"Yes",IF(E1123&lt;0,"No (Paternity higher)","Equal"))</f>
        <v>Yes</v>
      </c>
    </row>
    <row r="1124" customFormat="false" ht="15" hidden="false" customHeight="false" outlineLevel="0" collapsed="false">
      <c r="A1124" s="5" t="str">
        <f aca="false">'Source Data'!A1121</f>
        <v>Bayer HealthCare Pharmaceuticals</v>
      </c>
      <c r="B1124" s="5" t="str">
        <f aca="false">'Source Data'!B1121</f>
        <v>Pharmaceutical</v>
      </c>
      <c r="C1124" s="6" t="n">
        <f aca="false">'Source Data'!C1121</f>
        <v>4</v>
      </c>
      <c r="D1124" s="6" t="n">
        <f aca="false">'Source Data'!E1121</f>
        <v>0</v>
      </c>
      <c r="E1124" s="6" t="n">
        <f aca="false">IFERROR(N(C1124)-N(D1124),"")</f>
        <v>4</v>
      </c>
      <c r="F1124" s="7" t="str">
        <f aca="false">IF(E1124&gt;0,"Yes",IF(E1124&lt;0,"No (Paternity higher)","Equal"))</f>
        <v>Yes</v>
      </c>
    </row>
    <row r="1125" customFormat="false" ht="15" hidden="false" customHeight="false" outlineLevel="0" collapsed="false">
      <c r="A1125" s="5" t="str">
        <f aca="false">'Source Data'!A1122</f>
        <v>Envigo</v>
      </c>
      <c r="B1125" s="5" t="str">
        <f aca="false">'Source Data'!B1122</f>
        <v>Pharmaceutical</v>
      </c>
      <c r="C1125" s="6" t="n">
        <f aca="false">'Source Data'!C1122</f>
        <v>6</v>
      </c>
      <c r="D1125" s="6" t="n">
        <f aca="false">'Source Data'!E1122</f>
        <v>0</v>
      </c>
      <c r="E1125" s="6" t="n">
        <f aca="false">IFERROR(N(C1125)-N(D1125),"")</f>
        <v>6</v>
      </c>
      <c r="F1125" s="7" t="str">
        <f aca="false">IF(E1125&gt;0,"Yes",IF(E1125&lt;0,"No (Paternity higher)","Equal"))</f>
        <v>Yes</v>
      </c>
    </row>
    <row r="1126" customFormat="false" ht="15" hidden="false" customHeight="false" outlineLevel="0" collapsed="false">
      <c r="A1126" s="5" t="str">
        <f aca="false">'Source Data'!A1123</f>
        <v>Ferring Pharmaceuticals</v>
      </c>
      <c r="B1126" s="5" t="str">
        <f aca="false">'Source Data'!B1123</f>
        <v>Pharmaceutical</v>
      </c>
      <c r="C1126" s="6" t="n">
        <f aca="false">'Source Data'!C1123</f>
        <v>8</v>
      </c>
      <c r="D1126" s="6" t="n">
        <f aca="false">'Source Data'!E1123</f>
        <v>0</v>
      </c>
      <c r="E1126" s="6" t="n">
        <f aca="false">IFERROR(N(C1126)-N(D1126),"")</f>
        <v>8</v>
      </c>
      <c r="F1126" s="7" t="str">
        <f aca="false">IF(E1126&gt;0,"Yes",IF(E1126&lt;0,"No (Paternity higher)","Equal"))</f>
        <v>Yes</v>
      </c>
    </row>
    <row r="1127" customFormat="false" ht="15" hidden="false" customHeight="false" outlineLevel="0" collapsed="false">
      <c r="A1127" s="5" t="str">
        <f aca="false">'Source Data'!A1124</f>
        <v>Kite Pharma</v>
      </c>
      <c r="B1127" s="5" t="str">
        <f aca="false">'Source Data'!B1124</f>
        <v>Pharmaceutical</v>
      </c>
      <c r="C1127" s="6" t="n">
        <f aca="false">'Source Data'!C1124</f>
        <v>12</v>
      </c>
      <c r="D1127" s="6" t="n">
        <f aca="false">'Source Data'!E1124</f>
        <v>0</v>
      </c>
      <c r="E1127" s="6" t="n">
        <f aca="false">IFERROR(N(C1127)-N(D1127),"")</f>
        <v>12</v>
      </c>
      <c r="F1127" s="7" t="str">
        <f aca="false">IF(E1127&gt;0,"Yes",IF(E1127&lt;0,"No (Paternity higher)","Equal"))</f>
        <v>Yes</v>
      </c>
    </row>
    <row r="1128" customFormat="false" ht="15" hidden="false" customHeight="false" outlineLevel="0" collapsed="false">
      <c r="A1128" s="5" t="str">
        <f aca="false">'Source Data'!A1125</f>
        <v>Merck &amp; Co., Inc.</v>
      </c>
      <c r="B1128" s="5" t="str">
        <f aca="false">'Source Data'!B1125</f>
        <v>Pharmaceutical</v>
      </c>
      <c r="C1128" s="6" t="n">
        <f aca="false">'Source Data'!C1125</f>
        <v>9</v>
      </c>
      <c r="D1128" s="6" t="n">
        <f aca="false">'Source Data'!E1125</f>
        <v>0</v>
      </c>
      <c r="E1128" s="6" t="n">
        <f aca="false">IFERROR(N(C1128)-N(D1128),"")</f>
        <v>9</v>
      </c>
      <c r="F1128" s="7" t="str">
        <f aca="false">IF(E1128&gt;0,"Yes",IF(E1128&lt;0,"No (Paternity higher)","Equal"))</f>
        <v>Yes</v>
      </c>
    </row>
    <row r="1129" customFormat="false" ht="15" hidden="false" customHeight="false" outlineLevel="0" collapsed="false">
      <c r="A1129" s="5" t="str">
        <f aca="false">'Source Data'!A1126</f>
        <v>Novartis</v>
      </c>
      <c r="B1129" s="5" t="str">
        <f aca="false">'Source Data'!B1126</f>
        <v>Pharmaceutical</v>
      </c>
      <c r="C1129" s="6" t="n">
        <f aca="false">'Source Data'!C1126</f>
        <v>13</v>
      </c>
      <c r="D1129" s="6" t="n">
        <f aca="false">'Source Data'!E1126</f>
        <v>0</v>
      </c>
      <c r="E1129" s="6" t="n">
        <f aca="false">IFERROR(N(C1129)-N(D1129),"")</f>
        <v>13</v>
      </c>
      <c r="F1129" s="7" t="str">
        <f aca="false">IF(E1129&gt;0,"Yes",IF(E1129&lt;0,"No (Paternity higher)","Equal"))</f>
        <v>Yes</v>
      </c>
    </row>
    <row r="1130" customFormat="false" ht="15" hidden="false" customHeight="false" outlineLevel="0" collapsed="false">
      <c r="A1130" s="5" t="str">
        <f aca="false">'Source Data'!A1127</f>
        <v>Oceanic Pharmachem Pvt. Ltd.</v>
      </c>
      <c r="B1130" s="5" t="str">
        <f aca="false">'Source Data'!B1127</f>
        <v>Pharmaceutical</v>
      </c>
      <c r="C1130" s="6" t="n">
        <f aca="false">'Source Data'!C1127</f>
        <v>12</v>
      </c>
      <c r="D1130" s="6" t="n">
        <f aca="false">'Source Data'!E1127</f>
        <v>0</v>
      </c>
      <c r="E1130" s="6" t="n">
        <f aca="false">IFERROR(N(C1130)-N(D1130),"")</f>
        <v>12</v>
      </c>
      <c r="F1130" s="7" t="str">
        <f aca="false">IF(E1130&gt;0,"Yes",IF(E1130&lt;0,"No (Paternity higher)","Equal"))</f>
        <v>Yes</v>
      </c>
    </row>
    <row r="1131" customFormat="false" ht="15" hidden="false" customHeight="false" outlineLevel="0" collapsed="false">
      <c r="A1131" s="5" t="str">
        <f aca="false">'Source Data'!A1128</f>
        <v>Otsuka Pharmaceutical</v>
      </c>
      <c r="B1131" s="5" t="str">
        <f aca="false">'Source Data'!B1128</f>
        <v>Pharmaceutical</v>
      </c>
      <c r="C1131" s="6" t="n">
        <f aca="false">'Source Data'!C1128</f>
        <v>8</v>
      </c>
      <c r="D1131" s="6" t="n">
        <f aca="false">'Source Data'!E1128</f>
        <v>0</v>
      </c>
      <c r="E1131" s="6" t="n">
        <f aca="false">IFERROR(N(C1131)-N(D1131),"")</f>
        <v>8</v>
      </c>
      <c r="F1131" s="7" t="str">
        <f aca="false">IF(E1131&gt;0,"Yes",IF(E1131&lt;0,"No (Paternity higher)","Equal"))</f>
        <v>Yes</v>
      </c>
    </row>
    <row r="1132" customFormat="false" ht="15" hidden="false" customHeight="false" outlineLevel="0" collapsed="false">
      <c r="A1132" s="5" t="str">
        <f aca="false">'Source Data'!A1129</f>
        <v>Pfizer</v>
      </c>
      <c r="B1132" s="5" t="str">
        <f aca="false">'Source Data'!B1129</f>
        <v>Pharmaceutical</v>
      </c>
      <c r="C1132" s="6" t="n">
        <f aca="false">'Source Data'!C1129</f>
        <v>12</v>
      </c>
      <c r="D1132" s="6" t="n">
        <f aca="false">'Source Data'!E1129</f>
        <v>0</v>
      </c>
      <c r="E1132" s="6" t="n">
        <f aca="false">IFERROR(N(C1132)-N(D1132),"")</f>
        <v>12</v>
      </c>
      <c r="F1132" s="7" t="str">
        <f aca="false">IF(E1132&gt;0,"Yes",IF(E1132&lt;0,"No (Paternity higher)","Equal"))</f>
        <v>Yes</v>
      </c>
    </row>
    <row r="1133" customFormat="false" ht="15" hidden="false" customHeight="false" outlineLevel="0" collapsed="false">
      <c r="A1133" s="5" t="str">
        <f aca="false">'Source Data'!A1130</f>
        <v>Reata Pharmaceuticals</v>
      </c>
      <c r="B1133" s="5" t="str">
        <f aca="false">'Source Data'!B1130</f>
        <v>Pharmaceutical</v>
      </c>
      <c r="C1133" s="6" t="n">
        <f aca="false">'Source Data'!C1130</f>
        <v>6</v>
      </c>
      <c r="D1133" s="6" t="n">
        <f aca="false">'Source Data'!E1130</f>
        <v>0</v>
      </c>
      <c r="E1133" s="6" t="n">
        <f aca="false">IFERROR(N(C1133)-N(D1133),"")</f>
        <v>6</v>
      </c>
      <c r="F1133" s="7" t="str">
        <f aca="false">IF(E1133&gt;0,"Yes",IF(E1133&lt;0,"No (Paternity higher)","Equal"))</f>
        <v>Yes</v>
      </c>
    </row>
    <row r="1134" customFormat="false" ht="15" hidden="false" customHeight="false" outlineLevel="0" collapsed="false">
      <c r="A1134" s="5" t="str">
        <f aca="false">'Source Data'!A1131</f>
        <v>Recursion Pharmaceuticals</v>
      </c>
      <c r="B1134" s="5" t="str">
        <f aca="false">'Source Data'!B1131</f>
        <v>Pharmaceutical</v>
      </c>
      <c r="C1134" s="6" t="n">
        <f aca="false">'Source Data'!C1131</f>
        <v>12</v>
      </c>
      <c r="D1134" s="6" t="n">
        <f aca="false">'Source Data'!E1131</f>
        <v>0</v>
      </c>
      <c r="E1134" s="6" t="n">
        <f aca="false">IFERROR(N(C1134)-N(D1134),"")</f>
        <v>12</v>
      </c>
      <c r="F1134" s="7" t="str">
        <f aca="false">IF(E1134&gt;0,"Yes",IF(E1134&lt;0,"No (Paternity higher)","Equal"))</f>
        <v>Yes</v>
      </c>
    </row>
    <row r="1135" customFormat="false" ht="15" hidden="false" customHeight="false" outlineLevel="0" collapsed="false">
      <c r="A1135" s="5" t="str">
        <f aca="false">'Source Data'!A1132</f>
        <v>Syneos Health</v>
      </c>
      <c r="B1135" s="5" t="str">
        <f aca="false">'Source Data'!B1132</f>
        <v>Pharmaceutical</v>
      </c>
      <c r="C1135" s="6" t="n">
        <f aca="false">'Source Data'!C1132</f>
        <v>14</v>
      </c>
      <c r="D1135" s="6" t="n">
        <f aca="false">'Source Data'!E1132</f>
        <v>0</v>
      </c>
      <c r="E1135" s="6" t="n">
        <f aca="false">IFERROR(N(C1135)-N(D1135),"")</f>
        <v>14</v>
      </c>
      <c r="F1135" s="7" t="str">
        <f aca="false">IF(E1135&gt;0,"Yes",IF(E1135&lt;0,"No (Paternity higher)","Equal"))</f>
        <v>Yes</v>
      </c>
    </row>
    <row r="1136" customFormat="false" ht="15" hidden="false" customHeight="false" outlineLevel="0" collapsed="false">
      <c r="A1136" s="5" t="str">
        <f aca="false">'Source Data'!A1133</f>
        <v>Express Scripts Holding</v>
      </c>
      <c r="B1136" s="5" t="str">
        <f aca="false">'Source Data'!B1133</f>
        <v>Pharmacies &amp; Drug Stores</v>
      </c>
      <c r="C1136" s="6" t="n">
        <f aca="false">'Source Data'!C1133</f>
        <v>2</v>
      </c>
      <c r="D1136" s="6" t="n">
        <f aca="false">'Source Data'!E1133</f>
        <v>0</v>
      </c>
      <c r="E1136" s="6" t="n">
        <f aca="false">IFERROR(N(C1136)-N(D1136),"")</f>
        <v>2</v>
      </c>
      <c r="F1136" s="7" t="str">
        <f aca="false">IF(E1136&gt;0,"Yes",IF(E1136&lt;0,"No (Paternity higher)","Equal"))</f>
        <v>Yes</v>
      </c>
    </row>
    <row r="1137" customFormat="false" ht="15" hidden="false" customHeight="false" outlineLevel="0" collapsed="false">
      <c r="A1137" s="5" t="str">
        <f aca="false">'Source Data'!A1134</f>
        <v>OptumRx</v>
      </c>
      <c r="B1137" s="5" t="str">
        <f aca="false">'Source Data'!B1134</f>
        <v>Pharmacies &amp; Drug Stores</v>
      </c>
      <c r="C1137" s="6" t="n">
        <f aca="false">'Source Data'!C1134</f>
        <v>12</v>
      </c>
      <c r="D1137" s="6" t="n">
        <f aca="false">'Source Data'!E1134</f>
        <v>0</v>
      </c>
      <c r="E1137" s="6" t="n">
        <f aca="false">IFERROR(N(C1137)-N(D1137),"")</f>
        <v>12</v>
      </c>
      <c r="F1137" s="7" t="str">
        <f aca="false">IF(E1137&gt;0,"Yes",IF(E1137&lt;0,"No (Paternity higher)","Equal"))</f>
        <v>Yes</v>
      </c>
    </row>
    <row r="1138" customFormat="false" ht="15" hidden="false" customHeight="false" outlineLevel="0" collapsed="false">
      <c r="A1138" s="5" t="str">
        <f aca="false">'Source Data'!A1135</f>
        <v>Chan Zuckerberg Initiative</v>
      </c>
      <c r="B1138" s="5" t="str">
        <f aca="false">'Source Data'!B1135</f>
        <v>Philanthropy</v>
      </c>
      <c r="C1138" s="6" t="n">
        <f aca="false">'Source Data'!C1135</f>
        <v>16</v>
      </c>
      <c r="D1138" s="6" t="n">
        <f aca="false">'Source Data'!E1135</f>
        <v>0</v>
      </c>
      <c r="E1138" s="6" t="n">
        <f aca="false">IFERROR(N(C1138)-N(D1138),"")</f>
        <v>16</v>
      </c>
      <c r="F1138" s="7" t="str">
        <f aca="false">IF(E1138&gt;0,"Yes",IF(E1138&lt;0,"No (Paternity higher)","Equal"))</f>
        <v>Yes</v>
      </c>
    </row>
    <row r="1139" customFormat="false" ht="15" hidden="false" customHeight="false" outlineLevel="0" collapsed="false">
      <c r="A1139" s="5" t="str">
        <f aca="false">'Source Data'!A1136</f>
        <v>Harold Grinspoon Foundation</v>
      </c>
      <c r="B1139" s="5" t="str">
        <f aca="false">'Source Data'!B1136</f>
        <v>Philanthropy</v>
      </c>
      <c r="C1139" s="6" t="n">
        <f aca="false">'Source Data'!C1136</f>
        <v>13</v>
      </c>
      <c r="D1139" s="6" t="n">
        <f aca="false">'Source Data'!E1136</f>
        <v>0</v>
      </c>
      <c r="E1139" s="6" t="n">
        <f aca="false">IFERROR(N(C1139)-N(D1139),"")</f>
        <v>13</v>
      </c>
      <c r="F1139" s="7" t="str">
        <f aca="false">IF(E1139&gt;0,"Yes",IF(E1139&lt;0,"No (Paternity higher)","Equal"))</f>
        <v>Yes</v>
      </c>
    </row>
    <row r="1140" customFormat="false" ht="15" hidden="false" customHeight="false" outlineLevel="0" collapsed="false">
      <c r="A1140" s="5" t="str">
        <f aca="false">'Source Data'!A1137</f>
        <v>Open Society Foundations</v>
      </c>
      <c r="B1140" s="5" t="str">
        <f aca="false">'Source Data'!B1137</f>
        <v>Philanthropy</v>
      </c>
      <c r="C1140" s="6" t="n">
        <f aca="false">'Source Data'!C1137</f>
        <v>25</v>
      </c>
      <c r="D1140" s="6" t="n">
        <f aca="false">'Source Data'!E1137</f>
        <v>0</v>
      </c>
      <c r="E1140" s="6" t="n">
        <f aca="false">IFERROR(N(C1140)-N(D1140),"")</f>
        <v>25</v>
      </c>
      <c r="F1140" s="7" t="str">
        <f aca="false">IF(E1140&gt;0,"Yes",IF(E1140&lt;0,"No (Paternity higher)","Equal"))</f>
        <v>Yes</v>
      </c>
    </row>
    <row r="1141" customFormat="false" ht="15" hidden="false" customHeight="false" outlineLevel="0" collapsed="false">
      <c r="A1141" s="5" t="str">
        <f aca="false">'Source Data'!A1138</f>
        <v>W. K. Kellogg Foundation</v>
      </c>
      <c r="B1141" s="5" t="str">
        <f aca="false">'Source Data'!B1138</f>
        <v>Philanthropy</v>
      </c>
      <c r="C1141" s="6" t="n">
        <f aca="false">'Source Data'!C1138</f>
        <v>32</v>
      </c>
      <c r="D1141" s="6" t="n">
        <f aca="false">'Source Data'!E1138</f>
        <v>0</v>
      </c>
      <c r="E1141" s="6" t="n">
        <f aca="false">IFERROR(N(C1141)-N(D1141),"")</f>
        <v>32</v>
      </c>
      <c r="F1141" s="7" t="str">
        <f aca="false">IF(E1141&gt;0,"Yes",IF(E1141&lt;0,"No (Paternity higher)","Equal"))</f>
        <v>Yes</v>
      </c>
    </row>
    <row r="1142" customFormat="false" ht="15" hidden="false" customHeight="false" outlineLevel="0" collapsed="false">
      <c r="A1142" s="5" t="str">
        <f aca="false">'Source Data'!A1139</f>
        <v>BCW</v>
      </c>
      <c r="B1142" s="5" t="str">
        <f aca="false">'Source Data'!B1139</f>
        <v>Public Relations</v>
      </c>
      <c r="C1142" s="6" t="n">
        <f aca="false">'Source Data'!C1139</f>
        <v>4</v>
      </c>
      <c r="D1142" s="6" t="n">
        <f aca="false">'Source Data'!E1139</f>
        <v>0</v>
      </c>
      <c r="E1142" s="6" t="n">
        <f aca="false">IFERROR(N(C1142)-N(D1142),"")</f>
        <v>4</v>
      </c>
      <c r="F1142" s="7" t="str">
        <f aca="false">IF(E1142&gt;0,"Yes",IF(E1142&lt;0,"No (Paternity higher)","Equal"))</f>
        <v>Yes</v>
      </c>
    </row>
    <row r="1143" customFormat="false" ht="15" hidden="false" customHeight="false" outlineLevel="0" collapsed="false">
      <c r="A1143" s="5" t="str">
        <f aca="false">'Source Data'!A1140</f>
        <v>Curley &amp; Pynn</v>
      </c>
      <c r="B1143" s="5" t="str">
        <f aca="false">'Source Data'!B1140</f>
        <v>Public Relations</v>
      </c>
      <c r="C1143" s="6" t="n">
        <f aca="false">'Source Data'!C1140</f>
        <v>6</v>
      </c>
      <c r="D1143" s="6" t="n">
        <f aca="false">'Source Data'!E1140</f>
        <v>0</v>
      </c>
      <c r="E1143" s="6" t="n">
        <f aca="false">IFERROR(N(C1143)-N(D1143),"")</f>
        <v>6</v>
      </c>
      <c r="F1143" s="7" t="str">
        <f aca="false">IF(E1143&gt;0,"Yes",IF(E1143&lt;0,"No (Paternity higher)","Equal"))</f>
        <v>Yes</v>
      </c>
    </row>
    <row r="1144" customFormat="false" ht="15" hidden="false" customHeight="false" outlineLevel="0" collapsed="false">
      <c r="A1144" s="5" t="str">
        <f aca="false">'Source Data'!A1141</f>
        <v>Edelman</v>
      </c>
      <c r="B1144" s="5" t="str">
        <f aca="false">'Source Data'!B1141</f>
        <v>Public Relations</v>
      </c>
      <c r="C1144" s="6" t="n">
        <f aca="false">'Source Data'!C1141</f>
        <v>12</v>
      </c>
      <c r="D1144" s="6" t="n">
        <f aca="false">'Source Data'!E1141</f>
        <v>0</v>
      </c>
      <c r="E1144" s="6" t="n">
        <f aca="false">IFERROR(N(C1144)-N(D1144),"")</f>
        <v>12</v>
      </c>
      <c r="F1144" s="7" t="str">
        <f aca="false">IF(E1144&gt;0,"Yes",IF(E1144&lt;0,"No (Paternity higher)","Equal"))</f>
        <v>Yes</v>
      </c>
    </row>
    <row r="1145" customFormat="false" ht="15" hidden="false" customHeight="false" outlineLevel="0" collapsed="false">
      <c r="A1145" s="5" t="str">
        <f aca="false">'Source Data'!A1142</f>
        <v>Golin</v>
      </c>
      <c r="B1145" s="5" t="str">
        <f aca="false">'Source Data'!B1142</f>
        <v>Public Relations</v>
      </c>
      <c r="C1145" s="6" t="n">
        <f aca="false">'Source Data'!C1142</f>
        <v>8</v>
      </c>
      <c r="D1145" s="6" t="n">
        <f aca="false">'Source Data'!E1142</f>
        <v>0</v>
      </c>
      <c r="E1145" s="6" t="n">
        <f aca="false">IFERROR(N(C1145)-N(D1145),"")</f>
        <v>8</v>
      </c>
      <c r="F1145" s="7" t="str">
        <f aca="false">IF(E1145&gt;0,"Yes",IF(E1145&lt;0,"No (Paternity higher)","Equal"))</f>
        <v>Yes</v>
      </c>
    </row>
    <row r="1146" customFormat="false" ht="15" hidden="false" customHeight="false" outlineLevel="0" collapsed="false">
      <c r="A1146" s="5" t="str">
        <f aca="false">'Source Data'!A1143</f>
        <v>MWWPR</v>
      </c>
      <c r="B1146" s="5" t="str">
        <f aca="false">'Source Data'!B1143</f>
        <v>Public Relations</v>
      </c>
      <c r="C1146" s="6" t="n">
        <f aca="false">'Source Data'!C1143</f>
        <v>12</v>
      </c>
      <c r="D1146" s="6" t="n">
        <f aca="false">'Source Data'!E1143</f>
        <v>12</v>
      </c>
      <c r="E1146" s="6" t="n">
        <f aca="false">IFERROR(N(C1146)-N(D1146),"")</f>
        <v>0</v>
      </c>
      <c r="F1146" s="7" t="str">
        <f aca="false">IF(E1146&gt;0,"Yes",IF(E1146&lt;0,"No (Paternity higher)","Equal"))</f>
        <v>Equal</v>
      </c>
    </row>
    <row r="1147" customFormat="false" ht="15" hidden="false" customHeight="false" outlineLevel="0" collapsed="false">
      <c r="A1147" s="5" t="str">
        <f aca="false">'Source Data'!A1144</f>
        <v>Virgo Health</v>
      </c>
      <c r="B1147" s="5" t="str">
        <f aca="false">'Source Data'!B1144</f>
        <v>Public Relations</v>
      </c>
      <c r="C1147" s="6" t="n">
        <f aca="false">'Source Data'!C1144</f>
        <v>4</v>
      </c>
      <c r="D1147" s="6" t="n">
        <f aca="false">'Source Data'!E1144</f>
        <v>0</v>
      </c>
      <c r="E1147" s="6" t="n">
        <f aca="false">IFERROR(N(C1147)-N(D1147),"")</f>
        <v>4</v>
      </c>
      <c r="F1147" s="7" t="str">
        <f aca="false">IF(E1147&gt;0,"Yes",IF(E1147&lt;0,"No (Paternity higher)","Equal"))</f>
        <v>Yes</v>
      </c>
    </row>
    <row r="1148" customFormat="false" ht="15" hidden="false" customHeight="false" outlineLevel="0" collapsed="false">
      <c r="A1148" s="5" t="str">
        <f aca="false">'Source Data'!A1145</f>
        <v>American City Business Journals</v>
      </c>
      <c r="B1148" s="5" t="str">
        <f aca="false">'Source Data'!B1145</f>
        <v>Publishing</v>
      </c>
      <c r="C1148" s="6" t="n">
        <f aca="false">'Source Data'!C1145</f>
        <v>12</v>
      </c>
      <c r="D1148" s="6" t="n">
        <f aca="false">'Source Data'!E1145</f>
        <v>0</v>
      </c>
      <c r="E1148" s="6" t="n">
        <f aca="false">IFERROR(N(C1148)-N(D1148),"")</f>
        <v>12</v>
      </c>
      <c r="F1148" s="7" t="str">
        <f aca="false">IF(E1148&gt;0,"Yes",IF(E1148&lt;0,"No (Paternity higher)","Equal"))</f>
        <v>Yes</v>
      </c>
    </row>
    <row r="1149" customFormat="false" ht="15" hidden="false" customHeight="false" outlineLevel="0" collapsed="false">
      <c r="A1149" s="5" t="str">
        <f aca="false">'Source Data'!A1146</f>
        <v>Axel Springer</v>
      </c>
      <c r="B1149" s="5" t="str">
        <f aca="false">'Source Data'!B1146</f>
        <v>Publishing</v>
      </c>
      <c r="C1149" s="6" t="n">
        <f aca="false">'Source Data'!C1146</f>
        <v>16</v>
      </c>
      <c r="D1149" s="6" t="n">
        <f aca="false">'Source Data'!E1146</f>
        <v>0</v>
      </c>
      <c r="E1149" s="6" t="n">
        <f aca="false">IFERROR(N(C1149)-N(D1149),"")</f>
        <v>16</v>
      </c>
      <c r="F1149" s="7" t="str">
        <f aca="false">IF(E1149&gt;0,"Yes",IF(E1149&lt;0,"No (Paternity higher)","Equal"))</f>
        <v>Yes</v>
      </c>
    </row>
    <row r="1150" customFormat="false" ht="15" hidden="false" customHeight="false" outlineLevel="0" collapsed="false">
      <c r="A1150" s="5" t="str">
        <f aca="false">'Source Data'!A1147</f>
        <v>Curriculum Associates</v>
      </c>
      <c r="B1150" s="5" t="str">
        <f aca="false">'Source Data'!B1147</f>
        <v>Publishing</v>
      </c>
      <c r="C1150" s="6" t="n">
        <f aca="false">'Source Data'!C1147</f>
        <v>12</v>
      </c>
      <c r="D1150" s="6" t="n">
        <f aca="false">'Source Data'!E1147</f>
        <v>0</v>
      </c>
      <c r="E1150" s="6" t="n">
        <f aca="false">IFERROR(N(C1150)-N(D1150),"")</f>
        <v>12</v>
      </c>
      <c r="F1150" s="7" t="str">
        <f aca="false">IF(E1150&gt;0,"Yes",IF(E1150&lt;0,"No (Paternity higher)","Equal"))</f>
        <v>Yes</v>
      </c>
    </row>
    <row r="1151" customFormat="false" ht="15" hidden="false" customHeight="false" outlineLevel="0" collapsed="false">
      <c r="A1151" s="5" t="str">
        <f aca="false">'Source Data'!A1148</f>
        <v>Macmillan Learning</v>
      </c>
      <c r="B1151" s="5" t="str">
        <f aca="false">'Source Data'!B1148</f>
        <v>Publishing</v>
      </c>
      <c r="C1151" s="6" t="n">
        <f aca="false">'Source Data'!C1148</f>
        <v>14</v>
      </c>
      <c r="D1151" s="6" t="n">
        <f aca="false">'Source Data'!E1148</f>
        <v>0</v>
      </c>
      <c r="E1151" s="6" t="n">
        <f aca="false">IFERROR(N(C1151)-N(D1151),"")</f>
        <v>14</v>
      </c>
      <c r="F1151" s="7" t="str">
        <f aca="false">IF(E1151&gt;0,"Yes",IF(E1151&lt;0,"No (Paternity higher)","Equal"))</f>
        <v>Yes</v>
      </c>
    </row>
    <row r="1152" customFormat="false" ht="15" hidden="false" customHeight="false" outlineLevel="0" collapsed="false">
      <c r="A1152" s="5" t="str">
        <f aca="false">'Source Data'!A1149</f>
        <v>Mcgraw Hill</v>
      </c>
      <c r="B1152" s="5" t="str">
        <f aca="false">'Source Data'!B1149</f>
        <v>Publishing</v>
      </c>
      <c r="C1152" s="6" t="n">
        <f aca="false">'Source Data'!C1149</f>
        <v>10.5</v>
      </c>
      <c r="D1152" s="6" t="n">
        <f aca="false">'Source Data'!E1149</f>
        <v>0</v>
      </c>
      <c r="E1152" s="6" t="n">
        <f aca="false">IFERROR(N(C1152)-N(D1152),"")</f>
        <v>10.5</v>
      </c>
      <c r="F1152" s="7" t="str">
        <f aca="false">IF(E1152&gt;0,"Yes",IF(E1152&lt;0,"No (Paternity higher)","Equal"))</f>
        <v>Yes</v>
      </c>
    </row>
    <row r="1153" customFormat="false" ht="15" hidden="false" customHeight="false" outlineLevel="0" collapsed="false">
      <c r="A1153" s="5" t="str">
        <f aca="false">'Source Data'!A1150</f>
        <v>Penguin Random House</v>
      </c>
      <c r="B1153" s="5" t="str">
        <f aca="false">'Source Data'!B1150</f>
        <v>Publishing</v>
      </c>
      <c r="C1153" s="6" t="n">
        <f aca="false">'Source Data'!C1150</f>
        <v>10</v>
      </c>
      <c r="D1153" s="6" t="n">
        <f aca="false">'Source Data'!E1150</f>
        <v>0</v>
      </c>
      <c r="E1153" s="6" t="n">
        <f aca="false">IFERROR(N(C1153)-N(D1153),"")</f>
        <v>10</v>
      </c>
      <c r="F1153" s="7" t="str">
        <f aca="false">IF(E1153&gt;0,"Yes",IF(E1153&lt;0,"No (Paternity higher)","Equal"))</f>
        <v>Yes</v>
      </c>
    </row>
    <row r="1154" customFormat="false" ht="15" hidden="false" customHeight="false" outlineLevel="0" collapsed="false">
      <c r="A1154" s="5" t="str">
        <f aca="false">'Source Data'!A1151</f>
        <v>NavigatorCRE</v>
      </c>
      <c r="B1154" s="5" t="str">
        <f aca="false">'Source Data'!B1151</f>
        <v>Real Estate</v>
      </c>
      <c r="C1154" s="6" t="n">
        <f aca="false">'Source Data'!C1151</f>
        <v>6</v>
      </c>
      <c r="D1154" s="6" t="n">
        <f aca="false">'Source Data'!E1151</f>
        <v>0</v>
      </c>
      <c r="E1154" s="6" t="n">
        <f aca="false">IFERROR(N(C1154)-N(D1154),"")</f>
        <v>6</v>
      </c>
      <c r="F1154" s="7" t="str">
        <f aca="false">IF(E1154&gt;0,"Yes",IF(E1154&lt;0,"No (Paternity higher)","Equal"))</f>
        <v>Yes</v>
      </c>
    </row>
    <row r="1155" customFormat="false" ht="15" hidden="false" customHeight="false" outlineLevel="0" collapsed="false">
      <c r="A1155" s="5" t="str">
        <f aca="false">'Source Data'!A1152</f>
        <v>Keller Williams Realty</v>
      </c>
      <c r="B1155" s="5" t="str">
        <f aca="false">'Source Data'!B1152</f>
        <v>Real Estate: Brokers</v>
      </c>
      <c r="C1155" s="6" t="n">
        <f aca="false">'Source Data'!C1152</f>
        <v>13</v>
      </c>
      <c r="D1155" s="6" t="n">
        <f aca="false">'Source Data'!E1152</f>
        <v>0</v>
      </c>
      <c r="E1155" s="6" t="n">
        <f aca="false">IFERROR(N(C1155)-N(D1155),"")</f>
        <v>13</v>
      </c>
      <c r="F1155" s="7" t="str">
        <f aca="false">IF(E1155&gt;0,"Yes",IF(E1155&lt;0,"No (Paternity higher)","Equal"))</f>
        <v>Yes</v>
      </c>
    </row>
    <row r="1156" customFormat="false" ht="15" hidden="false" customHeight="false" outlineLevel="0" collapsed="false">
      <c r="A1156" s="5" t="str">
        <f aca="false">'Source Data'!A1153</f>
        <v>Redfin</v>
      </c>
      <c r="B1156" s="5" t="str">
        <f aca="false">'Source Data'!B1153</f>
        <v>Real Estate: Brokers</v>
      </c>
      <c r="C1156" s="6" t="n">
        <f aca="false">'Source Data'!C1153</f>
        <v>16</v>
      </c>
      <c r="D1156" s="6" t="n">
        <f aca="false">'Source Data'!E1153</f>
        <v>0</v>
      </c>
      <c r="E1156" s="6" t="n">
        <f aca="false">IFERROR(N(C1156)-N(D1156),"")</f>
        <v>16</v>
      </c>
      <c r="F1156" s="7" t="str">
        <f aca="false">IF(E1156&gt;0,"Yes",IF(E1156&lt;0,"No (Paternity higher)","Equal"))</f>
        <v>Yes</v>
      </c>
    </row>
    <row r="1157" customFormat="false" ht="15" hidden="false" customHeight="false" outlineLevel="0" collapsed="false">
      <c r="A1157" s="5" t="str">
        <f aca="false">'Source Data'!A1154</f>
        <v>Square Yards</v>
      </c>
      <c r="B1157" s="5" t="str">
        <f aca="false">'Source Data'!B1154</f>
        <v>Real Estate: Brokers</v>
      </c>
      <c r="C1157" s="6" t="n">
        <f aca="false">'Source Data'!C1154</f>
        <v>12</v>
      </c>
      <c r="D1157" s="6" t="n">
        <f aca="false">'Source Data'!E1154</f>
        <v>0</v>
      </c>
      <c r="E1157" s="6" t="n">
        <f aca="false">IFERROR(N(C1157)-N(D1157),"")</f>
        <v>12</v>
      </c>
      <c r="F1157" s="7" t="str">
        <f aca="false">IF(E1157&gt;0,"Yes",IF(E1157&lt;0,"No (Paternity higher)","Equal"))</f>
        <v>Yes</v>
      </c>
    </row>
    <row r="1158" customFormat="false" ht="15" hidden="false" customHeight="false" outlineLevel="0" collapsed="false">
      <c r="A1158" s="5" t="str">
        <f aca="false">'Source Data'!A1155</f>
        <v>Wyse Home Team Realty</v>
      </c>
      <c r="B1158" s="5" t="str">
        <f aca="false">'Source Data'!B1155</f>
        <v>Real Estate: Brokers</v>
      </c>
      <c r="C1158" s="6" t="n">
        <f aca="false">'Source Data'!C1155</f>
        <v>4</v>
      </c>
      <c r="D1158" s="6" t="n">
        <f aca="false">'Source Data'!E1155</f>
        <v>0</v>
      </c>
      <c r="E1158" s="6" t="n">
        <f aca="false">IFERROR(N(C1158)-N(D1158),"")</f>
        <v>4</v>
      </c>
      <c r="F1158" s="7" t="str">
        <f aca="false">IF(E1158&gt;0,"Yes",IF(E1158&lt;0,"No (Paternity higher)","Equal"))</f>
        <v>Yes</v>
      </c>
    </row>
    <row r="1159" customFormat="false" ht="15" hidden="false" customHeight="false" outlineLevel="0" collapsed="false">
      <c r="A1159" s="5" t="str">
        <f aca="false">'Source Data'!A1156</f>
        <v>CBRE</v>
      </c>
      <c r="B1159" s="5" t="str">
        <f aca="false">'Source Data'!B1156</f>
        <v>Real Estate: Development &amp; Management</v>
      </c>
      <c r="C1159" s="6" t="n">
        <f aca="false">'Source Data'!C1156</f>
        <v>6</v>
      </c>
      <c r="D1159" s="6" t="n">
        <f aca="false">'Source Data'!E1156</f>
        <v>0</v>
      </c>
      <c r="E1159" s="6" t="n">
        <f aca="false">IFERROR(N(C1159)-N(D1159),"")</f>
        <v>6</v>
      </c>
      <c r="F1159" s="7" t="str">
        <f aca="false">IF(E1159&gt;0,"Yes",IF(E1159&lt;0,"No (Paternity higher)","Equal"))</f>
        <v>Yes</v>
      </c>
    </row>
    <row r="1160" customFormat="false" ht="15" hidden="false" customHeight="false" outlineLevel="0" collapsed="false">
      <c r="A1160" s="5" t="str">
        <f aca="false">'Source Data'!A1157</f>
        <v>HILLS Properties</v>
      </c>
      <c r="B1160" s="5" t="str">
        <f aca="false">'Source Data'!B1157</f>
        <v>Real Estate: Development &amp; Management</v>
      </c>
      <c r="C1160" s="6" t="n">
        <f aca="false">'Source Data'!C1157</f>
        <v>8</v>
      </c>
      <c r="D1160" s="6" t="n">
        <f aca="false">'Source Data'!E1157</f>
        <v>0</v>
      </c>
      <c r="E1160" s="6" t="n">
        <f aca="false">IFERROR(N(C1160)-N(D1160),"")</f>
        <v>8</v>
      </c>
      <c r="F1160" s="7" t="str">
        <f aca="false">IF(E1160&gt;0,"Yes",IF(E1160&lt;0,"No (Paternity higher)","Equal"))</f>
        <v>Yes</v>
      </c>
    </row>
    <row r="1161" customFormat="false" ht="15" hidden="false" customHeight="false" outlineLevel="0" collapsed="false">
      <c r="A1161" s="5" t="str">
        <f aca="false">'Source Data'!A1158</f>
        <v>Jones Lang LaSalle</v>
      </c>
      <c r="B1161" s="5" t="str">
        <f aca="false">'Source Data'!B1158</f>
        <v>Real Estate: Development &amp; Management</v>
      </c>
      <c r="C1161" s="6" t="n">
        <f aca="false">'Source Data'!C1158</f>
        <v>4</v>
      </c>
      <c r="D1161" s="6" t="n">
        <f aca="false">'Source Data'!E1158</f>
        <v>0</v>
      </c>
      <c r="E1161" s="6" t="n">
        <f aca="false">IFERROR(N(C1161)-N(D1161),"")</f>
        <v>4</v>
      </c>
      <c r="F1161" s="7" t="str">
        <f aca="false">IF(E1161&gt;0,"Yes",IF(E1161&lt;0,"No (Paternity higher)","Equal"))</f>
        <v>Yes</v>
      </c>
    </row>
    <row r="1162" customFormat="false" ht="15" hidden="false" customHeight="false" outlineLevel="0" collapsed="false">
      <c r="A1162" s="5" t="str">
        <f aca="false">'Source Data'!A1159</f>
        <v>Ryan Companies</v>
      </c>
      <c r="B1162" s="5" t="str">
        <f aca="false">'Source Data'!B1159</f>
        <v>Real Estate: Development &amp; Management</v>
      </c>
      <c r="C1162" s="6" t="n">
        <f aca="false">'Source Data'!C1159</f>
        <v>12</v>
      </c>
      <c r="D1162" s="6" t="n">
        <f aca="false">'Source Data'!E1159</f>
        <v>0</v>
      </c>
      <c r="E1162" s="6" t="n">
        <f aca="false">IFERROR(N(C1162)-N(D1162),"")</f>
        <v>12</v>
      </c>
      <c r="F1162" s="7" t="str">
        <f aca="false">IF(E1162&gt;0,"Yes",IF(E1162&lt;0,"No (Paternity higher)","Equal"))</f>
        <v>Yes</v>
      </c>
    </row>
    <row r="1163" customFormat="false" ht="15" hidden="false" customHeight="false" outlineLevel="0" collapsed="false">
      <c r="A1163" s="5" t="str">
        <f aca="false">'Source Data'!A1160</f>
        <v>The Howard Hughes Corporation</v>
      </c>
      <c r="B1163" s="5" t="str">
        <f aca="false">'Source Data'!B1160</f>
        <v>Real Estate: Development &amp; Management</v>
      </c>
      <c r="C1163" s="6" t="n">
        <f aca="false">'Source Data'!C1160</f>
        <v>12</v>
      </c>
      <c r="D1163" s="6" t="n">
        <f aca="false">'Source Data'!E1160</f>
        <v>0</v>
      </c>
      <c r="E1163" s="6" t="n">
        <f aca="false">IFERROR(N(C1163)-N(D1163),"")</f>
        <v>12</v>
      </c>
      <c r="F1163" s="7" t="str">
        <f aca="false">IF(E1163&gt;0,"Yes",IF(E1163&lt;0,"No (Paternity higher)","Equal"))</f>
        <v>Yes</v>
      </c>
    </row>
    <row r="1164" customFormat="false" ht="15" hidden="false" customHeight="false" outlineLevel="0" collapsed="false">
      <c r="A1164" s="5" t="str">
        <f aca="false">'Source Data'!A1161</f>
        <v>David Weekley Homes</v>
      </c>
      <c r="B1164" s="5" t="str">
        <f aca="false">'Source Data'!B1161</f>
        <v>Real Estate: Home Building</v>
      </c>
      <c r="C1164" s="6" t="n">
        <f aca="false">'Source Data'!C1161</f>
        <v>12</v>
      </c>
      <c r="D1164" s="6" t="n">
        <f aca="false">'Source Data'!E1161</f>
        <v>0</v>
      </c>
      <c r="E1164" s="6" t="n">
        <f aca="false">IFERROR(N(C1164)-N(D1164),"")</f>
        <v>12</v>
      </c>
      <c r="F1164" s="7" t="str">
        <f aca="false">IF(E1164&gt;0,"Yes",IF(E1164&lt;0,"No (Paternity higher)","Equal"))</f>
        <v>Yes</v>
      </c>
    </row>
    <row r="1165" customFormat="false" ht="15" hidden="false" customHeight="false" outlineLevel="0" collapsed="false">
      <c r="A1165" s="5" t="str">
        <f aca="false">'Source Data'!A1162</f>
        <v>PGIM Real Estate</v>
      </c>
      <c r="B1165" s="5" t="str">
        <f aca="false">'Source Data'!B1162</f>
        <v>Real Estate: Investment Trust</v>
      </c>
      <c r="C1165" s="6" t="n">
        <f aca="false">'Source Data'!C1162</f>
        <v>8</v>
      </c>
      <c r="D1165" s="6" t="n">
        <f aca="false">'Source Data'!E1162</f>
        <v>0</v>
      </c>
      <c r="E1165" s="6" t="n">
        <f aca="false">IFERROR(N(C1165)-N(D1165),"")</f>
        <v>8</v>
      </c>
      <c r="F1165" s="7" t="str">
        <f aca="false">IF(E1165&gt;0,"Yes",IF(E1165&lt;0,"No (Paternity higher)","Equal"))</f>
        <v>Yes</v>
      </c>
    </row>
    <row r="1166" customFormat="false" ht="15" hidden="false" customHeight="false" outlineLevel="0" collapsed="false">
      <c r="A1166" s="5" t="str">
        <f aca="false">'Source Data'!A1163</f>
        <v>Uniti</v>
      </c>
      <c r="B1166" s="5" t="str">
        <f aca="false">'Source Data'!B1163</f>
        <v>Real Estate: Investment Trust</v>
      </c>
      <c r="C1166" s="6" t="n">
        <f aca="false">'Source Data'!C1163</f>
        <v>4</v>
      </c>
      <c r="D1166" s="6" t="n">
        <f aca="false">'Source Data'!E1163</f>
        <v>0</v>
      </c>
      <c r="E1166" s="6" t="n">
        <f aca="false">IFERROR(N(C1166)-N(D1166),"")</f>
        <v>4</v>
      </c>
      <c r="F1166" s="7" t="str">
        <f aca="false">IF(E1166&gt;0,"Yes",IF(E1166&lt;0,"No (Paternity higher)","Equal"))</f>
        <v>Yes</v>
      </c>
    </row>
    <row r="1167" customFormat="false" ht="15" hidden="false" customHeight="false" outlineLevel="0" collapsed="false">
      <c r="A1167" s="5" t="str">
        <f aca="false">'Source Data'!A1164</f>
        <v>Blanton Turner</v>
      </c>
      <c r="B1167" s="5" t="str">
        <f aca="false">'Source Data'!B1164</f>
        <v>Real Estate: Management</v>
      </c>
      <c r="C1167" s="6" t="n">
        <f aca="false">'Source Data'!C1164</f>
        <v>4</v>
      </c>
      <c r="D1167" s="6" t="n">
        <f aca="false">'Source Data'!E1164</f>
        <v>0</v>
      </c>
      <c r="E1167" s="6" t="n">
        <f aca="false">IFERROR(N(C1167)-N(D1167),"")</f>
        <v>4</v>
      </c>
      <c r="F1167" s="7" t="str">
        <f aca="false">IF(E1167&gt;0,"Yes",IF(E1167&lt;0,"No (Paternity higher)","Equal"))</f>
        <v>Yes</v>
      </c>
    </row>
    <row r="1168" customFormat="false" ht="15" hidden="false" customHeight="false" outlineLevel="0" collapsed="false">
      <c r="A1168" s="5" t="str">
        <f aca="false">'Source Data'!A1165</f>
        <v>Love's</v>
      </c>
      <c r="B1168" s="5" t="str">
        <f aca="false">'Source Data'!B1165</f>
        <v>Retail: Convenience Store</v>
      </c>
      <c r="C1168" s="6" t="n">
        <f aca="false">'Source Data'!C1165</f>
        <v>8</v>
      </c>
      <c r="D1168" s="6" t="n">
        <f aca="false">'Source Data'!E1165</f>
        <v>0</v>
      </c>
      <c r="E1168" s="6" t="n">
        <f aca="false">IFERROR(N(C1168)-N(D1168),"")</f>
        <v>8</v>
      </c>
      <c r="F1168" s="7" t="str">
        <f aca="false">IF(E1168&gt;0,"Yes",IF(E1168&lt;0,"No (Paternity higher)","Equal"))</f>
        <v>Yes</v>
      </c>
    </row>
    <row r="1169" customFormat="false" ht="15" hidden="false" customHeight="false" outlineLevel="0" collapsed="false">
      <c r="A1169" s="5" t="str">
        <f aca="false">'Source Data'!A1166</f>
        <v>Hallmark Cards</v>
      </c>
      <c r="B1169" s="5" t="str">
        <f aca="false">'Source Data'!B1166</f>
        <v>Retail: Crafts, Fabrics &amp; Party Supplies</v>
      </c>
      <c r="C1169" s="6" t="n">
        <f aca="false">'Source Data'!C1166</f>
        <v>8</v>
      </c>
      <c r="D1169" s="6" t="n">
        <f aca="false">'Source Data'!E1166</f>
        <v>0</v>
      </c>
      <c r="E1169" s="6" t="n">
        <f aca="false">IFERROR(N(C1169)-N(D1169),"")</f>
        <v>8</v>
      </c>
      <c r="F1169" s="7" t="str">
        <f aca="false">IF(E1169&gt;0,"Yes",IF(E1169&lt;0,"No (Paternity higher)","Equal"))</f>
        <v>Yes</v>
      </c>
    </row>
    <row r="1170" customFormat="false" ht="15" hidden="false" customHeight="false" outlineLevel="0" collapsed="false">
      <c r="A1170" s="5" t="str">
        <f aca="false">'Source Data'!A1167</f>
        <v>Michaels</v>
      </c>
      <c r="B1170" s="5" t="str">
        <f aca="false">'Source Data'!B1167</f>
        <v>Retail: Crafts, Fabrics &amp; Party Supplies</v>
      </c>
      <c r="C1170" s="6" t="n">
        <f aca="false">'Source Data'!C1167</f>
        <v>8</v>
      </c>
      <c r="D1170" s="6" t="n">
        <f aca="false">'Source Data'!E1167</f>
        <v>0</v>
      </c>
      <c r="E1170" s="6" t="n">
        <f aca="false">IFERROR(N(C1170)-N(D1170),"")</f>
        <v>8</v>
      </c>
      <c r="F1170" s="7" t="str">
        <f aca="false">IF(E1170&gt;0,"Yes",IF(E1170&lt;0,"No (Paternity higher)","Equal"))</f>
        <v>Yes</v>
      </c>
    </row>
    <row r="1171" customFormat="false" ht="15" hidden="false" customHeight="false" outlineLevel="0" collapsed="false">
      <c r="A1171" s="5" t="str">
        <f aca="false">'Source Data'!A1168</f>
        <v>Belk</v>
      </c>
      <c r="B1171" s="5" t="str">
        <f aca="false">'Source Data'!B1168</f>
        <v>Retail: Department Store</v>
      </c>
      <c r="C1171" s="6" t="n">
        <f aca="false">'Source Data'!C1168</f>
        <v>8</v>
      </c>
      <c r="D1171" s="6" t="n">
        <f aca="false">'Source Data'!E1168</f>
        <v>0</v>
      </c>
      <c r="E1171" s="6" t="n">
        <f aca="false">IFERROR(N(C1171)-N(D1171),"")</f>
        <v>8</v>
      </c>
      <c r="F1171" s="7" t="str">
        <f aca="false">IF(E1171&gt;0,"Yes",IF(E1171&lt;0,"No (Paternity higher)","Equal"))</f>
        <v>Yes</v>
      </c>
    </row>
    <row r="1172" customFormat="false" ht="15" hidden="false" customHeight="false" outlineLevel="0" collapsed="false">
      <c r="A1172" s="5" t="str">
        <f aca="false">'Source Data'!A1169</f>
        <v>Bloomingdale's</v>
      </c>
      <c r="B1172" s="5" t="str">
        <f aca="false">'Source Data'!B1169</f>
        <v>Retail: Department Store</v>
      </c>
      <c r="C1172" s="6" t="n">
        <f aca="false">'Source Data'!C1169</f>
        <v>12</v>
      </c>
      <c r="D1172" s="6" t="n">
        <f aca="false">'Source Data'!E1169</f>
        <v>0</v>
      </c>
      <c r="E1172" s="6" t="n">
        <f aca="false">IFERROR(N(C1172)-N(D1172),"")</f>
        <v>12</v>
      </c>
      <c r="F1172" s="7" t="str">
        <f aca="false">IF(E1172&gt;0,"Yes",IF(E1172&lt;0,"No (Paternity higher)","Equal"))</f>
        <v>Yes</v>
      </c>
    </row>
    <row r="1173" customFormat="false" ht="15" hidden="false" customHeight="false" outlineLevel="0" collapsed="false">
      <c r="A1173" s="5" t="str">
        <f aca="false">'Source Data'!A1170</f>
        <v>Macy's</v>
      </c>
      <c r="B1173" s="5" t="str">
        <f aca="false">'Source Data'!B1170</f>
        <v>Retail: Department Store</v>
      </c>
      <c r="C1173" s="6" t="n">
        <f aca="false">'Source Data'!C1170</f>
        <v>11.5</v>
      </c>
      <c r="D1173" s="6" t="n">
        <f aca="false">'Source Data'!E1170</f>
        <v>0</v>
      </c>
      <c r="E1173" s="6" t="n">
        <f aca="false">IFERROR(N(C1173)-N(D1173),"")</f>
        <v>11.5</v>
      </c>
      <c r="F1173" s="7" t="str">
        <f aca="false">IF(E1173&gt;0,"Yes",IF(E1173&lt;0,"No (Paternity higher)","Equal"))</f>
        <v>Yes</v>
      </c>
    </row>
    <row r="1174" customFormat="false" ht="15" hidden="false" customHeight="false" outlineLevel="0" collapsed="false">
      <c r="A1174" s="5" t="str">
        <f aca="false">'Source Data'!A1171</f>
        <v>Myer</v>
      </c>
      <c r="B1174" s="5" t="str">
        <f aca="false">'Source Data'!B1171</f>
        <v>Retail: Department Store</v>
      </c>
      <c r="C1174" s="6" t="n">
        <f aca="false">'Source Data'!C1171</f>
        <v>12</v>
      </c>
      <c r="D1174" s="6" t="n">
        <f aca="false">'Source Data'!E1171</f>
        <v>0</v>
      </c>
      <c r="E1174" s="6" t="n">
        <f aca="false">IFERROR(N(C1174)-N(D1174),"")</f>
        <v>12</v>
      </c>
      <c r="F1174" s="7" t="str">
        <f aca="false">IF(E1174&gt;0,"Yes",IF(E1174&lt;0,"No (Paternity higher)","Equal"))</f>
        <v>Yes</v>
      </c>
    </row>
    <row r="1175" customFormat="false" ht="15" hidden="false" customHeight="false" outlineLevel="0" collapsed="false">
      <c r="A1175" s="5" t="str">
        <f aca="false">'Source Data'!A1172</f>
        <v>Nordstrom</v>
      </c>
      <c r="B1175" s="5" t="str">
        <f aca="false">'Source Data'!B1172</f>
        <v>Retail: Department Store</v>
      </c>
      <c r="C1175" s="6" t="n">
        <f aca="false">'Source Data'!C1172</f>
        <v>12</v>
      </c>
      <c r="D1175" s="6" t="n">
        <f aca="false">'Source Data'!E1172</f>
        <v>0</v>
      </c>
      <c r="E1175" s="6" t="n">
        <f aca="false">IFERROR(N(C1175)-N(D1175),"")</f>
        <v>12</v>
      </c>
      <c r="F1175" s="7" t="str">
        <f aca="false">IF(E1175&gt;0,"Yes",IF(E1175&lt;0,"No (Paternity higher)","Equal"))</f>
        <v>Yes</v>
      </c>
    </row>
    <row r="1176" customFormat="false" ht="15" hidden="false" customHeight="false" outlineLevel="0" collapsed="false">
      <c r="A1176" s="5" t="str">
        <f aca="false">'Source Data'!A1173</f>
        <v>Aldi USA</v>
      </c>
      <c r="B1176" s="5" t="str">
        <f aca="false">'Source Data'!B1173</f>
        <v>Retail: Discount Store</v>
      </c>
      <c r="C1176" s="6" t="n">
        <f aca="false">'Source Data'!C1173</f>
        <v>6</v>
      </c>
      <c r="D1176" s="6" t="n">
        <f aca="false">'Source Data'!E1173</f>
        <v>0</v>
      </c>
      <c r="E1176" s="6" t="n">
        <f aca="false">IFERROR(N(C1176)-N(D1176),"")</f>
        <v>6</v>
      </c>
      <c r="F1176" s="7" t="str">
        <f aca="false">IF(E1176&gt;0,"Yes",IF(E1176&lt;0,"No (Paternity higher)","Equal"))</f>
        <v>Yes</v>
      </c>
    </row>
    <row r="1177" customFormat="false" ht="15" hidden="false" customHeight="false" outlineLevel="0" collapsed="false">
      <c r="A1177" s="5" t="str">
        <f aca="false">'Source Data'!A1174</f>
        <v>BJs Wholesale Club</v>
      </c>
      <c r="B1177" s="5" t="str">
        <f aca="false">'Source Data'!B1174</f>
        <v>Retail: Discount Store</v>
      </c>
      <c r="C1177" s="6" t="n">
        <f aca="false">'Source Data'!C1174</f>
        <v>10</v>
      </c>
      <c r="D1177" s="6" t="n">
        <f aca="false">'Source Data'!E1174</f>
        <v>0</v>
      </c>
      <c r="E1177" s="6" t="n">
        <f aca="false">IFERROR(N(C1177)-N(D1177),"")</f>
        <v>10</v>
      </c>
      <c r="F1177" s="7" t="str">
        <f aca="false">IF(E1177&gt;0,"Yes",IF(E1177&lt;0,"No (Paternity higher)","Equal"))</f>
        <v>Yes</v>
      </c>
    </row>
    <row r="1178" customFormat="false" ht="15" hidden="false" customHeight="false" outlineLevel="0" collapsed="false">
      <c r="A1178" s="5" t="str">
        <f aca="false">'Source Data'!A1175</f>
        <v>Costco</v>
      </c>
      <c r="B1178" s="5" t="str">
        <f aca="false">'Source Data'!B1175</f>
        <v>Retail: Discount Store</v>
      </c>
      <c r="C1178" s="6" t="n">
        <f aca="false">'Source Data'!C1175</f>
        <v>8</v>
      </c>
      <c r="D1178" s="6" t="n">
        <f aca="false">'Source Data'!E1175</f>
        <v>0</v>
      </c>
      <c r="E1178" s="6" t="n">
        <f aca="false">IFERROR(N(C1178)-N(D1178),"")</f>
        <v>8</v>
      </c>
      <c r="F1178" s="7" t="str">
        <f aca="false">IF(E1178&gt;0,"Yes",IF(E1178&lt;0,"No (Paternity higher)","Equal"))</f>
        <v>Yes</v>
      </c>
    </row>
    <row r="1179" customFormat="false" ht="15" hidden="false" customHeight="false" outlineLevel="0" collapsed="false">
      <c r="A1179" s="5" t="str">
        <f aca="false">'Source Data'!A1176</f>
        <v>Dollar General</v>
      </c>
      <c r="B1179" s="5" t="str">
        <f aca="false">'Source Data'!B1176</f>
        <v>Retail: Discount Store</v>
      </c>
      <c r="C1179" s="6" t="n">
        <f aca="false">'Source Data'!C1176</f>
        <v>8</v>
      </c>
      <c r="D1179" s="6" t="n">
        <f aca="false">'Source Data'!E1176</f>
        <v>0</v>
      </c>
      <c r="E1179" s="6" t="n">
        <f aca="false">IFERROR(N(C1179)-N(D1179),"")</f>
        <v>8</v>
      </c>
      <c r="F1179" s="7" t="str">
        <f aca="false">IF(E1179&gt;0,"Yes",IF(E1179&lt;0,"No (Paternity higher)","Equal"))</f>
        <v>Yes</v>
      </c>
    </row>
    <row r="1180" customFormat="false" ht="15" hidden="false" customHeight="false" outlineLevel="0" collapsed="false">
      <c r="A1180" s="5" t="str">
        <f aca="false">'Source Data'!A1177</f>
        <v>Ross Stores</v>
      </c>
      <c r="B1180" s="5" t="str">
        <f aca="false">'Source Data'!B1177</f>
        <v>Retail: Discount Store</v>
      </c>
      <c r="C1180" s="6" t="n">
        <f aca="false">'Source Data'!C1177</f>
        <v>6</v>
      </c>
      <c r="D1180" s="6" t="n">
        <f aca="false">'Source Data'!E1177</f>
        <v>0</v>
      </c>
      <c r="E1180" s="6" t="n">
        <f aca="false">IFERROR(N(C1180)-N(D1180),"")</f>
        <v>6</v>
      </c>
      <c r="F1180" s="7" t="str">
        <f aca="false">IF(E1180&gt;0,"Yes",IF(E1180&lt;0,"No (Paternity higher)","Equal"))</f>
        <v>Yes</v>
      </c>
    </row>
    <row r="1181" customFormat="false" ht="15" hidden="false" customHeight="false" outlineLevel="0" collapsed="false">
      <c r="A1181" s="5" t="str">
        <f aca="false">'Source Data'!A1178</f>
        <v>Sprouts Farmers Market</v>
      </c>
      <c r="B1181" s="5" t="str">
        <f aca="false">'Source Data'!B1178</f>
        <v>Retail: Discount Store</v>
      </c>
      <c r="C1181" s="6" t="n">
        <f aca="false">'Source Data'!C1178</f>
        <v>3.5</v>
      </c>
      <c r="D1181" s="6" t="n">
        <f aca="false">'Source Data'!E1178</f>
        <v>0</v>
      </c>
      <c r="E1181" s="6" t="n">
        <f aca="false">IFERROR(N(C1181)-N(D1181),"")</f>
        <v>3.5</v>
      </c>
      <c r="F1181" s="7" t="str">
        <f aca="false">IF(E1181&gt;0,"Yes",IF(E1181&lt;0,"No (Paternity higher)","Equal"))</f>
        <v>Yes</v>
      </c>
    </row>
    <row r="1182" customFormat="false" ht="15" hidden="false" customHeight="false" outlineLevel="0" collapsed="false">
      <c r="A1182" s="5" t="str">
        <f aca="false">'Source Data'!A1179</f>
        <v>Best Buy</v>
      </c>
      <c r="B1182" s="5" t="str">
        <f aca="false">'Source Data'!B1179</f>
        <v>Retail: Electronics</v>
      </c>
      <c r="C1182" s="6" t="n">
        <f aca="false">'Source Data'!C1179</f>
        <v>12</v>
      </c>
      <c r="D1182" s="6" t="n">
        <f aca="false">'Source Data'!E1179</f>
        <v>0</v>
      </c>
      <c r="E1182" s="6" t="n">
        <f aca="false">IFERROR(N(C1182)-N(D1182),"")</f>
        <v>12</v>
      </c>
      <c r="F1182" s="7" t="str">
        <f aca="false">IF(E1182&gt;0,"Yes",IF(E1182&lt;0,"No (Paternity higher)","Equal"))</f>
        <v>Yes</v>
      </c>
    </row>
    <row r="1183" customFormat="false" ht="15" hidden="false" customHeight="false" outlineLevel="0" collapsed="false">
      <c r="A1183" s="5" t="str">
        <f aca="false">'Source Data'!A1180</f>
        <v>Crutchfield</v>
      </c>
      <c r="B1183" s="5" t="str">
        <f aca="false">'Source Data'!B1180</f>
        <v>Retail: Electronics</v>
      </c>
      <c r="C1183" s="6" t="n">
        <f aca="false">'Source Data'!C1180</f>
        <v>2</v>
      </c>
      <c r="D1183" s="6" t="n">
        <f aca="false">'Source Data'!E1180</f>
        <v>0</v>
      </c>
      <c r="E1183" s="6" t="n">
        <f aca="false">IFERROR(N(C1183)-N(D1183),"")</f>
        <v>2</v>
      </c>
      <c r="F1183" s="7" t="str">
        <f aca="false">IF(E1183&gt;0,"Yes",IF(E1183&lt;0,"No (Paternity higher)","Equal"))</f>
        <v>Yes</v>
      </c>
    </row>
    <row r="1184" customFormat="false" ht="15" hidden="false" customHeight="false" outlineLevel="0" collapsed="false">
      <c r="A1184" s="5" t="str">
        <f aca="false">'Source Data'!A1181</f>
        <v>Telstra</v>
      </c>
      <c r="B1184" s="5" t="str">
        <f aca="false">'Source Data'!B1181</f>
        <v>Retail: Electronics</v>
      </c>
      <c r="C1184" s="6" t="n">
        <f aca="false">'Source Data'!C1181</f>
        <v>18</v>
      </c>
      <c r="D1184" s="6" t="n">
        <f aca="false">'Source Data'!E1181</f>
        <v>0</v>
      </c>
      <c r="E1184" s="6" t="n">
        <f aca="false">IFERROR(N(C1184)-N(D1184),"")</f>
        <v>18</v>
      </c>
      <c r="F1184" s="7" t="str">
        <f aca="false">IF(E1184&gt;0,"Yes",IF(E1184&lt;0,"No (Paternity higher)","Equal"))</f>
        <v>Yes</v>
      </c>
    </row>
    <row r="1185" customFormat="false" ht="15" hidden="false" customHeight="false" outlineLevel="0" collapsed="false">
      <c r="A1185" s="5" t="str">
        <f aca="false">'Source Data'!A1182</f>
        <v>Central Garden &amp; Pet</v>
      </c>
      <c r="B1185" s="5" t="str">
        <f aca="false">'Source Data'!B1182</f>
        <v>Retail: Furniture &amp; Home Improvement</v>
      </c>
      <c r="C1185" s="6" t="n">
        <f aca="false">'Source Data'!C1182</f>
        <v>6</v>
      </c>
      <c r="D1185" s="6" t="n">
        <f aca="false">'Source Data'!E1182</f>
        <v>0</v>
      </c>
      <c r="E1185" s="6" t="n">
        <f aca="false">IFERROR(N(C1185)-N(D1185),"")</f>
        <v>6</v>
      </c>
      <c r="F1185" s="7" t="str">
        <f aca="false">IF(E1185&gt;0,"Yes",IF(E1185&lt;0,"No (Paternity higher)","Equal"))</f>
        <v>Yes</v>
      </c>
    </row>
    <row r="1186" customFormat="false" ht="15" hidden="false" customHeight="false" outlineLevel="0" collapsed="false">
      <c r="A1186" s="5" t="str">
        <f aca="false">'Source Data'!A1183</f>
        <v>Floor &amp; Decor</v>
      </c>
      <c r="B1186" s="5" t="str">
        <f aca="false">'Source Data'!B1183</f>
        <v>Retail: Furniture &amp; Home Improvement</v>
      </c>
      <c r="C1186" s="6" t="n">
        <f aca="false">'Source Data'!C1183</f>
        <v>2</v>
      </c>
      <c r="D1186" s="6" t="n">
        <f aca="false">'Source Data'!E1183</f>
        <v>0</v>
      </c>
      <c r="E1186" s="6" t="n">
        <f aca="false">IFERROR(N(C1186)-N(D1186),"")</f>
        <v>2</v>
      </c>
      <c r="F1186" s="7" t="str">
        <f aca="false">IF(E1186&gt;0,"Yes",IF(E1186&lt;0,"No (Paternity higher)","Equal"))</f>
        <v>Yes</v>
      </c>
    </row>
    <row r="1187" customFormat="false" ht="15" hidden="false" customHeight="false" outlineLevel="0" collapsed="false">
      <c r="A1187" s="5" t="str">
        <f aca="false">'Source Data'!A1184</f>
        <v>Sleep Number</v>
      </c>
      <c r="B1187" s="5" t="str">
        <f aca="false">'Source Data'!B1184</f>
        <v>Retail: Furniture &amp; Home Improvement</v>
      </c>
      <c r="C1187" s="6" t="n">
        <f aca="false">'Source Data'!C1184</f>
        <v>4.5</v>
      </c>
      <c r="D1187" s="6" t="n">
        <f aca="false">'Source Data'!E1184</f>
        <v>0</v>
      </c>
      <c r="E1187" s="6" t="n">
        <f aca="false">IFERROR(N(C1187)-N(D1187),"")</f>
        <v>4.5</v>
      </c>
      <c r="F1187" s="7" t="str">
        <f aca="false">IF(E1187&gt;0,"Yes",IF(E1187&lt;0,"No (Paternity higher)","Equal"))</f>
        <v>Yes</v>
      </c>
    </row>
    <row r="1188" customFormat="false" ht="15" hidden="false" customHeight="false" outlineLevel="0" collapsed="false">
      <c r="A1188" s="5" t="str">
        <f aca="false">'Source Data'!A1185</f>
        <v>Williams Sonoma</v>
      </c>
      <c r="B1188" s="5" t="str">
        <f aca="false">'Source Data'!B1185</f>
        <v>Retail: Furniture &amp; Home Improvement</v>
      </c>
      <c r="C1188" s="6" t="n">
        <f aca="false">'Source Data'!C1185</f>
        <v>26</v>
      </c>
      <c r="D1188" s="6" t="n">
        <f aca="false">'Source Data'!E1185</f>
        <v>0</v>
      </c>
      <c r="E1188" s="6" t="n">
        <f aca="false">IFERROR(N(C1188)-N(D1188),"")</f>
        <v>26</v>
      </c>
      <c r="F1188" s="7" t="str">
        <f aca="false">IF(E1188&gt;0,"Yes",IF(E1188&lt;0,"No (Paternity higher)","Equal"))</f>
        <v>Yes</v>
      </c>
    </row>
    <row r="1189" customFormat="false" ht="15" hidden="false" customHeight="false" outlineLevel="0" collapsed="false">
      <c r="A1189" s="5" t="str">
        <f aca="false">'Source Data'!A1186</f>
        <v>Kroger</v>
      </c>
      <c r="B1189" s="5" t="str">
        <f aca="false">'Source Data'!B1186</f>
        <v>Retail: General Merchandise</v>
      </c>
      <c r="C1189" s="6" t="n">
        <f aca="false">'Source Data'!C1186</f>
        <v>8</v>
      </c>
      <c r="D1189" s="6" t="n">
        <f aca="false">'Source Data'!E1186</f>
        <v>0</v>
      </c>
      <c r="E1189" s="6" t="n">
        <f aca="false">IFERROR(N(C1189)-N(D1189),"")</f>
        <v>8</v>
      </c>
      <c r="F1189" s="7" t="str">
        <f aca="false">IF(E1189&gt;0,"Yes",IF(E1189&lt;0,"No (Paternity higher)","Equal"))</f>
        <v>Yes</v>
      </c>
    </row>
    <row r="1190" customFormat="false" ht="15" hidden="false" customHeight="false" outlineLevel="0" collapsed="false">
      <c r="A1190" s="5" t="str">
        <f aca="false">'Source Data'!A1187</f>
        <v>LoweÕs Home Improvement</v>
      </c>
      <c r="B1190" s="5" t="str">
        <f aca="false">'Source Data'!B1187</f>
        <v>Retail: General Merchandise</v>
      </c>
      <c r="C1190" s="6" t="n">
        <f aca="false">'Source Data'!C1187</f>
        <v>11</v>
      </c>
      <c r="D1190" s="6" t="n">
        <f aca="false">'Source Data'!E1187</f>
        <v>0</v>
      </c>
      <c r="E1190" s="6" t="n">
        <f aca="false">IFERROR(N(C1190)-N(D1190),"")</f>
        <v>11</v>
      </c>
      <c r="F1190" s="7" t="str">
        <f aca="false">IF(E1190&gt;0,"Yes",IF(E1190&lt;0,"No (Paternity higher)","Equal"))</f>
        <v>Yes</v>
      </c>
    </row>
    <row r="1191" customFormat="false" ht="15" hidden="false" customHeight="false" outlineLevel="0" collapsed="false">
      <c r="A1191" s="5" t="str">
        <f aca="false">'Source Data'!A1188</f>
        <v>Petco</v>
      </c>
      <c r="B1191" s="5" t="str">
        <f aca="false">'Source Data'!B1188</f>
        <v>Retail: General Merchandise</v>
      </c>
      <c r="C1191" s="6" t="n">
        <f aca="false">'Source Data'!C1188</f>
        <v>2</v>
      </c>
      <c r="D1191" s="6" t="n">
        <f aca="false">'Source Data'!E1188</f>
        <v>0</v>
      </c>
      <c r="E1191" s="6" t="n">
        <f aca="false">IFERROR(N(C1191)-N(D1191),"")</f>
        <v>2</v>
      </c>
      <c r="F1191" s="7" t="str">
        <f aca="false">IF(E1191&gt;0,"Yes",IF(E1191&lt;0,"No (Paternity higher)","Equal"))</f>
        <v>Yes</v>
      </c>
    </row>
    <row r="1192" customFormat="false" ht="15" hidden="false" customHeight="false" outlineLevel="0" collapsed="false">
      <c r="A1192" s="5" t="str">
        <f aca="false">'Source Data'!A1189</f>
        <v>Petsmart</v>
      </c>
      <c r="B1192" s="5" t="str">
        <f aca="false">'Source Data'!B1189</f>
        <v>Retail: General Merchandise</v>
      </c>
      <c r="C1192" s="6" t="n">
        <f aca="false">'Source Data'!C1189</f>
        <v>8</v>
      </c>
      <c r="D1192" s="6" t="n">
        <f aca="false">'Source Data'!E1189</f>
        <v>0</v>
      </c>
      <c r="E1192" s="6" t="n">
        <f aca="false">IFERROR(N(C1192)-N(D1192),"")</f>
        <v>8</v>
      </c>
      <c r="F1192" s="7" t="str">
        <f aca="false">IF(E1192&gt;0,"Yes",IF(E1192&lt;0,"No (Paternity higher)","Equal"))</f>
        <v>Yes</v>
      </c>
    </row>
    <row r="1193" customFormat="false" ht="15" hidden="false" customHeight="false" outlineLevel="0" collapsed="false">
      <c r="A1193" s="5" t="str">
        <f aca="false">'Source Data'!A1190</f>
        <v>Tesco PLC</v>
      </c>
      <c r="B1193" s="5" t="str">
        <f aca="false">'Source Data'!B1190</f>
        <v>Retail: General Merchandise</v>
      </c>
      <c r="C1193" s="6" t="n">
        <f aca="false">'Source Data'!C1190</f>
        <v>27</v>
      </c>
      <c r="D1193" s="6" t="n">
        <f aca="false">'Source Data'!E1190</f>
        <v>0</v>
      </c>
      <c r="E1193" s="6" t="n">
        <f aca="false">IFERROR(N(C1193)-N(D1193),"")</f>
        <v>27</v>
      </c>
      <c r="F1193" s="7" t="str">
        <f aca="false">IF(E1193&gt;0,"Yes",IF(E1193&lt;0,"No (Paternity higher)","Equal"))</f>
        <v>Yes</v>
      </c>
    </row>
    <row r="1194" customFormat="false" ht="15" hidden="false" customHeight="false" outlineLevel="0" collapsed="false">
      <c r="A1194" s="5" t="str">
        <f aca="false">'Source Data'!A1191</f>
        <v>Signet Jewelers</v>
      </c>
      <c r="B1194" s="5" t="str">
        <f aca="false">'Source Data'!B1191</f>
        <v>Retail: Jewelery</v>
      </c>
      <c r="C1194" s="6" t="n">
        <f aca="false">'Source Data'!C1191</f>
        <v>9</v>
      </c>
      <c r="D1194" s="6" t="n">
        <f aca="false">'Source Data'!E1191</f>
        <v>0</v>
      </c>
      <c r="E1194" s="6" t="n">
        <f aca="false">IFERROR(N(C1194)-N(D1194),"")</f>
        <v>9</v>
      </c>
      <c r="F1194" s="7" t="str">
        <f aca="false">IF(E1194&gt;0,"Yes",IF(E1194&lt;0,"No (Paternity higher)","Equal"))</f>
        <v>Yes</v>
      </c>
    </row>
    <row r="1195" customFormat="false" ht="15" hidden="false" customHeight="false" outlineLevel="0" collapsed="false">
      <c r="A1195" s="5" t="str">
        <f aca="false">'Source Data'!A1192</f>
        <v>Drizly</v>
      </c>
      <c r="B1195" s="5" t="str">
        <f aca="false">'Source Data'!B1192</f>
        <v>Retail: Liquor</v>
      </c>
      <c r="C1195" s="6" t="n">
        <f aca="false">'Source Data'!C1192</f>
        <v>6</v>
      </c>
      <c r="D1195" s="6" t="n">
        <f aca="false">'Source Data'!E1192</f>
        <v>0</v>
      </c>
      <c r="E1195" s="6" t="n">
        <f aca="false">IFERROR(N(C1195)-N(D1195),"")</f>
        <v>6</v>
      </c>
      <c r="F1195" s="7" t="str">
        <f aca="false">IF(E1195&gt;0,"Yes",IF(E1195&lt;0,"No (Paternity higher)","Equal"))</f>
        <v>Yes</v>
      </c>
    </row>
    <row r="1196" customFormat="false" ht="15" hidden="false" customHeight="false" outlineLevel="0" collapsed="false">
      <c r="A1196" s="5" t="str">
        <f aca="false">'Source Data'!A1193</f>
        <v>Custom Ink</v>
      </c>
      <c r="B1196" s="5" t="str">
        <f aca="false">'Source Data'!B1193</f>
        <v>Retail: Online</v>
      </c>
      <c r="C1196" s="6" t="n">
        <f aca="false">'Source Data'!C1193</f>
        <v>3</v>
      </c>
      <c r="D1196" s="6" t="n">
        <f aca="false">'Source Data'!E1193</f>
        <v>0</v>
      </c>
      <c r="E1196" s="6" t="n">
        <f aca="false">IFERROR(N(C1196)-N(D1196),"")</f>
        <v>3</v>
      </c>
      <c r="F1196" s="7" t="str">
        <f aca="false">IF(E1196&gt;0,"Yes",IF(E1196&lt;0,"No (Paternity higher)","Equal"))</f>
        <v>Yes</v>
      </c>
    </row>
    <row r="1197" customFormat="false" ht="15" hidden="false" customHeight="false" outlineLevel="0" collapsed="false">
      <c r="A1197" s="5" t="str">
        <f aca="false">'Source Data'!A1194</f>
        <v>Overstock.com</v>
      </c>
      <c r="B1197" s="5" t="str">
        <f aca="false">'Source Data'!B1194</f>
        <v>Retail: Online</v>
      </c>
      <c r="C1197" s="6" t="n">
        <f aca="false">'Source Data'!C1194</f>
        <v>4</v>
      </c>
      <c r="D1197" s="6" t="n">
        <f aca="false">'Source Data'!E1194</f>
        <v>4</v>
      </c>
      <c r="E1197" s="6" t="n">
        <f aca="false">IFERROR(N(C1197)-N(D1197),"")</f>
        <v>0</v>
      </c>
      <c r="F1197" s="7" t="str">
        <f aca="false">IF(E1197&gt;0,"Yes",IF(E1197&lt;0,"No (Paternity higher)","Equal"))</f>
        <v>Equal</v>
      </c>
    </row>
    <row r="1198" customFormat="false" ht="15" hidden="false" customHeight="false" outlineLevel="0" collapsed="false">
      <c r="A1198" s="5" t="str">
        <f aca="false">'Source Data'!A1195</f>
        <v>Zola</v>
      </c>
      <c r="B1198" s="5" t="str">
        <f aca="false">'Source Data'!B1195</f>
        <v>Retail: Online</v>
      </c>
      <c r="C1198" s="6" t="n">
        <f aca="false">'Source Data'!C1195</f>
        <v>12</v>
      </c>
      <c r="D1198" s="6" t="n">
        <f aca="false">'Source Data'!E1195</f>
        <v>0</v>
      </c>
      <c r="E1198" s="6" t="n">
        <f aca="false">IFERROR(N(C1198)-N(D1198),"")</f>
        <v>12</v>
      </c>
      <c r="F1198" s="7" t="str">
        <f aca="false">IF(E1198&gt;0,"Yes",IF(E1198&lt;0,"No (Paternity higher)","Equal"))</f>
        <v>Yes</v>
      </c>
    </row>
    <row r="1199" customFormat="false" ht="15" hidden="false" customHeight="false" outlineLevel="0" collapsed="false">
      <c r="A1199" s="5" t="str">
        <f aca="false">'Source Data'!A1196</f>
        <v>Academy Sports + Outdoors</v>
      </c>
      <c r="B1199" s="5" t="str">
        <f aca="false">'Source Data'!B1196</f>
        <v>Retail: Other</v>
      </c>
      <c r="C1199" s="6" t="n">
        <f aca="false">'Source Data'!C1196</f>
        <v>6</v>
      </c>
      <c r="D1199" s="6" t="n">
        <f aca="false">'Source Data'!E1196</f>
        <v>0</v>
      </c>
      <c r="E1199" s="6" t="n">
        <f aca="false">IFERROR(N(C1199)-N(D1199),"")</f>
        <v>6</v>
      </c>
      <c r="F1199" s="7" t="str">
        <f aca="false">IF(E1199&gt;0,"Yes",IF(E1199&lt;0,"No (Paternity higher)","Equal"))</f>
        <v>Yes</v>
      </c>
    </row>
    <row r="1200" customFormat="false" ht="15" hidden="false" customHeight="false" outlineLevel="0" collapsed="false">
      <c r="A1200" s="5" t="str">
        <f aca="false">'Source Data'!A1197</f>
        <v>Accent Decor</v>
      </c>
      <c r="B1200" s="5" t="str">
        <f aca="false">'Source Data'!B1197</f>
        <v>Retail: Other</v>
      </c>
      <c r="C1200" s="6" t="n">
        <f aca="false">'Source Data'!C1197</f>
        <v>3</v>
      </c>
      <c r="D1200" s="6" t="n">
        <f aca="false">'Source Data'!E1197</f>
        <v>0</v>
      </c>
      <c r="E1200" s="6" t="n">
        <f aca="false">IFERROR(N(C1200)-N(D1200),"")</f>
        <v>3</v>
      </c>
      <c r="F1200" s="7" t="str">
        <f aca="false">IF(E1200&gt;0,"Yes",IF(E1200&lt;0,"No (Paternity higher)","Equal"))</f>
        <v>Yes</v>
      </c>
    </row>
    <row r="1201" customFormat="false" ht="15" hidden="false" customHeight="false" outlineLevel="0" collapsed="false">
      <c r="A1201" s="5" t="str">
        <f aca="false">'Source Data'!A1198</f>
        <v>Guitar Center</v>
      </c>
      <c r="B1201" s="5" t="str">
        <f aca="false">'Source Data'!B1198</f>
        <v>Retail: Other</v>
      </c>
      <c r="C1201" s="6" t="n">
        <f aca="false">'Source Data'!C1198</f>
        <v>7</v>
      </c>
      <c r="D1201" s="6" t="n">
        <f aca="false">'Source Data'!E1198</f>
        <v>0</v>
      </c>
      <c r="E1201" s="6" t="n">
        <f aca="false">IFERROR(N(C1201)-N(D1201),"")</f>
        <v>7</v>
      </c>
      <c r="F1201" s="7" t="str">
        <f aca="false">IF(E1201&gt;0,"Yes",IF(E1201&lt;0,"No (Paternity higher)","Equal"))</f>
        <v>Yes</v>
      </c>
    </row>
    <row r="1202" customFormat="false" ht="15" hidden="false" customHeight="false" outlineLevel="0" collapsed="false">
      <c r="A1202" s="5" t="str">
        <f aca="false">'Source Data'!A1199</f>
        <v>Marshall Retail Group</v>
      </c>
      <c r="B1202" s="5" t="str">
        <f aca="false">'Source Data'!B1199</f>
        <v>Retail: Other</v>
      </c>
      <c r="C1202" s="6" t="n">
        <f aca="false">'Source Data'!C1199</f>
        <v>9</v>
      </c>
      <c r="D1202" s="6" t="n">
        <f aca="false">'Source Data'!E1199</f>
        <v>0</v>
      </c>
      <c r="E1202" s="6" t="n">
        <f aca="false">IFERROR(N(C1202)-N(D1202),"")</f>
        <v>9</v>
      </c>
      <c r="F1202" s="7" t="str">
        <f aca="false">IF(E1202&gt;0,"Yes",IF(E1202&lt;0,"No (Paternity higher)","Equal"))</f>
        <v>Yes</v>
      </c>
    </row>
    <row r="1203" customFormat="false" ht="15" hidden="false" customHeight="false" outlineLevel="0" collapsed="false">
      <c r="A1203" s="5" t="str">
        <f aca="false">'Source Data'!A1200</f>
        <v>Uncommon Goods</v>
      </c>
      <c r="B1203" s="5" t="str">
        <f aca="false">'Source Data'!B1200</f>
        <v>Retail: Other</v>
      </c>
      <c r="C1203" s="6" t="n">
        <f aca="false">'Source Data'!C1200</f>
        <v>10</v>
      </c>
      <c r="D1203" s="6" t="n">
        <f aca="false">'Source Data'!E1200</f>
        <v>0</v>
      </c>
      <c r="E1203" s="6" t="n">
        <f aca="false">IFERROR(N(C1203)-N(D1203),"")</f>
        <v>10</v>
      </c>
      <c r="F1203" s="7" t="str">
        <f aca="false">IF(E1203&gt;0,"Yes",IF(E1203&lt;0,"No (Paternity higher)","Equal"))</f>
        <v>Yes</v>
      </c>
    </row>
    <row r="1204" customFormat="false" ht="15" hidden="false" customHeight="false" outlineLevel="0" collapsed="false">
      <c r="A1204" s="5" t="str">
        <f aca="false">'Source Data'!A1201</f>
        <v>ANN Inc.</v>
      </c>
      <c r="B1204" s="5" t="str">
        <f aca="false">'Source Data'!B1201</f>
        <v>Retail: Shoes, Accessories and Apparel</v>
      </c>
      <c r="C1204" s="6" t="n">
        <f aca="false">'Source Data'!C1201</f>
        <v>6</v>
      </c>
      <c r="D1204" s="6" t="n">
        <f aca="false">'Source Data'!E1201</f>
        <v>0</v>
      </c>
      <c r="E1204" s="6" t="n">
        <f aca="false">IFERROR(N(C1204)-N(D1204),"")</f>
        <v>6</v>
      </c>
      <c r="F1204" s="7" t="str">
        <f aca="false">IF(E1204&gt;0,"Yes",IF(E1204&lt;0,"No (Paternity higher)","Equal"))</f>
        <v>Yes</v>
      </c>
    </row>
    <row r="1205" customFormat="false" ht="15" hidden="false" customHeight="false" outlineLevel="0" collapsed="false">
      <c r="A1205" s="5" t="str">
        <f aca="false">'Source Data'!A1202</f>
        <v>Athleta</v>
      </c>
      <c r="B1205" s="5" t="str">
        <f aca="false">'Source Data'!B1202</f>
        <v>Retail: Shoes, Accessories and Apparel</v>
      </c>
      <c r="C1205" s="6" t="n">
        <f aca="false">'Source Data'!C1202</f>
        <v>15</v>
      </c>
      <c r="D1205" s="6" t="n">
        <f aca="false">'Source Data'!E1202</f>
        <v>0</v>
      </c>
      <c r="E1205" s="6" t="n">
        <f aca="false">IFERROR(N(C1205)-N(D1205),"")</f>
        <v>15</v>
      </c>
      <c r="F1205" s="7" t="str">
        <f aca="false">IF(E1205&gt;0,"Yes",IF(E1205&lt;0,"No (Paternity higher)","Equal"))</f>
        <v>Yes</v>
      </c>
    </row>
    <row r="1206" customFormat="false" ht="15" hidden="false" customHeight="false" outlineLevel="0" collapsed="false">
      <c r="A1206" s="5" t="str">
        <f aca="false">'Source Data'!A1203</f>
        <v>Calvin Klein</v>
      </c>
      <c r="B1206" s="5" t="str">
        <f aca="false">'Source Data'!B1203</f>
        <v>Retail: Shoes, Accessories and Apparel</v>
      </c>
      <c r="C1206" s="6" t="n">
        <f aca="false">'Source Data'!C1203</f>
        <v>8</v>
      </c>
      <c r="D1206" s="6" t="n">
        <f aca="false">'Source Data'!E1203</f>
        <v>0</v>
      </c>
      <c r="E1206" s="6" t="n">
        <f aca="false">IFERROR(N(C1206)-N(D1206),"")</f>
        <v>8</v>
      </c>
      <c r="F1206" s="7" t="str">
        <f aca="false">IF(E1206&gt;0,"Yes",IF(E1206&lt;0,"No (Paternity higher)","Equal"))</f>
        <v>Yes</v>
      </c>
    </row>
    <row r="1207" customFormat="false" ht="15" hidden="false" customHeight="false" outlineLevel="0" collapsed="false">
      <c r="A1207" s="5" t="str">
        <f aca="false">'Source Data'!A1204</f>
        <v>DICK'S Sporting Goods</v>
      </c>
      <c r="B1207" s="5" t="str">
        <f aca="false">'Source Data'!B1204</f>
        <v>Retail: Shoes, Accessories and Apparel</v>
      </c>
      <c r="C1207" s="6" t="n">
        <f aca="false">'Source Data'!C1204</f>
        <v>9</v>
      </c>
      <c r="D1207" s="6" t="n">
        <f aca="false">'Source Data'!E1204</f>
        <v>0</v>
      </c>
      <c r="E1207" s="6" t="n">
        <f aca="false">IFERROR(N(C1207)-N(D1207),"")</f>
        <v>9</v>
      </c>
      <c r="F1207" s="7" t="str">
        <f aca="false">IF(E1207&gt;0,"Yes",IF(E1207&lt;0,"No (Paternity higher)","Equal"))</f>
        <v>Yes</v>
      </c>
    </row>
    <row r="1208" customFormat="false" ht="15" hidden="false" customHeight="false" outlineLevel="0" collapsed="false">
      <c r="A1208" s="5" t="str">
        <f aca="false">'Source Data'!A1205</f>
        <v>DSW</v>
      </c>
      <c r="B1208" s="5" t="str">
        <f aca="false">'Source Data'!B1205</f>
        <v>Retail: Shoes, Accessories and Apparel</v>
      </c>
      <c r="C1208" s="6" t="n">
        <f aca="false">'Source Data'!C1205</f>
        <v>11</v>
      </c>
      <c r="D1208" s="6" t="n">
        <f aca="false">'Source Data'!E1205</f>
        <v>0</v>
      </c>
      <c r="E1208" s="6" t="n">
        <f aca="false">IFERROR(N(C1208)-N(D1208),"")</f>
        <v>11</v>
      </c>
      <c r="F1208" s="7" t="str">
        <f aca="false">IF(E1208&gt;0,"Yes",IF(E1208&lt;0,"No (Paternity higher)","Equal"))</f>
        <v>Yes</v>
      </c>
    </row>
    <row r="1209" customFormat="false" ht="15" hidden="false" customHeight="false" outlineLevel="0" collapsed="false">
      <c r="A1209" s="5" t="str">
        <f aca="false">'Source Data'!A1206</f>
        <v>Esprit</v>
      </c>
      <c r="B1209" s="5" t="str">
        <f aca="false">'Source Data'!B1206</f>
        <v>Retail: Shoes, Accessories and Apparel</v>
      </c>
      <c r="C1209" s="6" t="n">
        <f aca="false">'Source Data'!C1206</f>
        <v>6</v>
      </c>
      <c r="D1209" s="6" t="n">
        <f aca="false">'Source Data'!E1206</f>
        <v>0</v>
      </c>
      <c r="E1209" s="6" t="n">
        <f aca="false">IFERROR(N(C1209)-N(D1209),"")</f>
        <v>6</v>
      </c>
      <c r="F1209" s="7" t="str">
        <f aca="false">IF(E1209&gt;0,"Yes",IF(E1209&lt;0,"No (Paternity higher)","Equal"))</f>
        <v>Yes</v>
      </c>
    </row>
    <row r="1210" customFormat="false" ht="15" hidden="false" customHeight="false" outlineLevel="0" collapsed="false">
      <c r="A1210" s="5" t="str">
        <f aca="false">'Source Data'!A1207</f>
        <v>Evisons</v>
      </c>
      <c r="B1210" s="5" t="str">
        <f aca="false">'Source Data'!B1207</f>
        <v>Retail: Shoes, Accessories and Apparel</v>
      </c>
      <c r="C1210" s="6" t="n">
        <f aca="false">'Source Data'!C1207</f>
        <v>6</v>
      </c>
      <c r="D1210" s="6" t="n">
        <f aca="false">'Source Data'!E1207</f>
        <v>0</v>
      </c>
      <c r="E1210" s="6" t="n">
        <f aca="false">IFERROR(N(C1210)-N(D1210),"")</f>
        <v>6</v>
      </c>
      <c r="F1210" s="7" t="str">
        <f aca="false">IF(E1210&gt;0,"Yes",IF(E1210&lt;0,"No (Paternity higher)","Equal"))</f>
        <v>Yes</v>
      </c>
    </row>
    <row r="1211" customFormat="false" ht="15" hidden="false" customHeight="false" outlineLevel="0" collapsed="false">
      <c r="A1211" s="5" t="str">
        <f aca="false">'Source Data'!A1208</f>
        <v>Fossil</v>
      </c>
      <c r="B1211" s="5" t="str">
        <f aca="false">'Source Data'!B1208</f>
        <v>Retail: Shoes, Accessories and Apparel</v>
      </c>
      <c r="C1211" s="6" t="n">
        <f aca="false">'Source Data'!C1208</f>
        <v>6</v>
      </c>
      <c r="D1211" s="6" t="n">
        <f aca="false">'Source Data'!E1208</f>
        <v>0</v>
      </c>
      <c r="E1211" s="6" t="n">
        <f aca="false">IFERROR(N(C1211)-N(D1211),"")</f>
        <v>6</v>
      </c>
      <c r="F1211" s="7" t="str">
        <f aca="false">IF(E1211&gt;0,"Yes",IF(E1211&lt;0,"No (Paternity higher)","Equal"))</f>
        <v>Yes</v>
      </c>
    </row>
    <row r="1212" customFormat="false" ht="15" hidden="false" customHeight="false" outlineLevel="0" collapsed="false">
      <c r="A1212" s="5" t="str">
        <f aca="false">'Source Data'!A1209</f>
        <v>Haggar</v>
      </c>
      <c r="B1212" s="5" t="str">
        <f aca="false">'Source Data'!B1209</f>
        <v>Retail: Shoes, Accessories and Apparel</v>
      </c>
      <c r="C1212" s="6" t="n">
        <f aca="false">'Source Data'!C1209</f>
        <v>6</v>
      </c>
      <c r="D1212" s="6" t="n">
        <f aca="false">'Source Data'!E1209</f>
        <v>0</v>
      </c>
      <c r="E1212" s="6" t="n">
        <f aca="false">IFERROR(N(C1212)-N(D1212),"")</f>
        <v>6</v>
      </c>
      <c r="F1212" s="7" t="str">
        <f aca="false">IF(E1212&gt;0,"Yes",IF(E1212&lt;0,"No (Paternity higher)","Equal"))</f>
        <v>Yes</v>
      </c>
    </row>
    <row r="1213" customFormat="false" ht="15" hidden="false" customHeight="false" outlineLevel="0" collapsed="false">
      <c r="A1213" s="5" t="str">
        <f aca="false">'Source Data'!A1210</f>
        <v>Hollister</v>
      </c>
      <c r="B1213" s="5" t="str">
        <f aca="false">'Source Data'!B1210</f>
        <v>Retail: Shoes, Accessories and Apparel</v>
      </c>
      <c r="C1213" s="6" t="n">
        <f aca="false">'Source Data'!C1210</f>
        <v>6</v>
      </c>
      <c r="D1213" s="6" t="n">
        <f aca="false">'Source Data'!E1210</f>
        <v>0</v>
      </c>
      <c r="E1213" s="6" t="n">
        <f aca="false">IFERROR(N(C1213)-N(D1213),"")</f>
        <v>6</v>
      </c>
      <c r="F1213" s="7" t="str">
        <f aca="false">IF(E1213&gt;0,"Yes",IF(E1213&lt;0,"No (Paternity higher)","Equal"))</f>
        <v>Yes</v>
      </c>
    </row>
    <row r="1214" customFormat="false" ht="15" hidden="false" customHeight="false" outlineLevel="0" collapsed="false">
      <c r="A1214" s="5" t="str">
        <f aca="false">'Source Data'!A1211</f>
        <v>J.Crew</v>
      </c>
      <c r="B1214" s="5" t="str">
        <f aca="false">'Source Data'!B1211</f>
        <v>Retail: Shoes, Accessories and Apparel</v>
      </c>
      <c r="C1214" s="6" t="n">
        <f aca="false">'Source Data'!C1211</f>
        <v>4.5</v>
      </c>
      <c r="D1214" s="6" t="n">
        <f aca="false">'Source Data'!E1211</f>
        <v>0</v>
      </c>
      <c r="E1214" s="6" t="n">
        <f aca="false">IFERROR(N(C1214)-N(D1214),"")</f>
        <v>4.5</v>
      </c>
      <c r="F1214" s="7" t="str">
        <f aca="false">IF(E1214&gt;0,"Yes",IF(E1214&lt;0,"No (Paternity higher)","Equal"))</f>
        <v>Yes</v>
      </c>
    </row>
    <row r="1215" customFormat="false" ht="15" hidden="false" customHeight="false" outlineLevel="0" collapsed="false">
      <c r="A1215" s="5" t="str">
        <f aca="false">'Source Data'!A1212</f>
        <v>Jockey International, Inc.</v>
      </c>
      <c r="B1215" s="5" t="str">
        <f aca="false">'Source Data'!B1212</f>
        <v>Retail: Shoes, Accessories and Apparel</v>
      </c>
      <c r="C1215" s="6" t="n">
        <f aca="false">'Source Data'!C1212</f>
        <v>6</v>
      </c>
      <c r="D1215" s="6" t="n">
        <f aca="false">'Source Data'!E1212</f>
        <v>0</v>
      </c>
      <c r="E1215" s="6" t="n">
        <f aca="false">IFERROR(N(C1215)-N(D1215),"")</f>
        <v>6</v>
      </c>
      <c r="F1215" s="7" t="str">
        <f aca="false">IF(E1215&gt;0,"Yes",IF(E1215&lt;0,"No (Paternity higher)","Equal"))</f>
        <v>Yes</v>
      </c>
    </row>
    <row r="1216" customFormat="false" ht="15" hidden="false" customHeight="false" outlineLevel="0" collapsed="false">
      <c r="A1216" s="5" t="str">
        <f aca="false">'Source Data'!A1213</f>
        <v>Lands' End</v>
      </c>
      <c r="B1216" s="5" t="str">
        <f aca="false">'Source Data'!B1213</f>
        <v>Retail: Shoes, Accessories and Apparel</v>
      </c>
      <c r="C1216" s="6" t="n">
        <f aca="false">'Source Data'!C1213</f>
        <v>8</v>
      </c>
      <c r="D1216" s="6" t="n">
        <f aca="false">'Source Data'!E1213</f>
        <v>0</v>
      </c>
      <c r="E1216" s="6" t="n">
        <f aca="false">IFERROR(N(C1216)-N(D1216),"")</f>
        <v>8</v>
      </c>
      <c r="F1216" s="7" t="str">
        <f aca="false">IF(E1216&gt;0,"Yes",IF(E1216&lt;0,"No (Paternity higher)","Equal"))</f>
        <v>Yes</v>
      </c>
    </row>
    <row r="1217" customFormat="false" ht="15" hidden="false" customHeight="false" outlineLevel="0" collapsed="false">
      <c r="A1217" s="5" t="str">
        <f aca="false">'Source Data'!A1214</f>
        <v>Levi Strauss &amp; Co.</v>
      </c>
      <c r="B1217" s="5" t="str">
        <f aca="false">'Source Data'!B1214</f>
        <v>Retail: Shoes, Accessories and Apparel</v>
      </c>
      <c r="C1217" s="6" t="n">
        <f aca="false">'Source Data'!C1214</f>
        <v>12</v>
      </c>
      <c r="D1217" s="6" t="n">
        <f aca="false">'Source Data'!E1214</f>
        <v>0</v>
      </c>
      <c r="E1217" s="6" t="n">
        <f aca="false">IFERROR(N(C1217)-N(D1217),"")</f>
        <v>12</v>
      </c>
      <c r="F1217" s="7" t="str">
        <f aca="false">IF(E1217&gt;0,"Yes",IF(E1217&lt;0,"No (Paternity higher)","Equal"))</f>
        <v>Yes</v>
      </c>
    </row>
    <row r="1218" customFormat="false" ht="15" hidden="false" customHeight="false" outlineLevel="0" collapsed="false">
      <c r="A1218" s="5" t="str">
        <f aca="false">'Source Data'!A1215</f>
        <v>Lululemon Athletica</v>
      </c>
      <c r="B1218" s="5" t="str">
        <f aca="false">'Source Data'!B1215</f>
        <v>Retail: Shoes, Accessories and Apparel</v>
      </c>
      <c r="C1218" s="6" t="n">
        <f aca="false">'Source Data'!C1215</f>
        <v>24</v>
      </c>
      <c r="D1218" s="6" t="n">
        <f aca="false">'Source Data'!E1215</f>
        <v>0</v>
      </c>
      <c r="E1218" s="6" t="n">
        <f aca="false">IFERROR(N(C1218)-N(D1218),"")</f>
        <v>24</v>
      </c>
      <c r="F1218" s="7" t="str">
        <f aca="false">IF(E1218&gt;0,"Yes",IF(E1218&lt;0,"No (Paternity higher)","Equal"))</f>
        <v>Yes</v>
      </c>
    </row>
    <row r="1219" customFormat="false" ht="15" hidden="false" customHeight="false" outlineLevel="0" collapsed="false">
      <c r="A1219" s="5" t="str">
        <f aca="false">'Source Data'!A1216</f>
        <v>New Balance</v>
      </c>
      <c r="B1219" s="5" t="str">
        <f aca="false">'Source Data'!B1216</f>
        <v>Retail: Shoes, Accessories and Apparel</v>
      </c>
      <c r="C1219" s="6" t="n">
        <f aca="false">'Source Data'!C1216</f>
        <v>20</v>
      </c>
      <c r="D1219" s="6" t="n">
        <f aca="false">'Source Data'!E1216</f>
        <v>0</v>
      </c>
      <c r="E1219" s="6" t="n">
        <f aca="false">IFERROR(N(C1219)-N(D1219),"")</f>
        <v>20</v>
      </c>
      <c r="F1219" s="7" t="str">
        <f aca="false">IF(E1219&gt;0,"Yes",IF(E1219&lt;0,"No (Paternity higher)","Equal"))</f>
        <v>Yes</v>
      </c>
    </row>
    <row r="1220" customFormat="false" ht="15" hidden="false" customHeight="false" outlineLevel="0" collapsed="false">
      <c r="A1220" s="5" t="str">
        <f aca="false">'Source Data'!A1217</f>
        <v>PVH Corp.</v>
      </c>
      <c r="B1220" s="5" t="str">
        <f aca="false">'Source Data'!B1217</f>
        <v>Retail: Shoes, Accessories and Apparel</v>
      </c>
      <c r="C1220" s="6" t="n">
        <f aca="false">'Source Data'!C1217</f>
        <v>6</v>
      </c>
      <c r="D1220" s="6" t="n">
        <f aca="false">'Source Data'!E1217</f>
        <v>0</v>
      </c>
      <c r="E1220" s="6" t="n">
        <f aca="false">IFERROR(N(C1220)-N(D1220),"")</f>
        <v>6</v>
      </c>
      <c r="F1220" s="7" t="str">
        <f aca="false">IF(E1220&gt;0,"Yes",IF(E1220&lt;0,"No (Paternity higher)","Equal"))</f>
        <v>Yes</v>
      </c>
    </row>
    <row r="1221" customFormat="false" ht="15" hidden="false" customHeight="false" outlineLevel="0" collapsed="false">
      <c r="A1221" s="5" t="str">
        <f aca="false">'Source Data'!A1218</f>
        <v>Reebok International, Ltd.</v>
      </c>
      <c r="B1221" s="5" t="str">
        <f aca="false">'Source Data'!B1218</f>
        <v>Retail: Shoes, Accessories and Apparel</v>
      </c>
      <c r="C1221" s="6" t="n">
        <f aca="false">'Source Data'!C1218</f>
        <v>8</v>
      </c>
      <c r="D1221" s="6" t="n">
        <f aca="false">'Source Data'!E1218</f>
        <v>0</v>
      </c>
      <c r="E1221" s="6" t="n">
        <f aca="false">IFERROR(N(C1221)-N(D1221),"")</f>
        <v>8</v>
      </c>
      <c r="F1221" s="7" t="str">
        <f aca="false">IF(E1221&gt;0,"Yes",IF(E1221&lt;0,"No (Paternity higher)","Equal"))</f>
        <v>Yes</v>
      </c>
    </row>
    <row r="1222" customFormat="false" ht="15" hidden="false" customHeight="false" outlineLevel="0" collapsed="false">
      <c r="A1222" s="5" t="str">
        <f aca="false">'Source Data'!A1219</f>
        <v>REI</v>
      </c>
      <c r="B1222" s="5" t="str">
        <f aca="false">'Source Data'!B1219</f>
        <v>Retail: Shoes, Accessories and Apparel</v>
      </c>
      <c r="C1222" s="6" t="n">
        <f aca="false">'Source Data'!C1219</f>
        <v>16</v>
      </c>
      <c r="D1222" s="6" t="n">
        <f aca="false">'Source Data'!E1219</f>
        <v>0</v>
      </c>
      <c r="E1222" s="6" t="n">
        <f aca="false">IFERROR(N(C1222)-N(D1222),"")</f>
        <v>16</v>
      </c>
      <c r="F1222" s="7" t="str">
        <f aca="false">IF(E1222&gt;0,"Yes",IF(E1222&lt;0,"No (Paternity higher)","Equal"))</f>
        <v>Yes</v>
      </c>
    </row>
    <row r="1223" customFormat="false" ht="15" hidden="false" customHeight="false" outlineLevel="0" collapsed="false">
      <c r="A1223" s="5" t="str">
        <f aca="false">'Source Data'!A1220</f>
        <v>Trunk Club</v>
      </c>
      <c r="B1223" s="5" t="str">
        <f aca="false">'Source Data'!B1220</f>
        <v>Retail: Shoes, Accessories and Apparel</v>
      </c>
      <c r="C1223" s="6" t="n">
        <f aca="false">'Source Data'!C1220</f>
        <v>12</v>
      </c>
      <c r="D1223" s="6" t="n">
        <f aca="false">'Source Data'!E1220</f>
        <v>0</v>
      </c>
      <c r="E1223" s="6" t="n">
        <f aca="false">IFERROR(N(C1223)-N(D1223),"")</f>
        <v>12</v>
      </c>
      <c r="F1223" s="7" t="str">
        <f aca="false">IF(E1223&gt;0,"Yes",IF(E1223&lt;0,"No (Paternity higher)","Equal"))</f>
        <v>Yes</v>
      </c>
    </row>
    <row r="1224" customFormat="false" ht="15" hidden="false" customHeight="false" outlineLevel="0" collapsed="false">
      <c r="A1224" s="5" t="str">
        <f aca="false">'Source Data'!A1221</f>
        <v>Uniqlo</v>
      </c>
      <c r="B1224" s="5" t="str">
        <f aca="false">'Source Data'!B1221</f>
        <v>Retail: Shoes, Accessories and Apparel</v>
      </c>
      <c r="C1224" s="6" t="n">
        <f aca="false">'Source Data'!C1221</f>
        <v>0</v>
      </c>
      <c r="D1224" s="6" t="n">
        <f aca="false">'Source Data'!E1221</f>
        <v>0</v>
      </c>
      <c r="E1224" s="6" t="n">
        <f aca="false">IFERROR(N(C1224)-N(D1224),"")</f>
        <v>0</v>
      </c>
      <c r="F1224" s="7" t="str">
        <f aca="false">IF(E1224&gt;0,"Yes",IF(E1224&lt;0,"No (Paternity higher)","Equal"))</f>
        <v>Equal</v>
      </c>
    </row>
    <row r="1225" customFormat="false" ht="15" hidden="false" customHeight="false" outlineLevel="0" collapsed="false">
      <c r="A1225" s="5" t="str">
        <f aca="false">'Source Data'!A1222</f>
        <v>Meredith Digital</v>
      </c>
      <c r="B1225" s="5" t="str">
        <f aca="false">'Source Data'!B1222</f>
        <v>Retail: Stationary &amp; Office Supplies</v>
      </c>
      <c r="C1225" s="6" t="n">
        <f aca="false">'Source Data'!C1222</f>
        <v>12</v>
      </c>
      <c r="D1225" s="6" t="n">
        <f aca="false">'Source Data'!E1222</f>
        <v>0</v>
      </c>
      <c r="E1225" s="6" t="n">
        <f aca="false">IFERROR(N(C1225)-N(D1225),"")</f>
        <v>12</v>
      </c>
      <c r="F1225" s="7" t="str">
        <f aca="false">IF(E1225&gt;0,"Yes",IF(E1225&lt;0,"No (Paternity higher)","Equal"))</f>
        <v>Yes</v>
      </c>
    </row>
    <row r="1226" customFormat="false" ht="15" hidden="false" customHeight="false" outlineLevel="0" collapsed="false">
      <c r="A1226" s="5" t="str">
        <f aca="false">'Source Data'!A1223</f>
        <v>Office Depot</v>
      </c>
      <c r="B1226" s="5" t="str">
        <f aca="false">'Source Data'!B1223</f>
        <v>Retail: Stationary &amp; Office Supplies</v>
      </c>
      <c r="C1226" s="6" t="n">
        <f aca="false">'Source Data'!C1223</f>
        <v>6</v>
      </c>
      <c r="D1226" s="6" t="n">
        <f aca="false">'Source Data'!E1223</f>
        <v>0</v>
      </c>
      <c r="E1226" s="6" t="n">
        <f aca="false">IFERROR(N(C1226)-N(D1226),"")</f>
        <v>6</v>
      </c>
      <c r="F1226" s="7" t="str">
        <f aca="false">IF(E1226&gt;0,"Yes",IF(E1226&lt;0,"No (Paternity higher)","Equal"))</f>
        <v>Yes</v>
      </c>
    </row>
    <row r="1227" customFormat="false" ht="15" hidden="false" customHeight="false" outlineLevel="0" collapsed="false">
      <c r="A1227" s="5" t="str">
        <f aca="false">'Source Data'!A1224</f>
        <v>Ahold Delhaize</v>
      </c>
      <c r="B1227" s="5" t="str">
        <f aca="false">'Source Data'!B1224</f>
        <v>Retail: Supermarket Company</v>
      </c>
      <c r="C1227" s="6" t="n">
        <f aca="false">'Source Data'!C1224</f>
        <v>6</v>
      </c>
      <c r="D1227" s="6" t="n">
        <f aca="false">'Source Data'!E1224</f>
        <v>0</v>
      </c>
      <c r="E1227" s="6" t="n">
        <f aca="false">IFERROR(N(C1227)-N(D1227),"")</f>
        <v>6</v>
      </c>
      <c r="F1227" s="7" t="str">
        <f aca="false">IF(E1227&gt;0,"Yes",IF(E1227&lt;0,"No (Paternity higher)","Equal"))</f>
        <v>Yes</v>
      </c>
    </row>
    <row r="1228" customFormat="false" ht="15" hidden="false" customHeight="false" outlineLevel="0" collapsed="false">
      <c r="A1228" s="5" t="str">
        <f aca="false">'Source Data'!A1225</f>
        <v>Family Dollar</v>
      </c>
      <c r="B1228" s="5" t="str">
        <f aca="false">'Source Data'!B1225</f>
        <v>Retail: Supermarket Company</v>
      </c>
      <c r="C1228" s="6" t="n">
        <f aca="false">'Source Data'!C1225</f>
        <v>9</v>
      </c>
      <c r="D1228" s="6" t="n">
        <f aca="false">'Source Data'!E1225</f>
        <v>0</v>
      </c>
      <c r="E1228" s="6" t="n">
        <f aca="false">IFERROR(N(C1228)-N(D1228),"")</f>
        <v>9</v>
      </c>
      <c r="F1228" s="7" t="str">
        <f aca="false">IF(E1228&gt;0,"Yes",IF(E1228&lt;0,"No (Paternity higher)","Equal"))</f>
        <v>Yes</v>
      </c>
    </row>
    <row r="1229" customFormat="false" ht="15" hidden="false" customHeight="false" outlineLevel="0" collapsed="false">
      <c r="A1229" s="5" t="str">
        <f aca="false">'Source Data'!A1226</f>
        <v>Hy-Vee</v>
      </c>
      <c r="B1229" s="5" t="str">
        <f aca="false">'Source Data'!B1226</f>
        <v>Retail: Supermarket Company</v>
      </c>
      <c r="C1229" s="6" t="n">
        <f aca="false">'Source Data'!C1226</f>
        <v>8</v>
      </c>
      <c r="D1229" s="6" t="n">
        <f aca="false">'Source Data'!E1226</f>
        <v>0</v>
      </c>
      <c r="E1229" s="6" t="n">
        <f aca="false">IFERROR(N(C1229)-N(D1229),"")</f>
        <v>8</v>
      </c>
      <c r="F1229" s="7" t="str">
        <f aca="false">IF(E1229&gt;0,"Yes",IF(E1229&lt;0,"No (Paternity higher)","Equal"))</f>
        <v>Yes</v>
      </c>
    </row>
    <row r="1230" customFormat="false" ht="15" hidden="false" customHeight="false" outlineLevel="0" collapsed="false">
      <c r="A1230" s="5" t="str">
        <f aca="false">'Source Data'!A1227</f>
        <v>Lowes Foods</v>
      </c>
      <c r="B1230" s="5" t="str">
        <f aca="false">'Source Data'!B1227</f>
        <v>Retail: Supermarket Company</v>
      </c>
      <c r="C1230" s="6" t="n">
        <f aca="false">'Source Data'!C1227</f>
        <v>15</v>
      </c>
      <c r="D1230" s="6" t="n">
        <f aca="false">'Source Data'!E1227</f>
        <v>0</v>
      </c>
      <c r="E1230" s="6" t="n">
        <f aca="false">IFERROR(N(C1230)-N(D1230),"")</f>
        <v>15</v>
      </c>
      <c r="F1230" s="7" t="str">
        <f aca="false">IF(E1230&gt;0,"Yes",IF(E1230&lt;0,"No (Paternity higher)","Equal"))</f>
        <v>Yes</v>
      </c>
    </row>
    <row r="1231" customFormat="false" ht="15" hidden="false" customHeight="false" outlineLevel="0" collapsed="false">
      <c r="A1231" s="5" t="str">
        <f aca="false">'Source Data'!A1228</f>
        <v>CozyKin</v>
      </c>
      <c r="B1231" s="5" t="str">
        <f aca="false">'Source Data'!B1228</f>
        <v>Services: Daycare</v>
      </c>
      <c r="C1231" s="6" t="n">
        <f aca="false">'Source Data'!C1228</f>
        <v>6</v>
      </c>
      <c r="D1231" s="6" t="n">
        <f aca="false">'Source Data'!E1228</f>
        <v>0</v>
      </c>
      <c r="E1231" s="6" t="n">
        <f aca="false">IFERROR(N(C1231)-N(D1231),"")</f>
        <v>6</v>
      </c>
      <c r="F1231" s="7" t="str">
        <f aca="false">IF(E1231&gt;0,"Yes",IF(E1231&lt;0,"No (Paternity higher)","Equal"))</f>
        <v>Yes</v>
      </c>
    </row>
    <row r="1232" customFormat="false" ht="15" hidden="false" customHeight="false" outlineLevel="0" collapsed="false">
      <c r="A1232" s="5" t="str">
        <f aca="false">'Source Data'!A1229</f>
        <v>EasyWayPaper</v>
      </c>
      <c r="B1232" s="5" t="str">
        <f aca="false">'Source Data'!B1229</f>
        <v>Services: Other</v>
      </c>
      <c r="C1232" s="6" t="n">
        <f aca="false">'Source Data'!C1229</f>
        <v>30</v>
      </c>
      <c r="D1232" s="6" t="n">
        <f aca="false">'Source Data'!E1229</f>
        <v>0</v>
      </c>
      <c r="E1232" s="6" t="n">
        <f aca="false">IFERROR(N(C1232)-N(D1232),"")</f>
        <v>30</v>
      </c>
      <c r="F1232" s="7" t="str">
        <f aca="false">IF(E1232&gt;0,"Yes",IF(E1232&lt;0,"No (Paternity higher)","Equal"))</f>
        <v>Yes</v>
      </c>
    </row>
    <row r="1233" customFormat="false" ht="15" hidden="false" customHeight="false" outlineLevel="0" collapsed="false">
      <c r="A1233" s="5" t="str">
        <f aca="false">'Source Data'!A1230</f>
        <v>Essay 4 Students</v>
      </c>
      <c r="B1233" s="5" t="str">
        <f aca="false">'Source Data'!B1230</f>
        <v>Services: Other</v>
      </c>
      <c r="C1233" s="6" t="n">
        <f aca="false">'Source Data'!C1230</f>
        <v>25</v>
      </c>
      <c r="D1233" s="6" t="n">
        <f aca="false">'Source Data'!E1230</f>
        <v>0</v>
      </c>
      <c r="E1233" s="6" t="n">
        <f aca="false">IFERROR(N(C1233)-N(D1233),"")</f>
        <v>25</v>
      </c>
      <c r="F1233" s="7" t="str">
        <f aca="false">IF(E1233&gt;0,"Yes",IF(E1233&lt;0,"No (Paternity higher)","Equal"))</f>
        <v>Yes</v>
      </c>
    </row>
    <row r="1234" customFormat="false" ht="15" hidden="false" customHeight="false" outlineLevel="0" collapsed="false">
      <c r="A1234" s="5" t="str">
        <f aca="false">'Source Data'!A1231</f>
        <v>Industrious</v>
      </c>
      <c r="B1234" s="5" t="str">
        <f aca="false">'Source Data'!B1231</f>
        <v>Services: Other</v>
      </c>
      <c r="C1234" s="6" t="n">
        <f aca="false">'Source Data'!C1231</f>
        <v>0</v>
      </c>
      <c r="D1234" s="6" t="n">
        <f aca="false">'Source Data'!E1231</f>
        <v>0</v>
      </c>
      <c r="E1234" s="6" t="n">
        <f aca="false">IFERROR(N(C1234)-N(D1234),"")</f>
        <v>0</v>
      </c>
      <c r="F1234" s="7" t="str">
        <f aca="false">IF(E1234&gt;0,"Yes",IF(E1234&lt;0,"No (Paternity higher)","Equal"))</f>
        <v>Equal</v>
      </c>
    </row>
    <row r="1235" customFormat="false" ht="15" hidden="false" customHeight="false" outlineLevel="0" collapsed="false">
      <c r="A1235" s="5" t="str">
        <f aca="false">'Source Data'!A1232</f>
        <v>International SOS</v>
      </c>
      <c r="B1235" s="5" t="str">
        <f aca="false">'Source Data'!B1232</f>
        <v>Services: Other</v>
      </c>
      <c r="C1235" s="6" t="n">
        <f aca="false">'Source Data'!C1232</f>
        <v>16</v>
      </c>
      <c r="D1235" s="6" t="n">
        <f aca="false">'Source Data'!E1232</f>
        <v>0</v>
      </c>
      <c r="E1235" s="6" t="n">
        <f aca="false">IFERROR(N(C1235)-N(D1235),"")</f>
        <v>16</v>
      </c>
      <c r="F1235" s="7" t="str">
        <f aca="false">IF(E1235&gt;0,"Yes",IF(E1235&lt;0,"No (Paternity higher)","Equal"))</f>
        <v>Yes</v>
      </c>
    </row>
    <row r="1236" customFormat="false" ht="15" hidden="false" customHeight="false" outlineLevel="0" collapsed="false">
      <c r="A1236" s="5" t="str">
        <f aca="false">'Source Data'!A1233</f>
        <v>Sunrun</v>
      </c>
      <c r="B1236" s="5" t="str">
        <f aca="false">'Source Data'!B1233</f>
        <v>Services: Other</v>
      </c>
      <c r="C1236" s="6" t="n">
        <f aca="false">'Source Data'!C1233</f>
        <v>10</v>
      </c>
      <c r="D1236" s="6" t="n">
        <f aca="false">'Source Data'!E1233</f>
        <v>0</v>
      </c>
      <c r="E1236" s="6" t="n">
        <f aca="false">IFERROR(N(C1236)-N(D1236),"")</f>
        <v>10</v>
      </c>
      <c r="F1236" s="7" t="str">
        <f aca="false">IF(E1236&gt;0,"Yes",IF(E1236&lt;0,"No (Paternity higher)","Equal"))</f>
        <v>Yes</v>
      </c>
    </row>
    <row r="1237" customFormat="false" ht="15" hidden="false" customHeight="false" outlineLevel="0" collapsed="false">
      <c r="A1237" s="5" t="str">
        <f aca="false">'Source Data'!A1234</f>
        <v>Terminix</v>
      </c>
      <c r="B1237" s="5" t="str">
        <f aca="false">'Source Data'!B1234</f>
        <v>Services: Other</v>
      </c>
      <c r="C1237" s="6" t="n">
        <f aca="false">'Source Data'!C1234</f>
        <v>13</v>
      </c>
      <c r="D1237" s="6" t="n">
        <f aca="false">'Source Data'!E1234</f>
        <v>0</v>
      </c>
      <c r="E1237" s="6" t="n">
        <f aca="false">IFERROR(N(C1237)-N(D1237),"")</f>
        <v>13</v>
      </c>
      <c r="F1237" s="7" t="str">
        <f aca="false">IF(E1237&gt;0,"Yes",IF(E1237&lt;0,"No (Paternity higher)","Equal"))</f>
        <v>Yes</v>
      </c>
    </row>
    <row r="1238" customFormat="false" ht="15" hidden="false" customHeight="false" outlineLevel="0" collapsed="false">
      <c r="A1238" s="5" t="str">
        <f aca="false">'Source Data'!A1235</f>
        <v>Uno Assignment Help</v>
      </c>
      <c r="B1238" s="5" t="str">
        <f aca="false">'Source Data'!B1235</f>
        <v>Services: Other</v>
      </c>
      <c r="C1238" s="6" t="n">
        <f aca="false">'Source Data'!C1235</f>
        <v>4</v>
      </c>
      <c r="D1238" s="6" t="n">
        <f aca="false">'Source Data'!E1235</f>
        <v>0</v>
      </c>
      <c r="E1238" s="6" t="n">
        <f aca="false">IFERROR(N(C1238)-N(D1238),"")</f>
        <v>4</v>
      </c>
      <c r="F1238" s="7" t="str">
        <f aca="false">IF(E1238&gt;0,"Yes",IF(E1238&lt;0,"No (Paternity higher)","Equal"))</f>
        <v>Yes</v>
      </c>
    </row>
    <row r="1239" customFormat="false" ht="15" hidden="false" customHeight="false" outlineLevel="0" collapsed="false">
      <c r="A1239" s="5" t="str">
        <f aca="false">'Source Data'!A1236</f>
        <v>TransPerfect</v>
      </c>
      <c r="B1239" s="5" t="str">
        <f aca="false">'Source Data'!B1236</f>
        <v>Services: Translation</v>
      </c>
      <c r="C1239" s="6" t="n">
        <f aca="false">'Source Data'!C1236</f>
        <v>8</v>
      </c>
      <c r="D1239" s="6" t="n">
        <f aca="false">'Source Data'!E1236</f>
        <v>0</v>
      </c>
      <c r="E1239" s="6" t="n">
        <f aca="false">IFERROR(N(C1239)-N(D1239),"")</f>
        <v>8</v>
      </c>
      <c r="F1239" s="7" t="str">
        <f aca="false">IF(E1239&gt;0,"Yes",IF(E1239&lt;0,"No (Paternity higher)","Equal"))</f>
        <v>Yes</v>
      </c>
    </row>
    <row r="1240" customFormat="false" ht="15" hidden="false" customHeight="false" outlineLevel="0" collapsed="false">
      <c r="A1240" s="5" t="str">
        <f aca="false">'Source Data'!A1237</f>
        <v>Clean Harbors, Inc.</v>
      </c>
      <c r="B1240" s="5" t="str">
        <f aca="false">'Source Data'!B1237</f>
        <v>Services: Waste Management</v>
      </c>
      <c r="C1240" s="6" t="n">
        <f aca="false">'Source Data'!C1237</f>
        <v>0</v>
      </c>
      <c r="D1240" s="6" t="n">
        <f aca="false">'Source Data'!E1237</f>
        <v>0</v>
      </c>
      <c r="E1240" s="6" t="n">
        <f aca="false">IFERROR(N(C1240)-N(D1240),"")</f>
        <v>0</v>
      </c>
      <c r="F1240" s="7" t="str">
        <f aca="false">IF(E1240&gt;0,"Yes",IF(E1240&lt;0,"No (Paternity higher)","Equal"))</f>
        <v>Equal</v>
      </c>
    </row>
    <row r="1241" customFormat="false" ht="15" hidden="false" customHeight="false" outlineLevel="0" collapsed="false">
      <c r="A1241" s="5" t="str">
        <f aca="false">'Source Data'!A1238</f>
        <v>Republic Services, Inc.</v>
      </c>
      <c r="B1241" s="5" t="str">
        <f aca="false">'Source Data'!B1238</f>
        <v>Services: Waste Management</v>
      </c>
      <c r="C1241" s="6" t="n">
        <f aca="false">'Source Data'!C1238</f>
        <v>8</v>
      </c>
      <c r="D1241" s="6" t="n">
        <f aca="false">'Source Data'!E1238</f>
        <v>0</v>
      </c>
      <c r="E1241" s="6" t="n">
        <f aca="false">IFERROR(N(C1241)-N(D1241),"")</f>
        <v>8</v>
      </c>
      <c r="F1241" s="7" t="str">
        <f aca="false">IF(E1241&gt;0,"Yes",IF(E1241&lt;0,"No (Paternity higher)","Equal"))</f>
        <v>Yes</v>
      </c>
    </row>
    <row r="1242" customFormat="false" ht="15" hidden="false" customHeight="false" outlineLevel="0" collapsed="false">
      <c r="A1242" s="5" t="str">
        <f aca="false">'Source Data'!A1239</f>
        <v>Waste Connections</v>
      </c>
      <c r="B1242" s="5" t="str">
        <f aca="false">'Source Data'!B1239</f>
        <v>Services: Waste Management</v>
      </c>
      <c r="C1242" s="6" t="n">
        <f aca="false">'Source Data'!C1239</f>
        <v>6</v>
      </c>
      <c r="D1242" s="6" t="n">
        <f aca="false">'Source Data'!E1239</f>
        <v>0</v>
      </c>
      <c r="E1242" s="6" t="n">
        <f aca="false">IFERROR(N(C1242)-N(D1242),"")</f>
        <v>6</v>
      </c>
      <c r="F1242" s="7" t="str">
        <f aca="false">IF(E1242&gt;0,"Yes",IF(E1242&lt;0,"No (Paternity higher)","Equal"))</f>
        <v>Yes</v>
      </c>
    </row>
    <row r="1243" customFormat="false" ht="15" hidden="false" customHeight="false" outlineLevel="0" collapsed="false">
      <c r="A1243" s="5" t="str">
        <f aca="false">'Source Data'!A1240</f>
        <v>WIN Waste Innovations</v>
      </c>
      <c r="B1243" s="5" t="str">
        <f aca="false">'Source Data'!B1240</f>
        <v>Services: Waste Management</v>
      </c>
      <c r="C1243" s="6" t="n">
        <f aca="false">'Source Data'!C1240</f>
        <v>12</v>
      </c>
      <c r="D1243" s="6" t="n">
        <f aca="false">'Source Data'!E1240</f>
        <v>0</v>
      </c>
      <c r="E1243" s="6" t="n">
        <f aca="false">IFERROR(N(C1243)-N(D1243),"")</f>
        <v>12</v>
      </c>
      <c r="F1243" s="7" t="str">
        <f aca="false">IF(E1243&gt;0,"Yes",IF(E1243&lt;0,"No (Paternity higher)","Equal"))</f>
        <v>Yes</v>
      </c>
    </row>
    <row r="1244" customFormat="false" ht="15" hidden="false" customHeight="false" outlineLevel="0" collapsed="false">
      <c r="A1244" s="5" t="str">
        <f aca="false">'Source Data'!A1241</f>
        <v>Nike</v>
      </c>
      <c r="B1244" s="5" t="str">
        <f aca="false">'Source Data'!B1241</f>
        <v>Sporting Goods</v>
      </c>
      <c r="C1244" s="6" t="n">
        <f aca="false">'Source Data'!C1241</f>
        <v>12</v>
      </c>
      <c r="D1244" s="6" t="n">
        <f aca="false">'Source Data'!E1241</f>
        <v>0</v>
      </c>
      <c r="E1244" s="6" t="n">
        <f aca="false">IFERROR(N(C1244)-N(D1244),"")</f>
        <v>12</v>
      </c>
      <c r="F1244" s="7" t="str">
        <f aca="false">IF(E1244&gt;0,"Yes",IF(E1244&lt;0,"No (Paternity higher)","Equal"))</f>
        <v>Yes</v>
      </c>
    </row>
    <row r="1245" customFormat="false" ht="15" hidden="false" customHeight="false" outlineLevel="0" collapsed="false">
      <c r="A1245" s="5" t="str">
        <f aca="false">'Source Data'!A1242</f>
        <v>Trek Bikes</v>
      </c>
      <c r="B1245" s="5" t="str">
        <f aca="false">'Source Data'!B1242</f>
        <v>Sporting Goods</v>
      </c>
      <c r="C1245" s="6" t="n">
        <f aca="false">'Source Data'!C1242</f>
        <v>12</v>
      </c>
      <c r="D1245" s="6" t="n">
        <f aca="false">'Source Data'!E1242</f>
        <v>0</v>
      </c>
      <c r="E1245" s="6" t="n">
        <f aca="false">IFERROR(N(C1245)-N(D1245),"")</f>
        <v>12</v>
      </c>
      <c r="F1245" s="7" t="str">
        <f aca="false">IF(E1245&gt;0,"Yes",IF(E1245&lt;0,"No (Paternity higher)","Equal"))</f>
        <v>Yes</v>
      </c>
    </row>
    <row r="1246" customFormat="false" ht="15" hidden="false" customHeight="false" outlineLevel="0" collapsed="false">
      <c r="A1246" s="5" t="str">
        <f aca="false">'Source Data'!A1243</f>
        <v>National Football League</v>
      </c>
      <c r="B1246" s="5" t="str">
        <f aca="false">'Source Data'!B1243</f>
        <v>Sports</v>
      </c>
      <c r="C1246" s="6" t="n">
        <f aca="false">'Source Data'!C1243</f>
        <v>16</v>
      </c>
      <c r="D1246" s="6" t="n">
        <f aca="false">'Source Data'!E1243</f>
        <v>0</v>
      </c>
      <c r="E1246" s="6" t="n">
        <f aca="false">IFERROR(N(C1246)-N(D1246),"")</f>
        <v>16</v>
      </c>
      <c r="F1246" s="7" t="str">
        <f aca="false">IF(E1246&gt;0,"Yes",IF(E1246&lt;0,"No (Paternity higher)","Equal"))</f>
        <v>Yes</v>
      </c>
    </row>
    <row r="1247" customFormat="false" ht="15" hidden="false" customHeight="false" outlineLevel="0" collapsed="false">
      <c r="A1247" s="5" t="str">
        <f aca="false">'Source Data'!A1244</f>
        <v>Round Rock Express</v>
      </c>
      <c r="B1247" s="5" t="str">
        <f aca="false">'Source Data'!B1244</f>
        <v>Sports</v>
      </c>
      <c r="C1247" s="6" t="n">
        <f aca="false">'Source Data'!C1244</f>
        <v>1</v>
      </c>
      <c r="D1247" s="6" t="n">
        <f aca="false">'Source Data'!E1244</f>
        <v>0</v>
      </c>
      <c r="E1247" s="6" t="n">
        <f aca="false">IFERROR(N(C1247)-N(D1247),"")</f>
        <v>1</v>
      </c>
      <c r="F1247" s="7" t="str">
        <f aca="false">IF(E1247&gt;0,"Yes",IF(E1247&lt;0,"No (Paternity higher)","Equal"))</f>
        <v>Yes</v>
      </c>
    </row>
    <row r="1248" customFormat="false" ht="15" hidden="false" customHeight="false" outlineLevel="0" collapsed="false">
      <c r="A1248" s="5" t="str">
        <f aca="false">'Source Data'!A1245</f>
        <v>Braze</v>
      </c>
      <c r="B1248" s="5" t="str">
        <f aca="false">'Source Data'!B1245</f>
        <v>Technology</v>
      </c>
      <c r="C1248" s="6" t="n">
        <f aca="false">'Source Data'!C1245</f>
        <v>18</v>
      </c>
      <c r="D1248" s="6" t="n">
        <f aca="false">'Source Data'!E1245</f>
        <v>0</v>
      </c>
      <c r="E1248" s="6" t="n">
        <f aca="false">IFERROR(N(C1248)-N(D1248),"")</f>
        <v>18</v>
      </c>
      <c r="F1248" s="7" t="str">
        <f aca="false">IF(E1248&gt;0,"Yes",IF(E1248&lt;0,"No (Paternity higher)","Equal"))</f>
        <v>Yes</v>
      </c>
    </row>
    <row r="1249" customFormat="false" ht="15" hidden="false" customHeight="false" outlineLevel="0" collapsed="false">
      <c r="A1249" s="5" t="str">
        <f aca="false">'Source Data'!A1246</f>
        <v>Akamai</v>
      </c>
      <c r="B1249" s="5" t="str">
        <f aca="false">'Source Data'!B1246</f>
        <v>Technology: B2B Tech Services</v>
      </c>
      <c r="C1249" s="6" t="n">
        <f aca="false">'Source Data'!C1246</f>
        <v>11</v>
      </c>
      <c r="D1249" s="6" t="n">
        <f aca="false">'Source Data'!E1246</f>
        <v>0</v>
      </c>
      <c r="E1249" s="6" t="n">
        <f aca="false">IFERROR(N(C1249)-N(D1249),"")</f>
        <v>11</v>
      </c>
      <c r="F1249" s="7" t="str">
        <f aca="false">IF(E1249&gt;0,"Yes",IF(E1249&lt;0,"No (Paternity higher)","Equal"))</f>
        <v>Yes</v>
      </c>
    </row>
    <row r="1250" customFormat="false" ht="15" hidden="false" customHeight="false" outlineLevel="0" collapsed="false">
      <c r="A1250" s="5" t="str">
        <f aca="false">'Source Data'!A1247</f>
        <v>Amazon Web Services</v>
      </c>
      <c r="B1250" s="5" t="str">
        <f aca="false">'Source Data'!B1247</f>
        <v>Technology: B2B Tech Services</v>
      </c>
      <c r="C1250" s="6" t="n">
        <f aca="false">'Source Data'!C1247</f>
        <v>12</v>
      </c>
      <c r="D1250" s="6" t="n">
        <f aca="false">'Source Data'!E1247</f>
        <v>0</v>
      </c>
      <c r="E1250" s="6" t="n">
        <f aca="false">IFERROR(N(C1250)-N(D1250),"")</f>
        <v>12</v>
      </c>
      <c r="F1250" s="7" t="str">
        <f aca="false">IF(E1250&gt;0,"Yes",IF(E1250&lt;0,"No (Paternity higher)","Equal"))</f>
        <v>Yes</v>
      </c>
    </row>
    <row r="1251" customFormat="false" ht="15" hidden="false" customHeight="false" outlineLevel="0" collapsed="false">
      <c r="A1251" s="5" t="str">
        <f aca="false">'Source Data'!A1248</f>
        <v>Atos</v>
      </c>
      <c r="B1251" s="5" t="str">
        <f aca="false">'Source Data'!B1248</f>
        <v>Technology: B2B Tech Services</v>
      </c>
      <c r="C1251" s="6" t="n">
        <f aca="false">'Source Data'!C1248</f>
        <v>8</v>
      </c>
      <c r="D1251" s="6" t="n">
        <f aca="false">'Source Data'!E1248</f>
        <v>0</v>
      </c>
      <c r="E1251" s="6" t="n">
        <f aca="false">IFERROR(N(C1251)-N(D1251),"")</f>
        <v>8</v>
      </c>
      <c r="F1251" s="7" t="str">
        <f aca="false">IF(E1251&gt;0,"Yes",IF(E1251&lt;0,"No (Paternity higher)","Equal"))</f>
        <v>Yes</v>
      </c>
    </row>
    <row r="1252" customFormat="false" ht="15" hidden="false" customHeight="false" outlineLevel="0" collapsed="false">
      <c r="A1252" s="5" t="str">
        <f aca="false">'Source Data'!A1249</f>
        <v>Bepress</v>
      </c>
      <c r="B1252" s="5" t="str">
        <f aca="false">'Source Data'!B1249</f>
        <v>Technology: B2B Tech Services</v>
      </c>
      <c r="C1252" s="6" t="n">
        <f aca="false">'Source Data'!C1249</f>
        <v>14</v>
      </c>
      <c r="D1252" s="6" t="n">
        <f aca="false">'Source Data'!E1249</f>
        <v>0</v>
      </c>
      <c r="E1252" s="6" t="n">
        <f aca="false">IFERROR(N(C1252)-N(D1252),"")</f>
        <v>14</v>
      </c>
      <c r="F1252" s="7" t="str">
        <f aca="false">IF(E1252&gt;0,"Yes",IF(E1252&lt;0,"No (Paternity higher)","Equal"))</f>
        <v>Yes</v>
      </c>
    </row>
    <row r="1253" customFormat="false" ht="15" hidden="false" customHeight="false" outlineLevel="0" collapsed="false">
      <c r="A1253" s="5" t="str">
        <f aca="false">'Source Data'!A1250</f>
        <v>CACI International</v>
      </c>
      <c r="B1253" s="5" t="str">
        <f aca="false">'Source Data'!B1250</f>
        <v>Technology: B2B Tech Services</v>
      </c>
      <c r="C1253" s="6" t="n">
        <f aca="false">'Source Data'!C1250</f>
        <v>3</v>
      </c>
      <c r="D1253" s="6" t="n">
        <f aca="false">'Source Data'!E1250</f>
        <v>0</v>
      </c>
      <c r="E1253" s="6" t="n">
        <f aca="false">IFERROR(N(C1253)-N(D1253),"")</f>
        <v>3</v>
      </c>
      <c r="F1253" s="7" t="str">
        <f aca="false">IF(E1253&gt;0,"Yes",IF(E1253&lt;0,"No (Paternity higher)","Equal"))</f>
        <v>Yes</v>
      </c>
    </row>
    <row r="1254" customFormat="false" ht="15" hidden="false" customHeight="false" outlineLevel="0" collapsed="false">
      <c r="A1254" s="5" t="str">
        <f aca="false">'Source Data'!A1251</f>
        <v>CDK Global</v>
      </c>
      <c r="B1254" s="5" t="str">
        <f aca="false">'Source Data'!B1251</f>
        <v>Technology: B2B Tech Services</v>
      </c>
      <c r="C1254" s="6" t="n">
        <f aca="false">'Source Data'!C1251</f>
        <v>9</v>
      </c>
      <c r="D1254" s="6" t="n">
        <f aca="false">'Source Data'!E1251</f>
        <v>0</v>
      </c>
      <c r="E1254" s="6" t="n">
        <f aca="false">IFERROR(N(C1254)-N(D1254),"")</f>
        <v>9</v>
      </c>
      <c r="F1254" s="7" t="str">
        <f aca="false">IF(E1254&gt;0,"Yes",IF(E1254&lt;0,"No (Paternity higher)","Equal"))</f>
        <v>Yes</v>
      </c>
    </row>
    <row r="1255" customFormat="false" ht="15" hidden="false" customHeight="false" outlineLevel="0" collapsed="false">
      <c r="A1255" s="5" t="str">
        <f aca="false">'Source Data'!A1252</f>
        <v>Chartbeat</v>
      </c>
      <c r="B1255" s="5" t="str">
        <f aca="false">'Source Data'!B1252</f>
        <v>Technology: B2B Tech Services</v>
      </c>
      <c r="C1255" s="6" t="n">
        <f aca="false">'Source Data'!C1252</f>
        <v>26</v>
      </c>
      <c r="D1255" s="6" t="n">
        <f aca="false">'Source Data'!E1252</f>
        <v>0</v>
      </c>
      <c r="E1255" s="6" t="n">
        <f aca="false">IFERROR(N(C1255)-N(D1255),"")</f>
        <v>26</v>
      </c>
      <c r="F1255" s="7" t="str">
        <f aca="false">IF(E1255&gt;0,"Yes",IF(E1255&lt;0,"No (Paternity higher)","Equal"))</f>
        <v>Yes</v>
      </c>
    </row>
    <row r="1256" customFormat="false" ht="15" hidden="false" customHeight="false" outlineLevel="0" collapsed="false">
      <c r="A1256" s="5" t="str">
        <f aca="false">'Source Data'!A1253</f>
        <v>Cognizant</v>
      </c>
      <c r="B1256" s="5" t="str">
        <f aca="false">'Source Data'!B1253</f>
        <v>Technology: B2B Tech Services</v>
      </c>
      <c r="C1256" s="6" t="n">
        <f aca="false">'Source Data'!C1253</f>
        <v>4</v>
      </c>
      <c r="D1256" s="6" t="n">
        <f aca="false">'Source Data'!E1253</f>
        <v>0</v>
      </c>
      <c r="E1256" s="6" t="n">
        <f aca="false">IFERROR(N(C1256)-N(D1256),"")</f>
        <v>4</v>
      </c>
      <c r="F1256" s="7" t="str">
        <f aca="false">IF(E1256&gt;0,"Yes",IF(E1256&lt;0,"No (Paternity higher)","Equal"))</f>
        <v>Yes</v>
      </c>
    </row>
    <row r="1257" customFormat="false" ht="15" hidden="false" customHeight="false" outlineLevel="0" collapsed="false">
      <c r="A1257" s="5" t="str">
        <f aca="false">'Source Data'!A1254</f>
        <v>Cubic Corporation</v>
      </c>
      <c r="B1257" s="5" t="str">
        <f aca="false">'Source Data'!B1254</f>
        <v>Technology: B2B Tech Services</v>
      </c>
      <c r="C1257" s="6" t="n">
        <f aca="false">'Source Data'!C1254</f>
        <v>4</v>
      </c>
      <c r="D1257" s="6" t="n">
        <f aca="false">'Source Data'!E1254</f>
        <v>0</v>
      </c>
      <c r="E1257" s="6" t="n">
        <f aca="false">IFERROR(N(C1257)-N(D1257),"")</f>
        <v>4</v>
      </c>
      <c r="F1257" s="7" t="str">
        <f aca="false">IF(E1257&gt;0,"Yes",IF(E1257&lt;0,"No (Paternity higher)","Equal"))</f>
        <v>Yes</v>
      </c>
    </row>
    <row r="1258" customFormat="false" ht="15" hidden="false" customHeight="false" outlineLevel="0" collapsed="false">
      <c r="A1258" s="5" t="str">
        <f aca="false">'Source Data'!A1255</f>
        <v>Datto, Inc.</v>
      </c>
      <c r="B1258" s="5" t="str">
        <f aca="false">'Source Data'!B1255</f>
        <v>Technology: B2B Tech Services</v>
      </c>
      <c r="C1258" s="6" t="n">
        <f aca="false">'Source Data'!C1255</f>
        <v>16</v>
      </c>
      <c r="D1258" s="6" t="n">
        <f aca="false">'Source Data'!E1255</f>
        <v>0</v>
      </c>
      <c r="E1258" s="6" t="n">
        <f aca="false">IFERROR(N(C1258)-N(D1258),"")</f>
        <v>16</v>
      </c>
      <c r="F1258" s="7" t="str">
        <f aca="false">IF(E1258&gt;0,"Yes",IF(E1258&lt;0,"No (Paternity higher)","Equal"))</f>
        <v>Yes</v>
      </c>
    </row>
    <row r="1259" customFormat="false" ht="15" hidden="false" customHeight="false" outlineLevel="0" collapsed="false">
      <c r="A1259" s="5" t="str">
        <f aca="false">'Source Data'!A1256</f>
        <v>DMI, Inc.</v>
      </c>
      <c r="B1259" s="5" t="str">
        <f aca="false">'Source Data'!B1256</f>
        <v>Technology: B2B Tech Services</v>
      </c>
      <c r="C1259" s="6" t="n">
        <f aca="false">'Source Data'!C1256</f>
        <v>2</v>
      </c>
      <c r="D1259" s="6" t="n">
        <f aca="false">'Source Data'!E1256</f>
        <v>0</v>
      </c>
      <c r="E1259" s="6" t="n">
        <f aca="false">IFERROR(N(C1259)-N(D1259),"")</f>
        <v>2</v>
      </c>
      <c r="F1259" s="7" t="str">
        <f aca="false">IF(E1259&gt;0,"Yes",IF(E1259&lt;0,"No (Paternity higher)","Equal"))</f>
        <v>Yes</v>
      </c>
    </row>
    <row r="1260" customFormat="false" ht="15" hidden="false" customHeight="false" outlineLevel="0" collapsed="false">
      <c r="A1260" s="5" t="str">
        <f aca="false">'Source Data'!A1257</f>
        <v>Impinj</v>
      </c>
      <c r="B1260" s="5" t="str">
        <f aca="false">'Source Data'!B1257</f>
        <v>Technology: B2B Tech Services</v>
      </c>
      <c r="C1260" s="6" t="n">
        <f aca="false">'Source Data'!C1257</f>
        <v>12</v>
      </c>
      <c r="D1260" s="6" t="n">
        <f aca="false">'Source Data'!E1257</f>
        <v>0</v>
      </c>
      <c r="E1260" s="6" t="n">
        <f aca="false">IFERROR(N(C1260)-N(D1260),"")</f>
        <v>12</v>
      </c>
      <c r="F1260" s="7" t="str">
        <f aca="false">IF(E1260&gt;0,"Yes",IF(E1260&lt;0,"No (Paternity higher)","Equal"))</f>
        <v>Yes</v>
      </c>
    </row>
    <row r="1261" customFormat="false" ht="15" hidden="false" customHeight="false" outlineLevel="0" collapsed="false">
      <c r="A1261" s="5" t="str">
        <f aca="false">'Source Data'!A1258</f>
        <v>Iron Mountain</v>
      </c>
      <c r="B1261" s="5" t="str">
        <f aca="false">'Source Data'!B1258</f>
        <v>Technology: B2B Tech Services</v>
      </c>
      <c r="C1261" s="6" t="n">
        <f aca="false">'Source Data'!C1258</f>
        <v>5</v>
      </c>
      <c r="D1261" s="6" t="n">
        <f aca="false">'Source Data'!E1258</f>
        <v>0</v>
      </c>
      <c r="E1261" s="6" t="n">
        <f aca="false">IFERROR(N(C1261)-N(D1261),"")</f>
        <v>5</v>
      </c>
      <c r="F1261" s="7" t="str">
        <f aca="false">IF(E1261&gt;0,"Yes",IF(E1261&lt;0,"No (Paternity higher)","Equal"))</f>
        <v>Yes</v>
      </c>
    </row>
    <row r="1262" customFormat="false" ht="15" hidden="false" customHeight="false" outlineLevel="0" collapsed="false">
      <c r="A1262" s="5" t="str">
        <f aca="false">'Source Data'!A1259</f>
        <v>Knowable</v>
      </c>
      <c r="B1262" s="5" t="str">
        <f aca="false">'Source Data'!B1259</f>
        <v>Technology: B2B Tech Services</v>
      </c>
      <c r="C1262" s="6" t="n">
        <f aca="false">'Source Data'!C1259</f>
        <v>11</v>
      </c>
      <c r="D1262" s="6" t="n">
        <f aca="false">'Source Data'!E1259</f>
        <v>0</v>
      </c>
      <c r="E1262" s="6" t="n">
        <f aca="false">IFERROR(N(C1262)-N(D1262),"")</f>
        <v>11</v>
      </c>
      <c r="F1262" s="7" t="str">
        <f aca="false">IF(E1262&gt;0,"Yes",IF(E1262&lt;0,"No (Paternity higher)","Equal"))</f>
        <v>Yes</v>
      </c>
    </row>
    <row r="1263" customFormat="false" ht="15" hidden="false" customHeight="false" outlineLevel="0" collapsed="false">
      <c r="A1263" s="5" t="str">
        <f aca="false">'Source Data'!A1260</f>
        <v>Leidos</v>
      </c>
      <c r="B1263" s="5" t="str">
        <f aca="false">'Source Data'!B1260</f>
        <v>Technology: B2B Tech Services</v>
      </c>
      <c r="C1263" s="6" t="n">
        <f aca="false">'Source Data'!C1260</f>
        <v>4</v>
      </c>
      <c r="D1263" s="6" t="n">
        <f aca="false">'Source Data'!E1260</f>
        <v>0</v>
      </c>
      <c r="E1263" s="6" t="n">
        <f aca="false">IFERROR(N(C1263)-N(D1263),"")</f>
        <v>4</v>
      </c>
      <c r="F1263" s="7" t="str">
        <f aca="false">IF(E1263&gt;0,"Yes",IF(E1263&lt;0,"No (Paternity higher)","Equal"))</f>
        <v>Yes</v>
      </c>
    </row>
    <row r="1264" customFormat="false" ht="15" hidden="false" customHeight="false" outlineLevel="0" collapsed="false">
      <c r="A1264" s="5" t="str">
        <f aca="false">'Source Data'!A1261</f>
        <v>Luxoft</v>
      </c>
      <c r="B1264" s="5" t="str">
        <f aca="false">'Source Data'!B1261</f>
        <v>Technology: B2B Tech Services</v>
      </c>
      <c r="C1264" s="6" t="n">
        <f aca="false">'Source Data'!C1261</f>
        <v>26</v>
      </c>
      <c r="D1264" s="6" t="n">
        <f aca="false">'Source Data'!E1261</f>
        <v>0</v>
      </c>
      <c r="E1264" s="6" t="n">
        <f aca="false">IFERROR(N(C1264)-N(D1264),"")</f>
        <v>26</v>
      </c>
      <c r="F1264" s="7" t="str">
        <f aca="false">IF(E1264&gt;0,"Yes",IF(E1264&lt;0,"No (Paternity higher)","Equal"))</f>
        <v>Yes</v>
      </c>
    </row>
    <row r="1265" customFormat="false" ht="15" hidden="false" customHeight="false" outlineLevel="0" collapsed="false">
      <c r="A1265" s="5" t="str">
        <f aca="false">'Source Data'!A1262</f>
        <v>MediaMath</v>
      </c>
      <c r="B1265" s="5" t="str">
        <f aca="false">'Source Data'!B1262</f>
        <v>Technology: B2B Tech Services</v>
      </c>
      <c r="C1265" s="6" t="n">
        <f aca="false">'Source Data'!C1262</f>
        <v>10</v>
      </c>
      <c r="D1265" s="6" t="n">
        <f aca="false">'Source Data'!E1262</f>
        <v>0</v>
      </c>
      <c r="E1265" s="6" t="n">
        <f aca="false">IFERROR(N(C1265)-N(D1265),"")</f>
        <v>10</v>
      </c>
      <c r="F1265" s="7" t="str">
        <f aca="false">IF(E1265&gt;0,"Yes",IF(E1265&lt;0,"No (Paternity higher)","Equal"))</f>
        <v>Yes</v>
      </c>
    </row>
    <row r="1266" customFormat="false" ht="15" hidden="false" customHeight="false" outlineLevel="0" collapsed="false">
      <c r="A1266" s="5" t="str">
        <f aca="false">'Source Data'!A1263</f>
        <v>MEDITECH</v>
      </c>
      <c r="B1266" s="5" t="str">
        <f aca="false">'Source Data'!B1263</f>
        <v>Technology: B2B Tech Services</v>
      </c>
      <c r="C1266" s="6" t="n">
        <f aca="false">'Source Data'!C1263</f>
        <v>16</v>
      </c>
      <c r="D1266" s="6" t="n">
        <f aca="false">'Source Data'!E1263</f>
        <v>0</v>
      </c>
      <c r="E1266" s="6" t="n">
        <f aca="false">IFERROR(N(C1266)-N(D1266),"")</f>
        <v>16</v>
      </c>
      <c r="F1266" s="7" t="str">
        <f aca="false">IF(E1266&gt;0,"Yes",IF(E1266&lt;0,"No (Paternity higher)","Equal"))</f>
        <v>Yes</v>
      </c>
    </row>
    <row r="1267" customFormat="false" ht="15" hidden="false" customHeight="false" outlineLevel="0" collapsed="false">
      <c r="A1267" s="5" t="str">
        <f aca="false">'Source Data'!A1264</f>
        <v>MPAY</v>
      </c>
      <c r="B1267" s="5" t="str">
        <f aca="false">'Source Data'!B1264</f>
        <v>Technology: B2B Tech Services</v>
      </c>
      <c r="C1267" s="6" t="n">
        <f aca="false">'Source Data'!C1264</f>
        <v>4</v>
      </c>
      <c r="D1267" s="6" t="n">
        <f aca="false">'Source Data'!E1264</f>
        <v>0</v>
      </c>
      <c r="E1267" s="6" t="n">
        <f aca="false">IFERROR(N(C1267)-N(D1267),"")</f>
        <v>4</v>
      </c>
      <c r="F1267" s="7" t="str">
        <f aca="false">IF(E1267&gt;0,"Yes",IF(E1267&lt;0,"No (Paternity higher)","Equal"))</f>
        <v>Yes</v>
      </c>
    </row>
    <row r="1268" customFormat="false" ht="15" hidden="false" customHeight="false" outlineLevel="0" collapsed="false">
      <c r="A1268" s="5" t="str">
        <f aca="false">'Source Data'!A1265</f>
        <v>NCR Corporation</v>
      </c>
      <c r="B1268" s="5" t="str">
        <f aca="false">'Source Data'!B1265</f>
        <v>Technology: B2B Tech Services</v>
      </c>
      <c r="C1268" s="6" t="n">
        <f aca="false">'Source Data'!C1265</f>
        <v>17</v>
      </c>
      <c r="D1268" s="6" t="n">
        <f aca="false">'Source Data'!E1265</f>
        <v>0</v>
      </c>
      <c r="E1268" s="6" t="n">
        <f aca="false">IFERROR(N(C1268)-N(D1268),"")</f>
        <v>17</v>
      </c>
      <c r="F1268" s="7" t="str">
        <f aca="false">IF(E1268&gt;0,"Yes",IF(E1268&lt;0,"No (Paternity higher)","Equal"))</f>
        <v>Yes</v>
      </c>
    </row>
    <row r="1269" customFormat="false" ht="15" hidden="false" customHeight="false" outlineLevel="0" collapsed="false">
      <c r="A1269" s="5" t="str">
        <f aca="false">'Source Data'!A1266</f>
        <v>Optoro</v>
      </c>
      <c r="B1269" s="5" t="str">
        <f aca="false">'Source Data'!B1266</f>
        <v>Technology: B2B Tech Services</v>
      </c>
      <c r="C1269" s="6" t="n">
        <f aca="false">'Source Data'!C1266</f>
        <v>6</v>
      </c>
      <c r="D1269" s="6" t="n">
        <f aca="false">'Source Data'!E1266</f>
        <v>0</v>
      </c>
      <c r="E1269" s="6" t="n">
        <f aca="false">IFERROR(N(C1269)-N(D1269),"")</f>
        <v>6</v>
      </c>
      <c r="F1269" s="7" t="str">
        <f aca="false">IF(E1269&gt;0,"Yes",IF(E1269&lt;0,"No (Paternity higher)","Equal"))</f>
        <v>Yes</v>
      </c>
    </row>
    <row r="1270" customFormat="false" ht="15" hidden="false" customHeight="false" outlineLevel="0" collapsed="false">
      <c r="A1270" s="5" t="str">
        <f aca="false">'Source Data'!A1267</f>
        <v>Quantcast</v>
      </c>
      <c r="B1270" s="5" t="str">
        <f aca="false">'Source Data'!B1267</f>
        <v>Technology: B2B Tech Services</v>
      </c>
      <c r="C1270" s="6" t="n">
        <f aca="false">'Source Data'!C1267</f>
        <v>4</v>
      </c>
      <c r="D1270" s="6" t="n">
        <f aca="false">'Source Data'!E1267</f>
        <v>0</v>
      </c>
      <c r="E1270" s="6" t="n">
        <f aca="false">IFERROR(N(C1270)-N(D1270),"")</f>
        <v>4</v>
      </c>
      <c r="F1270" s="7" t="str">
        <f aca="false">IF(E1270&gt;0,"Yes",IF(E1270&lt;0,"No (Paternity higher)","Equal"))</f>
        <v>Yes</v>
      </c>
    </row>
    <row r="1271" customFormat="false" ht="15" hidden="false" customHeight="false" outlineLevel="0" collapsed="false">
      <c r="A1271" s="5" t="str">
        <f aca="false">'Source Data'!A1268</f>
        <v>Recurly</v>
      </c>
      <c r="B1271" s="5" t="str">
        <f aca="false">'Source Data'!B1268</f>
        <v>Technology: B2B Tech Services</v>
      </c>
      <c r="C1271" s="6" t="n">
        <f aca="false">'Source Data'!C1268</f>
        <v>6</v>
      </c>
      <c r="D1271" s="6" t="n">
        <f aca="false">'Source Data'!E1268</f>
        <v>0</v>
      </c>
      <c r="E1271" s="6" t="n">
        <f aca="false">IFERROR(N(C1271)-N(D1271),"")</f>
        <v>6</v>
      </c>
      <c r="F1271" s="7" t="str">
        <f aca="false">IF(E1271&gt;0,"Yes",IF(E1271&lt;0,"No (Paternity higher)","Equal"))</f>
        <v>Yes</v>
      </c>
    </row>
    <row r="1272" customFormat="false" ht="15" hidden="false" customHeight="false" outlineLevel="0" collapsed="false">
      <c r="A1272" s="5" t="str">
        <f aca="false">'Source Data'!A1269</f>
        <v>Sirius Computer Solutions</v>
      </c>
      <c r="B1272" s="5" t="str">
        <f aca="false">'Source Data'!B1269</f>
        <v>Technology: B2B Tech Services</v>
      </c>
      <c r="C1272" s="6" t="n">
        <f aca="false">'Source Data'!C1269</f>
        <v>4</v>
      </c>
      <c r="D1272" s="6" t="n">
        <f aca="false">'Source Data'!E1269</f>
        <v>0</v>
      </c>
      <c r="E1272" s="6" t="n">
        <f aca="false">IFERROR(N(C1272)-N(D1272),"")</f>
        <v>4</v>
      </c>
      <c r="F1272" s="7" t="str">
        <f aca="false">IF(E1272&gt;0,"Yes",IF(E1272&lt;0,"No (Paternity higher)","Equal"))</f>
        <v>Yes</v>
      </c>
    </row>
    <row r="1273" customFormat="false" ht="15" hidden="false" customHeight="false" outlineLevel="0" collapsed="false">
      <c r="A1273" s="5" t="str">
        <f aca="false">'Source Data'!A1270</f>
        <v>Teradata</v>
      </c>
      <c r="B1273" s="5" t="str">
        <f aca="false">'Source Data'!B1270</f>
        <v>Technology: B2B Tech Services</v>
      </c>
      <c r="C1273" s="6" t="n">
        <f aca="false">'Source Data'!C1270</f>
        <v>8</v>
      </c>
      <c r="D1273" s="6" t="n">
        <f aca="false">'Source Data'!E1270</f>
        <v>0</v>
      </c>
      <c r="E1273" s="6" t="n">
        <f aca="false">IFERROR(N(C1273)-N(D1273),"")</f>
        <v>8</v>
      </c>
      <c r="F1273" s="7" t="str">
        <f aca="false">IF(E1273&gt;0,"Yes",IF(E1273&lt;0,"No (Paternity higher)","Equal"))</f>
        <v>Yes</v>
      </c>
    </row>
    <row r="1274" customFormat="false" ht="15" hidden="false" customHeight="false" outlineLevel="0" collapsed="false">
      <c r="A1274" s="5" t="str">
        <f aca="false">'Source Data'!A1271</f>
        <v>Twilio</v>
      </c>
      <c r="B1274" s="5" t="str">
        <f aca="false">'Source Data'!B1271</f>
        <v>Technology: B2B Tech Services</v>
      </c>
      <c r="C1274" s="6" t="n">
        <f aca="false">'Source Data'!C1271</f>
        <v>16</v>
      </c>
      <c r="D1274" s="6" t="n">
        <f aca="false">'Source Data'!E1271</f>
        <v>0</v>
      </c>
      <c r="E1274" s="6" t="n">
        <f aca="false">IFERROR(N(C1274)-N(D1274),"")</f>
        <v>16</v>
      </c>
      <c r="F1274" s="7" t="str">
        <f aca="false">IF(E1274&gt;0,"Yes",IF(E1274&lt;0,"No (Paternity higher)","Equal"))</f>
        <v>Yes</v>
      </c>
    </row>
    <row r="1275" customFormat="false" ht="15" hidden="false" customHeight="false" outlineLevel="0" collapsed="false">
      <c r="A1275" s="5" t="str">
        <f aca="false">'Source Data'!A1272</f>
        <v>Unisys</v>
      </c>
      <c r="B1275" s="5" t="str">
        <f aca="false">'Source Data'!B1272</f>
        <v>Technology: B2B Tech Services</v>
      </c>
      <c r="C1275" s="6" t="n">
        <f aca="false">'Source Data'!C1272</f>
        <v>12</v>
      </c>
      <c r="D1275" s="6" t="n">
        <f aca="false">'Source Data'!E1272</f>
        <v>0</v>
      </c>
      <c r="E1275" s="6" t="n">
        <f aca="false">IFERROR(N(C1275)-N(D1275),"")</f>
        <v>12</v>
      </c>
      <c r="F1275" s="7" t="str">
        <f aca="false">IF(E1275&gt;0,"Yes",IF(E1275&lt;0,"No (Paternity higher)","Equal"))</f>
        <v>Yes</v>
      </c>
    </row>
    <row r="1276" customFormat="false" ht="15" hidden="false" customHeight="false" outlineLevel="0" collapsed="false">
      <c r="A1276" s="5" t="str">
        <f aca="false">'Source Data'!A1273</f>
        <v>Volt Information Sciences</v>
      </c>
      <c r="B1276" s="5" t="str">
        <f aca="false">'Source Data'!B1273</f>
        <v>Technology: B2B Tech Services</v>
      </c>
      <c r="C1276" s="6" t="n">
        <f aca="false">'Source Data'!C1273</f>
        <v>6</v>
      </c>
      <c r="D1276" s="6" t="n">
        <f aca="false">'Source Data'!E1273</f>
        <v>0</v>
      </c>
      <c r="E1276" s="6" t="n">
        <f aca="false">IFERROR(N(C1276)-N(D1276),"")</f>
        <v>6</v>
      </c>
      <c r="F1276" s="7" t="str">
        <f aca="false">IF(E1276&gt;0,"Yes",IF(E1276&lt;0,"No (Paternity higher)","Equal"))</f>
        <v>Yes</v>
      </c>
    </row>
    <row r="1277" customFormat="false" ht="15" hidden="false" customHeight="false" outlineLevel="0" collapsed="false">
      <c r="A1277" s="5" t="str">
        <f aca="false">'Source Data'!A1274</f>
        <v>Wipro</v>
      </c>
      <c r="B1277" s="5" t="str">
        <f aca="false">'Source Data'!B1274</f>
        <v>Technology: B2B Tech Services</v>
      </c>
      <c r="C1277" s="6" t="n">
        <f aca="false">'Source Data'!C1274</f>
        <v>16</v>
      </c>
      <c r="D1277" s="6" t="n">
        <f aca="false">'Source Data'!E1274</f>
        <v>0</v>
      </c>
      <c r="E1277" s="6" t="n">
        <f aca="false">IFERROR(N(C1277)-N(D1277),"")</f>
        <v>16</v>
      </c>
      <c r="F1277" s="7" t="str">
        <f aca="false">IF(E1277&gt;0,"Yes",IF(E1277&lt;0,"No (Paternity higher)","Equal"))</f>
        <v>Yes</v>
      </c>
    </row>
    <row r="1278" customFormat="false" ht="15" hidden="false" customHeight="false" outlineLevel="0" collapsed="false">
      <c r="A1278" s="5" t="str">
        <f aca="false">'Source Data'!A1275</f>
        <v>Airbnb</v>
      </c>
      <c r="B1278" s="5" t="str">
        <f aca="false">'Source Data'!B1275</f>
        <v>Technology: Consumer Internet</v>
      </c>
      <c r="C1278" s="6" t="n">
        <f aca="false">'Source Data'!C1275</f>
        <v>21</v>
      </c>
      <c r="D1278" s="6" t="n">
        <f aca="false">'Source Data'!E1275</f>
        <v>0</v>
      </c>
      <c r="E1278" s="6" t="n">
        <f aca="false">IFERROR(N(C1278)-N(D1278),"")</f>
        <v>21</v>
      </c>
      <c r="F1278" s="7" t="str">
        <f aca="false">IF(E1278&gt;0,"Yes",IF(E1278&lt;0,"No (Paternity higher)","Equal"))</f>
        <v>Yes</v>
      </c>
    </row>
    <row r="1279" customFormat="false" ht="15" hidden="false" customHeight="false" outlineLevel="0" collapsed="false">
      <c r="A1279" s="5" t="str">
        <f aca="false">'Source Data'!A1276</f>
        <v>AOL</v>
      </c>
      <c r="B1279" s="5" t="str">
        <f aca="false">'Source Data'!B1276</f>
        <v>Technology: Consumer Internet</v>
      </c>
      <c r="C1279" s="6" t="n">
        <f aca="false">'Source Data'!C1276</f>
        <v>12</v>
      </c>
      <c r="D1279" s="6" t="n">
        <f aca="false">'Source Data'!E1276</f>
        <v>0</v>
      </c>
      <c r="E1279" s="6" t="n">
        <f aca="false">IFERROR(N(C1279)-N(D1279),"")</f>
        <v>12</v>
      </c>
      <c r="F1279" s="7" t="str">
        <f aca="false">IF(E1279&gt;0,"Yes",IF(E1279&lt;0,"No (Paternity higher)","Equal"))</f>
        <v>Yes</v>
      </c>
    </row>
    <row r="1280" customFormat="false" ht="15" hidden="false" customHeight="false" outlineLevel="0" collapsed="false">
      <c r="A1280" s="5" t="str">
        <f aca="false">'Source Data'!A1277</f>
        <v>BentoBox</v>
      </c>
      <c r="B1280" s="5" t="str">
        <f aca="false">'Source Data'!B1277</f>
        <v>Technology: Consumer Internet</v>
      </c>
      <c r="C1280" s="6" t="n">
        <f aca="false">'Source Data'!C1277</f>
        <v>12</v>
      </c>
      <c r="D1280" s="6" t="n">
        <f aca="false">'Source Data'!E1277</f>
        <v>0</v>
      </c>
      <c r="E1280" s="6" t="n">
        <f aca="false">IFERROR(N(C1280)-N(D1280),"")</f>
        <v>12</v>
      </c>
      <c r="F1280" s="7" t="str">
        <f aca="false">IF(E1280&gt;0,"Yes",IF(E1280&lt;0,"No (Paternity higher)","Equal"))</f>
        <v>Yes</v>
      </c>
    </row>
    <row r="1281" customFormat="false" ht="15" hidden="false" customHeight="false" outlineLevel="0" collapsed="false">
      <c r="A1281" s="5" t="str">
        <f aca="false">'Source Data'!A1278</f>
        <v>BlaBlaCar</v>
      </c>
      <c r="B1281" s="5" t="str">
        <f aca="false">'Source Data'!B1278</f>
        <v>Technology: Consumer Internet</v>
      </c>
      <c r="C1281" s="6" t="n">
        <f aca="false">'Source Data'!C1278</f>
        <v>12</v>
      </c>
      <c r="D1281" s="6" t="n">
        <f aca="false">'Source Data'!E1278</f>
        <v>0</v>
      </c>
      <c r="E1281" s="6" t="n">
        <f aca="false">IFERROR(N(C1281)-N(D1281),"")</f>
        <v>12</v>
      </c>
      <c r="F1281" s="7" t="str">
        <f aca="false">IF(E1281&gt;0,"Yes",IF(E1281&lt;0,"No (Paternity higher)","Equal"))</f>
        <v>Yes</v>
      </c>
    </row>
    <row r="1282" customFormat="false" ht="15" hidden="false" customHeight="false" outlineLevel="0" collapsed="false">
      <c r="A1282" s="5" t="str">
        <f aca="false">'Source Data'!A1279</f>
        <v>Booking.com</v>
      </c>
      <c r="B1282" s="5" t="str">
        <f aca="false">'Source Data'!B1279</f>
        <v>Technology: Consumer Internet</v>
      </c>
      <c r="C1282" s="6" t="n">
        <f aca="false">'Source Data'!C1279</f>
        <v>22</v>
      </c>
      <c r="D1282" s="6" t="n">
        <f aca="false">'Source Data'!E1279</f>
        <v>0</v>
      </c>
      <c r="E1282" s="6" t="n">
        <f aca="false">IFERROR(N(C1282)-N(D1282),"")</f>
        <v>22</v>
      </c>
      <c r="F1282" s="7" t="str">
        <f aca="false">IF(E1282&gt;0,"Yes",IF(E1282&lt;0,"No (Paternity higher)","Equal"))</f>
        <v>Yes</v>
      </c>
    </row>
    <row r="1283" customFormat="false" ht="15" hidden="false" customHeight="false" outlineLevel="0" collapsed="false">
      <c r="A1283" s="5" t="str">
        <f aca="false">'Source Data'!A1280</f>
        <v>CampusLogic</v>
      </c>
      <c r="B1283" s="5" t="str">
        <f aca="false">'Source Data'!B1280</f>
        <v>Technology: Consumer Internet</v>
      </c>
      <c r="C1283" s="6" t="n">
        <f aca="false">'Source Data'!C1280</f>
        <v>10</v>
      </c>
      <c r="D1283" s="6" t="n">
        <f aca="false">'Source Data'!E1280</f>
        <v>0</v>
      </c>
      <c r="E1283" s="6" t="n">
        <f aca="false">IFERROR(N(C1283)-N(D1283),"")</f>
        <v>10</v>
      </c>
      <c r="F1283" s="7" t="str">
        <f aca="false">IF(E1283&gt;0,"Yes",IF(E1283&lt;0,"No (Paternity higher)","Equal"))</f>
        <v>Yes</v>
      </c>
    </row>
    <row r="1284" customFormat="false" ht="15" hidden="false" customHeight="false" outlineLevel="0" collapsed="false">
      <c r="A1284" s="5" t="str">
        <f aca="false">'Source Data'!A1281</f>
        <v>CarMax</v>
      </c>
      <c r="B1284" s="5" t="str">
        <f aca="false">'Source Data'!B1281</f>
        <v>Technology: Consumer Internet</v>
      </c>
      <c r="C1284" s="6" t="n">
        <f aca="false">'Source Data'!C1281</f>
        <v>6</v>
      </c>
      <c r="D1284" s="6" t="n">
        <f aca="false">'Source Data'!E1281</f>
        <v>0</v>
      </c>
      <c r="E1284" s="6" t="n">
        <f aca="false">IFERROR(N(C1284)-N(D1284),"")</f>
        <v>6</v>
      </c>
      <c r="F1284" s="7" t="str">
        <f aca="false">IF(E1284&gt;0,"Yes",IF(E1284&lt;0,"No (Paternity higher)","Equal"))</f>
        <v>Yes</v>
      </c>
    </row>
    <row r="1285" customFormat="false" ht="15" hidden="false" customHeight="false" outlineLevel="0" collapsed="false">
      <c r="A1285" s="5" t="str">
        <f aca="false">'Source Data'!A1282</f>
        <v>Carsales</v>
      </c>
      <c r="B1285" s="5" t="str">
        <f aca="false">'Source Data'!B1282</f>
        <v>Technology: Consumer Internet</v>
      </c>
      <c r="C1285" s="6" t="n">
        <f aca="false">'Source Data'!C1282</f>
        <v>16</v>
      </c>
      <c r="D1285" s="6" t="n">
        <f aca="false">'Source Data'!E1282</f>
        <v>2</v>
      </c>
      <c r="E1285" s="6" t="n">
        <f aca="false">IFERROR(N(C1285)-N(D1285),"")</f>
        <v>14</v>
      </c>
      <c r="F1285" s="7" t="str">
        <f aca="false">IF(E1285&gt;0,"Yes",IF(E1285&lt;0,"No (Paternity higher)","Equal"))</f>
        <v>Yes</v>
      </c>
    </row>
    <row r="1286" customFormat="false" ht="15" hidden="false" customHeight="false" outlineLevel="0" collapsed="false">
      <c r="A1286" s="5" t="str">
        <f aca="false">'Source Data'!A1283</f>
        <v>ChowNow</v>
      </c>
      <c r="B1286" s="5" t="str">
        <f aca="false">'Source Data'!B1283</f>
        <v>Technology: Consumer Internet</v>
      </c>
      <c r="C1286" s="6" t="n">
        <f aca="false">'Source Data'!C1283</f>
        <v>15</v>
      </c>
      <c r="D1286" s="6" t="n">
        <f aca="false">'Source Data'!E1283</f>
        <v>0</v>
      </c>
      <c r="E1286" s="6" t="n">
        <f aca="false">IFERROR(N(C1286)-N(D1286),"")</f>
        <v>15</v>
      </c>
      <c r="F1286" s="7" t="str">
        <f aca="false">IF(E1286&gt;0,"Yes",IF(E1286&lt;0,"No (Paternity higher)","Equal"))</f>
        <v>Yes</v>
      </c>
    </row>
    <row r="1287" customFormat="false" ht="15" hidden="false" customHeight="false" outlineLevel="0" collapsed="false">
      <c r="A1287" s="5" t="str">
        <f aca="false">'Source Data'!A1284</f>
        <v>Cloudworkers</v>
      </c>
      <c r="B1287" s="5" t="str">
        <f aca="false">'Source Data'!B1284</f>
        <v>Technology: Consumer Internet</v>
      </c>
      <c r="C1287" s="6" t="n">
        <f aca="false">'Source Data'!C1284</f>
        <v>52</v>
      </c>
      <c r="D1287" s="6" t="n">
        <f aca="false">'Source Data'!E1284</f>
        <v>0</v>
      </c>
      <c r="E1287" s="6" t="n">
        <f aca="false">IFERROR(N(C1287)-N(D1287),"")</f>
        <v>52</v>
      </c>
      <c r="F1287" s="7" t="str">
        <f aca="false">IF(E1287&gt;0,"Yes",IF(E1287&lt;0,"No (Paternity higher)","Equal"))</f>
        <v>Yes</v>
      </c>
    </row>
    <row r="1288" customFormat="false" ht="15" hidden="false" customHeight="false" outlineLevel="0" collapsed="false">
      <c r="A1288" s="5" t="str">
        <f aca="false">'Source Data'!A1285</f>
        <v>Comoto Holdings</v>
      </c>
      <c r="B1288" s="5" t="str">
        <f aca="false">'Source Data'!B1285</f>
        <v>Technology: Consumer Internet</v>
      </c>
      <c r="C1288" s="6" t="n">
        <f aca="false">'Source Data'!C1285</f>
        <v>12</v>
      </c>
      <c r="D1288" s="6" t="n">
        <f aca="false">'Source Data'!E1285</f>
        <v>0</v>
      </c>
      <c r="E1288" s="6" t="n">
        <f aca="false">IFERROR(N(C1288)-N(D1288),"")</f>
        <v>12</v>
      </c>
      <c r="F1288" s="7" t="str">
        <f aca="false">IF(E1288&gt;0,"Yes",IF(E1288&lt;0,"No (Paternity higher)","Equal"))</f>
        <v>Yes</v>
      </c>
    </row>
    <row r="1289" customFormat="false" ht="15" hidden="false" customHeight="false" outlineLevel="0" collapsed="false">
      <c r="A1289" s="5" t="str">
        <f aca="false">'Source Data'!A1286</f>
        <v>Divercity</v>
      </c>
      <c r="B1289" s="5" t="str">
        <f aca="false">'Source Data'!B1286</f>
        <v>Technology: Consumer Internet</v>
      </c>
      <c r="C1289" s="6" t="n">
        <f aca="false">'Source Data'!C1286</f>
        <v>1</v>
      </c>
      <c r="D1289" s="6" t="n">
        <f aca="false">'Source Data'!E1286</f>
        <v>0</v>
      </c>
      <c r="E1289" s="6" t="n">
        <f aca="false">IFERROR(N(C1289)-N(D1289),"")</f>
        <v>1</v>
      </c>
      <c r="F1289" s="7" t="str">
        <f aca="false">IF(E1289&gt;0,"Yes",IF(E1289&lt;0,"No (Paternity higher)","Equal"))</f>
        <v>Yes</v>
      </c>
    </row>
    <row r="1290" customFormat="false" ht="15" hidden="false" customHeight="false" outlineLevel="0" collapsed="false">
      <c r="A1290" s="5" t="str">
        <f aca="false">'Source Data'!A1287</f>
        <v>DoorDash</v>
      </c>
      <c r="B1290" s="5" t="str">
        <f aca="false">'Source Data'!B1287</f>
        <v>Technology: Consumer Internet</v>
      </c>
      <c r="C1290" s="6" t="n">
        <f aca="false">'Source Data'!C1287</f>
        <v>10</v>
      </c>
      <c r="D1290" s="6" t="n">
        <f aca="false">'Source Data'!E1287</f>
        <v>0</v>
      </c>
      <c r="E1290" s="6" t="n">
        <f aca="false">IFERROR(N(C1290)-N(D1290),"")</f>
        <v>10</v>
      </c>
      <c r="F1290" s="7" t="str">
        <f aca="false">IF(E1290&gt;0,"Yes",IF(E1290&lt;0,"No (Paternity higher)","Equal"))</f>
        <v>Yes</v>
      </c>
    </row>
    <row r="1291" customFormat="false" ht="15" hidden="false" customHeight="false" outlineLevel="0" collapsed="false">
      <c r="A1291" s="5" t="str">
        <f aca="false">'Source Data'!A1288</f>
        <v>Freewheel</v>
      </c>
      <c r="B1291" s="5" t="str">
        <f aca="false">'Source Data'!B1288</f>
        <v>Technology: Consumer Internet</v>
      </c>
      <c r="C1291" s="6" t="n">
        <f aca="false">'Source Data'!C1288</f>
        <v>12</v>
      </c>
      <c r="D1291" s="6" t="n">
        <f aca="false">'Source Data'!E1288</f>
        <v>0</v>
      </c>
      <c r="E1291" s="6" t="n">
        <f aca="false">IFERROR(N(C1291)-N(D1291),"")</f>
        <v>12</v>
      </c>
      <c r="F1291" s="7" t="str">
        <f aca="false">IF(E1291&gt;0,"Yes",IF(E1291&lt;0,"No (Paternity higher)","Equal"))</f>
        <v>Yes</v>
      </c>
    </row>
    <row r="1292" customFormat="false" ht="15" hidden="false" customHeight="false" outlineLevel="0" collapsed="false">
      <c r="A1292" s="5" t="str">
        <f aca="false">'Source Data'!A1289</f>
        <v>Genius</v>
      </c>
      <c r="B1292" s="5" t="str">
        <f aca="false">'Source Data'!B1289</f>
        <v>Technology: Consumer Internet</v>
      </c>
      <c r="C1292" s="6" t="n">
        <f aca="false">'Source Data'!C1289</f>
        <v>12</v>
      </c>
      <c r="D1292" s="6" t="n">
        <f aca="false">'Source Data'!E1289</f>
        <v>0</v>
      </c>
      <c r="E1292" s="6" t="n">
        <f aca="false">IFERROR(N(C1292)-N(D1292),"")</f>
        <v>12</v>
      </c>
      <c r="F1292" s="7" t="str">
        <f aca="false">IF(E1292&gt;0,"Yes",IF(E1292&lt;0,"No (Paternity higher)","Equal"))</f>
        <v>Yes</v>
      </c>
    </row>
    <row r="1293" customFormat="false" ht="15" hidden="false" customHeight="false" outlineLevel="0" collapsed="false">
      <c r="A1293" s="5" t="str">
        <f aca="false">'Source Data'!A1290</f>
        <v>GoDaddy</v>
      </c>
      <c r="B1293" s="5" t="str">
        <f aca="false">'Source Data'!B1290</f>
        <v>Technology: Consumer Internet</v>
      </c>
      <c r="C1293" s="6" t="n">
        <f aca="false">'Source Data'!C1290</f>
        <v>17</v>
      </c>
      <c r="D1293" s="6" t="n">
        <f aca="false">'Source Data'!E1290</f>
        <v>0</v>
      </c>
      <c r="E1293" s="6" t="n">
        <f aca="false">IFERROR(N(C1293)-N(D1293),"")</f>
        <v>17</v>
      </c>
      <c r="F1293" s="7" t="str">
        <f aca="false">IF(E1293&gt;0,"Yes",IF(E1293&lt;0,"No (Paternity higher)","Equal"))</f>
        <v>Yes</v>
      </c>
    </row>
    <row r="1294" customFormat="false" ht="15" hidden="false" customHeight="false" outlineLevel="0" collapsed="false">
      <c r="A1294" s="5" t="str">
        <f aca="false">'Source Data'!A1291</f>
        <v>Groupon</v>
      </c>
      <c r="B1294" s="5" t="str">
        <f aca="false">'Source Data'!B1291</f>
        <v>Technology: Consumer Internet</v>
      </c>
      <c r="C1294" s="6" t="n">
        <f aca="false">'Source Data'!C1291</f>
        <v>14</v>
      </c>
      <c r="D1294" s="6" t="n">
        <f aca="false">'Source Data'!E1291</f>
        <v>0</v>
      </c>
      <c r="E1294" s="6" t="n">
        <f aca="false">IFERROR(N(C1294)-N(D1294),"")</f>
        <v>14</v>
      </c>
      <c r="F1294" s="7" t="str">
        <f aca="false">IF(E1294&gt;0,"Yes",IF(E1294&lt;0,"No (Paternity higher)","Equal"))</f>
        <v>Yes</v>
      </c>
    </row>
    <row r="1295" customFormat="false" ht="15" hidden="false" customHeight="false" outlineLevel="0" collapsed="false">
      <c r="A1295" s="5" t="str">
        <f aca="false">'Source Data'!A1292</f>
        <v>Grubhub</v>
      </c>
      <c r="B1295" s="5" t="str">
        <f aca="false">'Source Data'!B1292</f>
        <v>Technology: Consumer Internet</v>
      </c>
      <c r="C1295" s="6" t="n">
        <f aca="false">'Source Data'!C1292</f>
        <v>12</v>
      </c>
      <c r="D1295" s="6" t="n">
        <f aca="false">'Source Data'!E1292</f>
        <v>0</v>
      </c>
      <c r="E1295" s="6" t="n">
        <f aca="false">IFERROR(N(C1295)-N(D1295),"")</f>
        <v>12</v>
      </c>
      <c r="F1295" s="7" t="str">
        <f aca="false">IF(E1295&gt;0,"Yes",IF(E1295&lt;0,"No (Paternity higher)","Equal"))</f>
        <v>Yes</v>
      </c>
    </row>
    <row r="1296" customFormat="false" ht="15" hidden="false" customHeight="false" outlineLevel="0" collapsed="false">
      <c r="A1296" s="5" t="str">
        <f aca="false">'Source Data'!A1293</f>
        <v>Ibotta</v>
      </c>
      <c r="B1296" s="5" t="str">
        <f aca="false">'Source Data'!B1293</f>
        <v>Technology: Consumer Internet</v>
      </c>
      <c r="C1296" s="6" t="n">
        <f aca="false">'Source Data'!C1293</f>
        <v>4</v>
      </c>
      <c r="D1296" s="6" t="n">
        <f aca="false">'Source Data'!E1293</f>
        <v>0</v>
      </c>
      <c r="E1296" s="6" t="n">
        <f aca="false">IFERROR(N(C1296)-N(D1296),"")</f>
        <v>4</v>
      </c>
      <c r="F1296" s="7" t="str">
        <f aca="false">IF(E1296&gt;0,"Yes",IF(E1296&lt;0,"No (Paternity higher)","Equal"))</f>
        <v>Yes</v>
      </c>
    </row>
    <row r="1297" customFormat="false" ht="15" hidden="false" customHeight="false" outlineLevel="0" collapsed="false">
      <c r="A1297" s="5" t="str">
        <f aca="false">'Source Data'!A1294</f>
        <v>Indiegogo</v>
      </c>
      <c r="B1297" s="5" t="str">
        <f aca="false">'Source Data'!B1294</f>
        <v>Technology: Consumer Internet</v>
      </c>
      <c r="C1297" s="6" t="n">
        <f aca="false">'Source Data'!C1294</f>
        <v>10</v>
      </c>
      <c r="D1297" s="6" t="n">
        <f aca="false">'Source Data'!E1294</f>
        <v>0</v>
      </c>
      <c r="E1297" s="6" t="n">
        <f aca="false">IFERROR(N(C1297)-N(D1297),"")</f>
        <v>10</v>
      </c>
      <c r="F1297" s="7" t="str">
        <f aca="false">IF(E1297&gt;0,"Yes",IF(E1297&lt;0,"No (Paternity higher)","Equal"))</f>
        <v>Yes</v>
      </c>
    </row>
    <row r="1298" customFormat="false" ht="15" hidden="false" customHeight="false" outlineLevel="0" collapsed="false">
      <c r="A1298" s="5" t="str">
        <f aca="false">'Source Data'!A1295</f>
        <v>Justworks</v>
      </c>
      <c r="B1298" s="5" t="str">
        <f aca="false">'Source Data'!B1295</f>
        <v>Technology: Consumer Internet</v>
      </c>
      <c r="C1298" s="6" t="n">
        <f aca="false">'Source Data'!C1295</f>
        <v>14</v>
      </c>
      <c r="D1298" s="6" t="n">
        <f aca="false">'Source Data'!E1295</f>
        <v>0</v>
      </c>
      <c r="E1298" s="6" t="n">
        <f aca="false">IFERROR(N(C1298)-N(D1298),"")</f>
        <v>14</v>
      </c>
      <c r="F1298" s="7" t="str">
        <f aca="false">IF(E1298&gt;0,"Yes",IF(E1298&lt;0,"No (Paternity higher)","Equal"))</f>
        <v>Yes</v>
      </c>
    </row>
    <row r="1299" customFormat="false" ht="15" hidden="false" customHeight="false" outlineLevel="0" collapsed="false">
      <c r="A1299" s="5" t="str">
        <f aca="false">'Source Data'!A1296</f>
        <v>LaunchGood</v>
      </c>
      <c r="B1299" s="5" t="str">
        <f aca="false">'Source Data'!B1296</f>
        <v>Technology: Consumer Internet</v>
      </c>
      <c r="C1299" s="6" t="n">
        <f aca="false">'Source Data'!C1296</f>
        <v>12</v>
      </c>
      <c r="D1299" s="6" t="n">
        <f aca="false">'Source Data'!E1296</f>
        <v>0</v>
      </c>
      <c r="E1299" s="6" t="n">
        <f aca="false">IFERROR(N(C1299)-N(D1299),"")</f>
        <v>12</v>
      </c>
      <c r="F1299" s="7" t="str">
        <f aca="false">IF(E1299&gt;0,"Yes",IF(E1299&lt;0,"No (Paternity higher)","Equal"))</f>
        <v>Yes</v>
      </c>
    </row>
    <row r="1300" customFormat="false" ht="15" hidden="false" customHeight="false" outlineLevel="0" collapsed="false">
      <c r="A1300" s="5" t="str">
        <f aca="false">'Source Data'!A1297</f>
        <v>Lyft</v>
      </c>
      <c r="B1300" s="5" t="str">
        <f aca="false">'Source Data'!B1297</f>
        <v>Technology: Consumer Internet</v>
      </c>
      <c r="C1300" s="6" t="n">
        <f aca="false">'Source Data'!C1297</f>
        <v>12</v>
      </c>
      <c r="D1300" s="6" t="n">
        <f aca="false">'Source Data'!E1297</f>
        <v>0</v>
      </c>
      <c r="E1300" s="6" t="n">
        <f aca="false">IFERROR(N(C1300)-N(D1300),"")</f>
        <v>12</v>
      </c>
      <c r="F1300" s="7" t="str">
        <f aca="false">IF(E1300&gt;0,"Yes",IF(E1300&lt;0,"No (Paternity higher)","Equal"))</f>
        <v>Yes</v>
      </c>
    </row>
    <row r="1301" customFormat="false" ht="15" hidden="false" customHeight="false" outlineLevel="0" collapsed="false">
      <c r="A1301" s="5" t="str">
        <f aca="false">'Source Data'!A1298</f>
        <v>Match</v>
      </c>
      <c r="B1301" s="5" t="str">
        <f aca="false">'Source Data'!B1298</f>
        <v>Technology: Consumer Internet</v>
      </c>
      <c r="C1301" s="6" t="n">
        <f aca="false">'Source Data'!C1298</f>
        <v>16</v>
      </c>
      <c r="D1301" s="6" t="n">
        <f aca="false">'Source Data'!E1298</f>
        <v>0</v>
      </c>
      <c r="E1301" s="6" t="n">
        <f aca="false">IFERROR(N(C1301)-N(D1301),"")</f>
        <v>16</v>
      </c>
      <c r="F1301" s="7" t="str">
        <f aca="false">IF(E1301&gt;0,"Yes",IF(E1301&lt;0,"No (Paternity higher)","Equal"))</f>
        <v>Yes</v>
      </c>
    </row>
    <row r="1302" customFormat="false" ht="15" hidden="false" customHeight="false" outlineLevel="0" collapsed="false">
      <c r="A1302" s="5" t="str">
        <f aca="false">'Source Data'!A1299</f>
        <v>Match Group</v>
      </c>
      <c r="B1302" s="5" t="str">
        <f aca="false">'Source Data'!B1299</f>
        <v>Technology: Consumer Internet</v>
      </c>
      <c r="C1302" s="6" t="n">
        <f aca="false">'Source Data'!C1299</f>
        <v>14</v>
      </c>
      <c r="D1302" s="6" t="n">
        <f aca="false">'Source Data'!E1299</f>
        <v>0</v>
      </c>
      <c r="E1302" s="6" t="n">
        <f aca="false">IFERROR(N(C1302)-N(D1302),"")</f>
        <v>14</v>
      </c>
      <c r="F1302" s="7" t="str">
        <f aca="false">IF(E1302&gt;0,"Yes",IF(E1302&lt;0,"No (Paternity higher)","Equal"))</f>
        <v>Yes</v>
      </c>
    </row>
    <row r="1303" customFormat="false" ht="15" hidden="false" customHeight="false" outlineLevel="0" collapsed="false">
      <c r="A1303" s="5" t="str">
        <f aca="false">'Source Data'!A1300</f>
        <v>Meta</v>
      </c>
      <c r="B1303" s="5" t="str">
        <f aca="false">'Source Data'!B1300</f>
        <v>Technology: Consumer Internet</v>
      </c>
      <c r="C1303" s="6" t="n">
        <f aca="false">'Source Data'!C1300</f>
        <v>22</v>
      </c>
      <c r="D1303" s="6" t="n">
        <f aca="false">'Source Data'!E1300</f>
        <v>0</v>
      </c>
      <c r="E1303" s="6" t="n">
        <f aca="false">IFERROR(N(C1303)-N(D1303),"")</f>
        <v>22</v>
      </c>
      <c r="F1303" s="7" t="str">
        <f aca="false">IF(E1303&gt;0,"Yes",IF(E1303&lt;0,"No (Paternity higher)","Equal"))</f>
        <v>Yes</v>
      </c>
    </row>
    <row r="1304" customFormat="false" ht="15" hidden="false" customHeight="false" outlineLevel="0" collapsed="false">
      <c r="A1304" s="5" t="str">
        <f aca="false">'Source Data'!A1301</f>
        <v>MindSumo</v>
      </c>
      <c r="B1304" s="5" t="str">
        <f aca="false">'Source Data'!B1301</f>
        <v>Technology: Consumer Internet</v>
      </c>
      <c r="C1304" s="6" t="n">
        <f aca="false">'Source Data'!C1301</f>
        <v>12</v>
      </c>
      <c r="D1304" s="6" t="n">
        <f aca="false">'Source Data'!E1301</f>
        <v>0</v>
      </c>
      <c r="E1304" s="6" t="n">
        <f aca="false">IFERROR(N(C1304)-N(D1304),"")</f>
        <v>12</v>
      </c>
      <c r="F1304" s="7" t="str">
        <f aca="false">IF(E1304&gt;0,"Yes",IF(E1304&lt;0,"No (Paternity higher)","Equal"))</f>
        <v>Yes</v>
      </c>
    </row>
    <row r="1305" customFormat="false" ht="15" hidden="false" customHeight="false" outlineLevel="0" collapsed="false">
      <c r="A1305" s="5" t="str">
        <f aca="false">'Source Data'!A1302</f>
        <v>Nerdwallet</v>
      </c>
      <c r="B1305" s="5" t="str">
        <f aca="false">'Source Data'!B1302</f>
        <v>Technology: Consumer Internet</v>
      </c>
      <c r="C1305" s="6" t="n">
        <f aca="false">'Source Data'!C1302</f>
        <v>12</v>
      </c>
      <c r="D1305" s="6" t="n">
        <f aca="false">'Source Data'!E1302</f>
        <v>0</v>
      </c>
      <c r="E1305" s="6" t="n">
        <f aca="false">IFERROR(N(C1305)-N(D1305),"")</f>
        <v>12</v>
      </c>
      <c r="F1305" s="7" t="str">
        <f aca="false">IF(E1305&gt;0,"Yes",IF(E1305&lt;0,"No (Paternity higher)","Equal"))</f>
        <v>Yes</v>
      </c>
    </row>
    <row r="1306" customFormat="false" ht="15" hidden="false" customHeight="false" outlineLevel="0" collapsed="false">
      <c r="A1306" s="5" t="str">
        <f aca="false">'Source Data'!A1303</f>
        <v>Netflix</v>
      </c>
      <c r="B1306" s="5" t="str">
        <f aca="false">'Source Data'!B1303</f>
        <v>Technology: Consumer Internet</v>
      </c>
      <c r="C1306" s="6" t="n">
        <f aca="false">'Source Data'!C1303</f>
        <v>52</v>
      </c>
      <c r="D1306" s="6" t="n">
        <f aca="false">'Source Data'!E1303</f>
        <v>0</v>
      </c>
      <c r="E1306" s="6" t="n">
        <f aca="false">IFERROR(N(C1306)-N(D1306),"")</f>
        <v>52</v>
      </c>
      <c r="F1306" s="7" t="str">
        <f aca="false">IF(E1306&gt;0,"Yes",IF(E1306&lt;0,"No (Paternity higher)","Equal"))</f>
        <v>Yes</v>
      </c>
    </row>
    <row r="1307" customFormat="false" ht="15" hidden="false" customHeight="false" outlineLevel="0" collapsed="false">
      <c r="A1307" s="5" t="str">
        <f aca="false">'Source Data'!A1304</f>
        <v>Noom, inc.</v>
      </c>
      <c r="B1307" s="5" t="str">
        <f aca="false">'Source Data'!B1304</f>
        <v>Technology: Consumer Internet</v>
      </c>
      <c r="C1307" s="6" t="n">
        <f aca="false">'Source Data'!C1304</f>
        <v>12</v>
      </c>
      <c r="D1307" s="6" t="n">
        <f aca="false">'Source Data'!E1304</f>
        <v>0</v>
      </c>
      <c r="E1307" s="6" t="n">
        <f aca="false">IFERROR(N(C1307)-N(D1307),"")</f>
        <v>12</v>
      </c>
      <c r="F1307" s="7" t="str">
        <f aca="false">IF(E1307&gt;0,"Yes",IF(E1307&lt;0,"No (Paternity higher)","Equal"))</f>
        <v>Yes</v>
      </c>
    </row>
    <row r="1308" customFormat="false" ht="15" hidden="false" customHeight="false" outlineLevel="0" collapsed="false">
      <c r="A1308" s="5" t="str">
        <f aca="false">'Source Data'!A1305</f>
        <v>Offerup</v>
      </c>
      <c r="B1308" s="5" t="str">
        <f aca="false">'Source Data'!B1305</f>
        <v>Technology: Consumer Internet</v>
      </c>
      <c r="C1308" s="6" t="n">
        <f aca="false">'Source Data'!C1305</f>
        <v>8</v>
      </c>
      <c r="D1308" s="6" t="n">
        <f aca="false">'Source Data'!E1305</f>
        <v>0</v>
      </c>
      <c r="E1308" s="6" t="n">
        <f aca="false">IFERROR(N(C1308)-N(D1308),"")</f>
        <v>8</v>
      </c>
      <c r="F1308" s="7" t="str">
        <f aca="false">IF(E1308&gt;0,"Yes",IF(E1308&lt;0,"No (Paternity higher)","Equal"))</f>
        <v>Yes</v>
      </c>
    </row>
    <row r="1309" customFormat="false" ht="15" hidden="false" customHeight="false" outlineLevel="0" collapsed="false">
      <c r="A1309" s="5" t="str">
        <f aca="false">'Source Data'!A1306</f>
        <v>OLX Group</v>
      </c>
      <c r="B1309" s="5" t="str">
        <f aca="false">'Source Data'!B1306</f>
        <v>Technology: Consumer Internet</v>
      </c>
      <c r="C1309" s="6" t="n">
        <f aca="false">'Source Data'!C1306</f>
        <v>19.5</v>
      </c>
      <c r="D1309" s="6" t="n">
        <f aca="false">'Source Data'!E1306</f>
        <v>0</v>
      </c>
      <c r="E1309" s="6" t="n">
        <f aca="false">IFERROR(N(C1309)-N(D1309),"")</f>
        <v>19.5</v>
      </c>
      <c r="F1309" s="7" t="str">
        <f aca="false">IF(E1309&gt;0,"Yes",IF(E1309&lt;0,"No (Paternity higher)","Equal"))</f>
        <v>Yes</v>
      </c>
    </row>
    <row r="1310" customFormat="false" ht="15" hidden="false" customHeight="false" outlineLevel="0" collapsed="false">
      <c r="A1310" s="5" t="str">
        <f aca="false">'Source Data'!A1307</f>
        <v>ON Semiconductor</v>
      </c>
      <c r="B1310" s="5" t="str">
        <f aca="false">'Source Data'!B1307</f>
        <v>Technology: Consumer Internet</v>
      </c>
      <c r="C1310" s="6" t="n">
        <f aca="false">'Source Data'!C1307</f>
        <v>4</v>
      </c>
      <c r="D1310" s="6" t="n">
        <f aca="false">'Source Data'!E1307</f>
        <v>0</v>
      </c>
      <c r="E1310" s="6" t="n">
        <f aca="false">IFERROR(N(C1310)-N(D1310),"")</f>
        <v>4</v>
      </c>
      <c r="F1310" s="7" t="str">
        <f aca="false">IF(E1310&gt;0,"Yes",IF(E1310&lt;0,"No (Paternity higher)","Equal"))</f>
        <v>Yes</v>
      </c>
    </row>
    <row r="1311" customFormat="false" ht="15" hidden="false" customHeight="false" outlineLevel="0" collapsed="false">
      <c r="A1311" s="5" t="str">
        <f aca="false">'Source Data'!A1308</f>
        <v>Peapod Digital Labs</v>
      </c>
      <c r="B1311" s="5" t="str">
        <f aca="false">'Source Data'!B1308</f>
        <v>Technology: Consumer Internet</v>
      </c>
      <c r="C1311" s="6" t="n">
        <f aca="false">'Source Data'!C1308</f>
        <v>12</v>
      </c>
      <c r="D1311" s="6" t="n">
        <f aca="false">'Source Data'!E1308</f>
        <v>0</v>
      </c>
      <c r="E1311" s="6" t="n">
        <f aca="false">IFERROR(N(C1311)-N(D1311),"")</f>
        <v>12</v>
      </c>
      <c r="F1311" s="7" t="str">
        <f aca="false">IF(E1311&gt;0,"Yes",IF(E1311&lt;0,"No (Paternity higher)","Equal"))</f>
        <v>Yes</v>
      </c>
    </row>
    <row r="1312" customFormat="false" ht="15" hidden="false" customHeight="false" outlineLevel="0" collapsed="false">
      <c r="A1312" s="5" t="str">
        <f aca="false">'Source Data'!A1309</f>
        <v>Postmates</v>
      </c>
      <c r="B1312" s="5" t="str">
        <f aca="false">'Source Data'!B1309</f>
        <v>Technology: Consumer Internet</v>
      </c>
      <c r="C1312" s="6" t="n">
        <f aca="false">'Source Data'!C1309</f>
        <v>16</v>
      </c>
      <c r="D1312" s="6" t="n">
        <f aca="false">'Source Data'!E1309</f>
        <v>16</v>
      </c>
      <c r="E1312" s="6" t="n">
        <f aca="false">IFERROR(N(C1312)-N(D1312),"")</f>
        <v>0</v>
      </c>
      <c r="F1312" s="7" t="str">
        <f aca="false">IF(E1312&gt;0,"Yes",IF(E1312&lt;0,"No (Paternity higher)","Equal"))</f>
        <v>Equal</v>
      </c>
    </row>
    <row r="1313" customFormat="false" ht="15" hidden="false" customHeight="false" outlineLevel="0" collapsed="false">
      <c r="A1313" s="5" t="str">
        <f aca="false">'Source Data'!A1310</f>
        <v>Rally Health</v>
      </c>
      <c r="B1313" s="5" t="str">
        <f aca="false">'Source Data'!B1310</f>
        <v>Technology: Consumer Internet</v>
      </c>
      <c r="C1313" s="6" t="n">
        <f aca="false">'Source Data'!C1310</f>
        <v>18</v>
      </c>
      <c r="D1313" s="6" t="n">
        <f aca="false">'Source Data'!E1310</f>
        <v>0</v>
      </c>
      <c r="E1313" s="6" t="n">
        <f aca="false">IFERROR(N(C1313)-N(D1313),"")</f>
        <v>18</v>
      </c>
      <c r="F1313" s="7" t="str">
        <f aca="false">IF(E1313&gt;0,"Yes",IF(E1313&lt;0,"No (Paternity higher)","Equal"))</f>
        <v>Yes</v>
      </c>
    </row>
    <row r="1314" customFormat="false" ht="15" hidden="false" customHeight="false" outlineLevel="0" collapsed="false">
      <c r="A1314" s="5" t="str">
        <f aca="false">'Source Data'!A1311</f>
        <v>Reddit</v>
      </c>
      <c r="B1314" s="5" t="str">
        <f aca="false">'Source Data'!B1311</f>
        <v>Technology: Consumer Internet</v>
      </c>
      <c r="C1314" s="6" t="n">
        <f aca="false">'Source Data'!C1311</f>
        <v>16</v>
      </c>
      <c r="D1314" s="6" t="n">
        <f aca="false">'Source Data'!E1311</f>
        <v>16</v>
      </c>
      <c r="E1314" s="6" t="n">
        <f aca="false">IFERROR(N(C1314)-N(D1314),"")</f>
        <v>0</v>
      </c>
      <c r="F1314" s="7" t="str">
        <f aca="false">IF(E1314&gt;0,"Yes",IF(E1314&lt;0,"No (Paternity higher)","Equal"))</f>
        <v>Equal</v>
      </c>
    </row>
    <row r="1315" customFormat="false" ht="15" hidden="false" customHeight="false" outlineLevel="0" collapsed="false">
      <c r="A1315" s="5" t="str">
        <f aca="false">'Source Data'!A1312</f>
        <v>Shopify</v>
      </c>
      <c r="B1315" s="5" t="str">
        <f aca="false">'Source Data'!B1312</f>
        <v>Technology: Consumer Internet</v>
      </c>
      <c r="C1315" s="6" t="n">
        <f aca="false">'Source Data'!C1312</f>
        <v>26</v>
      </c>
      <c r="D1315" s="6" t="n">
        <f aca="false">'Source Data'!E1312</f>
        <v>0</v>
      </c>
      <c r="E1315" s="6" t="n">
        <f aca="false">IFERROR(N(C1315)-N(D1315),"")</f>
        <v>26</v>
      </c>
      <c r="F1315" s="7" t="str">
        <f aca="false">IF(E1315&gt;0,"Yes",IF(E1315&lt;0,"No (Paternity higher)","Equal"))</f>
        <v>Yes</v>
      </c>
    </row>
    <row r="1316" customFormat="false" ht="15" hidden="false" customHeight="false" outlineLevel="0" collapsed="false">
      <c r="A1316" s="5" t="str">
        <f aca="false">'Source Data'!A1313</f>
        <v>Spotify</v>
      </c>
      <c r="B1316" s="5" t="str">
        <f aca="false">'Source Data'!B1313</f>
        <v>Technology: Consumer Internet</v>
      </c>
      <c r="C1316" s="6" t="n">
        <f aca="false">'Source Data'!C1313</f>
        <v>24</v>
      </c>
      <c r="D1316" s="6" t="n">
        <f aca="false">'Source Data'!E1313</f>
        <v>0</v>
      </c>
      <c r="E1316" s="6" t="n">
        <f aca="false">IFERROR(N(C1316)-N(D1316),"")</f>
        <v>24</v>
      </c>
      <c r="F1316" s="7" t="str">
        <f aca="false">IF(E1316&gt;0,"Yes",IF(E1316&lt;0,"No (Paternity higher)","Equal"))</f>
        <v>Yes</v>
      </c>
    </row>
    <row r="1317" customFormat="false" ht="15" hidden="false" customHeight="false" outlineLevel="0" collapsed="false">
      <c r="A1317" s="5" t="str">
        <f aca="false">'Source Data'!A1314</f>
        <v>Spring Health</v>
      </c>
      <c r="B1317" s="5" t="str">
        <f aca="false">'Source Data'!B1314</f>
        <v>Technology: Consumer Internet</v>
      </c>
      <c r="C1317" s="6" t="n">
        <f aca="false">'Source Data'!C1314</f>
        <v>18</v>
      </c>
      <c r="D1317" s="6" t="n">
        <f aca="false">'Source Data'!E1314</f>
        <v>0</v>
      </c>
      <c r="E1317" s="6" t="n">
        <f aca="false">IFERROR(N(C1317)-N(D1317),"")</f>
        <v>18</v>
      </c>
      <c r="F1317" s="7" t="str">
        <f aca="false">IF(E1317&gt;0,"Yes",IF(E1317&lt;0,"No (Paternity higher)","Equal"))</f>
        <v>Yes</v>
      </c>
    </row>
    <row r="1318" customFormat="false" ht="15" hidden="false" customHeight="false" outlineLevel="0" collapsed="false">
      <c r="A1318" s="5" t="str">
        <f aca="false">'Source Data'!A1315</f>
        <v>Squarespace</v>
      </c>
      <c r="B1318" s="5" t="str">
        <f aca="false">'Source Data'!B1315</f>
        <v>Technology: Consumer Internet</v>
      </c>
      <c r="C1318" s="6" t="n">
        <f aca="false">'Source Data'!C1315</f>
        <v>20</v>
      </c>
      <c r="D1318" s="6" t="n">
        <f aca="false">'Source Data'!E1315</f>
        <v>0</v>
      </c>
      <c r="E1318" s="6" t="n">
        <f aca="false">IFERROR(N(C1318)-N(D1318),"")</f>
        <v>20</v>
      </c>
      <c r="F1318" s="7" t="str">
        <f aca="false">IF(E1318&gt;0,"Yes",IF(E1318&lt;0,"No (Paternity higher)","Equal"))</f>
        <v>Yes</v>
      </c>
    </row>
    <row r="1319" customFormat="false" ht="15" hidden="false" customHeight="false" outlineLevel="0" collapsed="false">
      <c r="A1319" s="5" t="str">
        <f aca="false">'Source Data'!A1316</f>
        <v>Travelzoo</v>
      </c>
      <c r="B1319" s="5" t="str">
        <f aca="false">'Source Data'!B1316</f>
        <v>Technology: Consumer Internet</v>
      </c>
      <c r="C1319" s="6" t="n">
        <f aca="false">'Source Data'!C1316</f>
        <v>4</v>
      </c>
      <c r="D1319" s="6" t="n">
        <f aca="false">'Source Data'!E1316</f>
        <v>0</v>
      </c>
      <c r="E1319" s="6" t="n">
        <f aca="false">IFERROR(N(C1319)-N(D1319),"")</f>
        <v>4</v>
      </c>
      <c r="F1319" s="7" t="str">
        <f aca="false">IF(E1319&gt;0,"Yes",IF(E1319&lt;0,"No (Paternity higher)","Equal"))</f>
        <v>Yes</v>
      </c>
    </row>
    <row r="1320" customFormat="false" ht="15" hidden="false" customHeight="false" outlineLevel="0" collapsed="false">
      <c r="A1320" s="5" t="str">
        <f aca="false">'Source Data'!A1317</f>
        <v>Twitter</v>
      </c>
      <c r="B1320" s="5" t="str">
        <f aca="false">'Source Data'!B1317</f>
        <v>Technology: Consumer Internet</v>
      </c>
      <c r="C1320" s="6" t="n">
        <f aca="false">'Source Data'!C1317</f>
        <v>20</v>
      </c>
      <c r="D1320" s="6" t="n">
        <f aca="false">'Source Data'!E1317</f>
        <v>0</v>
      </c>
      <c r="E1320" s="6" t="n">
        <f aca="false">IFERROR(N(C1320)-N(D1320),"")</f>
        <v>20</v>
      </c>
      <c r="F1320" s="7" t="str">
        <f aca="false">IF(E1320&gt;0,"Yes",IF(E1320&lt;0,"No (Paternity higher)","Equal"))</f>
        <v>Yes</v>
      </c>
    </row>
    <row r="1321" customFormat="false" ht="15" hidden="false" customHeight="false" outlineLevel="0" collapsed="false">
      <c r="A1321" s="5" t="str">
        <f aca="false">'Source Data'!A1318</f>
        <v>WorkMarket</v>
      </c>
      <c r="B1321" s="5" t="str">
        <f aca="false">'Source Data'!B1318</f>
        <v>Technology: Consumer Internet</v>
      </c>
      <c r="C1321" s="6" t="n">
        <f aca="false">'Source Data'!C1318</f>
        <v>10</v>
      </c>
      <c r="D1321" s="6" t="n">
        <f aca="false">'Source Data'!E1318</f>
        <v>0</v>
      </c>
      <c r="E1321" s="6" t="n">
        <f aca="false">IFERROR(N(C1321)-N(D1321),"")</f>
        <v>10</v>
      </c>
      <c r="F1321" s="7" t="str">
        <f aca="false">IF(E1321&gt;0,"Yes",IF(E1321&lt;0,"No (Paternity higher)","Equal"))</f>
        <v>Yes</v>
      </c>
    </row>
    <row r="1322" customFormat="false" ht="15" hidden="false" customHeight="false" outlineLevel="0" collapsed="false">
      <c r="A1322" s="5" t="str">
        <f aca="false">'Source Data'!A1319</f>
        <v>Yelp</v>
      </c>
      <c r="B1322" s="5" t="str">
        <f aca="false">'Source Data'!B1319</f>
        <v>Technology: Consumer Internet</v>
      </c>
      <c r="C1322" s="6" t="n">
        <f aca="false">'Source Data'!C1319</f>
        <v>14</v>
      </c>
      <c r="D1322" s="6" t="n">
        <f aca="false">'Source Data'!E1319</f>
        <v>0</v>
      </c>
      <c r="E1322" s="6" t="n">
        <f aca="false">IFERROR(N(C1322)-N(D1322),"")</f>
        <v>14</v>
      </c>
      <c r="F1322" s="7" t="str">
        <f aca="false">IF(E1322&gt;0,"Yes",IF(E1322&lt;0,"No (Paternity higher)","Equal"))</f>
        <v>Yes</v>
      </c>
    </row>
    <row r="1323" customFormat="false" ht="15" hidden="false" customHeight="false" outlineLevel="0" collapsed="false">
      <c r="A1323" s="5" t="str">
        <f aca="false">'Source Data'!A1320</f>
        <v>YouTube</v>
      </c>
      <c r="B1323" s="5" t="str">
        <f aca="false">'Source Data'!B1320</f>
        <v>Technology: Consumer Internet</v>
      </c>
      <c r="C1323" s="6" t="n">
        <f aca="false">'Source Data'!C1320</f>
        <v>15</v>
      </c>
      <c r="D1323" s="6" t="n">
        <f aca="false">'Source Data'!E1320</f>
        <v>0</v>
      </c>
      <c r="E1323" s="6" t="n">
        <f aca="false">IFERROR(N(C1323)-N(D1323),"")</f>
        <v>15</v>
      </c>
      <c r="F1323" s="7" t="str">
        <f aca="false">IF(E1323&gt;0,"Yes",IF(E1323&lt;0,"No (Paternity higher)","Equal"))</f>
        <v>Yes</v>
      </c>
    </row>
    <row r="1324" customFormat="false" ht="15" hidden="false" customHeight="false" outlineLevel="0" collapsed="false">
      <c r="A1324" s="5" t="str">
        <f aca="false">'Source Data'!A1321</f>
        <v>Zillow</v>
      </c>
      <c r="B1324" s="5" t="str">
        <f aca="false">'Source Data'!B1321</f>
        <v>Technology: Consumer Internet</v>
      </c>
      <c r="C1324" s="6" t="n">
        <f aca="false">'Source Data'!C1321</f>
        <v>4</v>
      </c>
      <c r="D1324" s="6" t="n">
        <f aca="false">'Source Data'!E1321</f>
        <v>0</v>
      </c>
      <c r="E1324" s="6" t="n">
        <f aca="false">IFERROR(N(C1324)-N(D1324),"")</f>
        <v>4</v>
      </c>
      <c r="F1324" s="7" t="str">
        <f aca="false">IF(E1324&gt;0,"Yes",IF(E1324&lt;0,"No (Paternity higher)","Equal"))</f>
        <v>Yes</v>
      </c>
    </row>
    <row r="1325" customFormat="false" ht="15" hidden="false" customHeight="false" outlineLevel="0" collapsed="false">
      <c r="A1325" s="5" t="str">
        <f aca="false">'Source Data'!A1322</f>
        <v>Zumper</v>
      </c>
      <c r="B1325" s="5" t="str">
        <f aca="false">'Source Data'!B1322</f>
        <v>Technology: Consumer Internet</v>
      </c>
      <c r="C1325" s="6" t="n">
        <f aca="false">'Source Data'!C1322</f>
        <v>12</v>
      </c>
      <c r="D1325" s="6" t="n">
        <f aca="false">'Source Data'!E1322</f>
        <v>0</v>
      </c>
      <c r="E1325" s="6" t="n">
        <f aca="false">IFERROR(N(C1325)-N(D1325),"")</f>
        <v>12</v>
      </c>
      <c r="F1325" s="7" t="str">
        <f aca="false">IF(E1325&gt;0,"Yes",IF(E1325&lt;0,"No (Paternity higher)","Equal"))</f>
        <v>Yes</v>
      </c>
    </row>
    <row r="1326" customFormat="false" ht="15" hidden="false" customHeight="false" outlineLevel="0" collapsed="false">
      <c r="A1326" s="5" t="str">
        <f aca="false">'Source Data'!A1323</f>
        <v>Enova</v>
      </c>
      <c r="B1326" s="5" t="str">
        <f aca="false">'Source Data'!B1323</f>
        <v>Technology: Financial Services</v>
      </c>
      <c r="C1326" s="6" t="n">
        <f aca="false">'Source Data'!C1323</f>
        <v>10</v>
      </c>
      <c r="D1326" s="6" t="n">
        <f aca="false">'Source Data'!E1323</f>
        <v>0</v>
      </c>
      <c r="E1326" s="6" t="n">
        <f aca="false">IFERROR(N(C1326)-N(D1326),"")</f>
        <v>10</v>
      </c>
      <c r="F1326" s="7" t="str">
        <f aca="false">IF(E1326&gt;0,"Yes",IF(E1326&lt;0,"No (Paternity higher)","Equal"))</f>
        <v>Yes</v>
      </c>
    </row>
    <row r="1327" customFormat="false" ht="15" hidden="false" customHeight="false" outlineLevel="0" collapsed="false">
      <c r="A1327" s="5" t="str">
        <f aca="false">'Source Data'!A1324</f>
        <v>Funding Circle</v>
      </c>
      <c r="B1327" s="5" t="str">
        <f aca="false">'Source Data'!B1324</f>
        <v>Technology: Financial Services</v>
      </c>
      <c r="C1327" s="6" t="n">
        <f aca="false">'Source Data'!C1324</f>
        <v>13</v>
      </c>
      <c r="D1327" s="6" t="n">
        <f aca="false">'Source Data'!E1324</f>
        <v>2</v>
      </c>
      <c r="E1327" s="6" t="n">
        <f aca="false">IFERROR(N(C1327)-N(D1327),"")</f>
        <v>11</v>
      </c>
      <c r="F1327" s="7" t="str">
        <f aca="false">IF(E1327&gt;0,"Yes",IF(E1327&lt;0,"No (Paternity higher)","Equal"))</f>
        <v>Yes</v>
      </c>
    </row>
    <row r="1328" customFormat="false" ht="15" hidden="false" customHeight="false" outlineLevel="0" collapsed="false">
      <c r="A1328" s="5" t="str">
        <f aca="false">'Source Data'!A1325</f>
        <v>Kabbage</v>
      </c>
      <c r="B1328" s="5" t="str">
        <f aca="false">'Source Data'!B1325</f>
        <v>Technology: Financial Services</v>
      </c>
      <c r="C1328" s="6" t="n">
        <f aca="false">'Source Data'!C1325</f>
        <v>12</v>
      </c>
      <c r="D1328" s="6" t="n">
        <f aca="false">'Source Data'!E1325</f>
        <v>0</v>
      </c>
      <c r="E1328" s="6" t="n">
        <f aca="false">IFERROR(N(C1328)-N(D1328),"")</f>
        <v>12</v>
      </c>
      <c r="F1328" s="7" t="str">
        <f aca="false">IF(E1328&gt;0,"Yes",IF(E1328&lt;0,"No (Paternity higher)","Equal"))</f>
        <v>Yes</v>
      </c>
    </row>
    <row r="1329" customFormat="false" ht="15" hidden="false" customHeight="false" outlineLevel="0" collapsed="false">
      <c r="A1329" s="5" t="str">
        <f aca="false">'Source Data'!A1326</f>
        <v>Amazon Games</v>
      </c>
      <c r="B1329" s="5" t="str">
        <f aca="false">'Source Data'!B1326</f>
        <v>Technology: Gaming</v>
      </c>
      <c r="C1329" s="6" t="n">
        <f aca="false">'Source Data'!C1326</f>
        <v>12</v>
      </c>
      <c r="D1329" s="6" t="n">
        <f aca="false">'Source Data'!E1326</f>
        <v>0</v>
      </c>
      <c r="E1329" s="6" t="n">
        <f aca="false">IFERROR(N(C1329)-N(D1329),"")</f>
        <v>12</v>
      </c>
      <c r="F1329" s="7" t="str">
        <f aca="false">IF(E1329&gt;0,"Yes",IF(E1329&lt;0,"No (Paternity higher)","Equal"))</f>
        <v>Yes</v>
      </c>
    </row>
    <row r="1330" customFormat="false" ht="15" hidden="false" customHeight="false" outlineLevel="0" collapsed="false">
      <c r="A1330" s="5" t="str">
        <f aca="false">'Source Data'!A1327</f>
        <v>Roblox</v>
      </c>
      <c r="B1330" s="5" t="str">
        <f aca="false">'Source Data'!B1327</f>
        <v>Technology: Gaming</v>
      </c>
      <c r="C1330" s="6" t="n">
        <f aca="false">'Source Data'!C1327</f>
        <v>16</v>
      </c>
      <c r="D1330" s="6" t="n">
        <f aca="false">'Source Data'!E1327</f>
        <v>0</v>
      </c>
      <c r="E1330" s="6" t="n">
        <f aca="false">IFERROR(N(C1330)-N(D1330),"")</f>
        <v>16</v>
      </c>
      <c r="F1330" s="7" t="str">
        <f aca="false">IF(E1330&gt;0,"Yes",IF(E1330&lt;0,"No (Paternity higher)","Equal"))</f>
        <v>Yes</v>
      </c>
    </row>
    <row r="1331" customFormat="false" ht="15" hidden="false" customHeight="false" outlineLevel="0" collapsed="false">
      <c r="A1331" s="5" t="str">
        <f aca="false">'Source Data'!A1328</f>
        <v>Advantest</v>
      </c>
      <c r="B1331" s="5" t="str">
        <f aca="false">'Source Data'!B1328</f>
        <v>Technology: Manufacturing</v>
      </c>
      <c r="C1331" s="6" t="n">
        <f aca="false">'Source Data'!C1328</f>
        <v>12</v>
      </c>
      <c r="D1331" s="6" t="n">
        <f aca="false">'Source Data'!E1328</f>
        <v>0</v>
      </c>
      <c r="E1331" s="6" t="n">
        <f aca="false">IFERROR(N(C1331)-N(D1331),"")</f>
        <v>12</v>
      </c>
      <c r="F1331" s="7" t="str">
        <f aca="false">IF(E1331&gt;0,"Yes",IF(E1331&lt;0,"No (Paternity higher)","Equal"))</f>
        <v>Yes</v>
      </c>
    </row>
    <row r="1332" customFormat="false" ht="15" hidden="false" customHeight="false" outlineLevel="0" collapsed="false">
      <c r="A1332" s="5" t="str">
        <f aca="false">'Source Data'!A1329</f>
        <v>Analog Devices</v>
      </c>
      <c r="B1332" s="5" t="str">
        <f aca="false">'Source Data'!B1329</f>
        <v>Technology: Manufacturing</v>
      </c>
      <c r="C1332" s="6" t="n">
        <f aca="false">'Source Data'!C1329</f>
        <v>8</v>
      </c>
      <c r="D1332" s="6" t="n">
        <f aca="false">'Source Data'!E1329</f>
        <v>0</v>
      </c>
      <c r="E1332" s="6" t="n">
        <f aca="false">IFERROR(N(C1332)-N(D1332),"")</f>
        <v>8</v>
      </c>
      <c r="F1332" s="7" t="str">
        <f aca="false">IF(E1332&gt;0,"Yes",IF(E1332&lt;0,"No (Paternity higher)","Equal"))</f>
        <v>Yes</v>
      </c>
    </row>
    <row r="1333" customFormat="false" ht="15" hidden="false" customHeight="false" outlineLevel="0" collapsed="false">
      <c r="A1333" s="5" t="str">
        <f aca="false">'Source Data'!A1330</f>
        <v>Aruba Networks</v>
      </c>
      <c r="B1333" s="5" t="str">
        <f aca="false">'Source Data'!B1330</f>
        <v>Technology: Manufacturing</v>
      </c>
      <c r="C1333" s="6" t="n">
        <f aca="false">'Source Data'!C1330</f>
        <v>24</v>
      </c>
      <c r="D1333" s="6" t="n">
        <f aca="false">'Source Data'!E1330</f>
        <v>0</v>
      </c>
      <c r="E1333" s="6" t="n">
        <f aca="false">IFERROR(N(C1333)-N(D1333),"")</f>
        <v>24</v>
      </c>
      <c r="F1333" s="7" t="str">
        <f aca="false">IF(E1333&gt;0,"Yes",IF(E1333&lt;0,"No (Paternity higher)","Equal"))</f>
        <v>Yes</v>
      </c>
    </row>
    <row r="1334" customFormat="false" ht="15" hidden="false" customHeight="false" outlineLevel="0" collapsed="false">
      <c r="A1334" s="5" t="str">
        <f aca="false">'Source Data'!A1331</f>
        <v>Cadence Design Systems</v>
      </c>
      <c r="B1334" s="5" t="str">
        <f aca="false">'Source Data'!B1331</f>
        <v>Technology: Manufacturing</v>
      </c>
      <c r="C1334" s="6" t="n">
        <f aca="false">'Source Data'!C1331</f>
        <v>12</v>
      </c>
      <c r="D1334" s="6" t="n">
        <f aca="false">'Source Data'!E1331</f>
        <v>0</v>
      </c>
      <c r="E1334" s="6" t="n">
        <f aca="false">IFERROR(N(C1334)-N(D1334),"")</f>
        <v>12</v>
      </c>
      <c r="F1334" s="7" t="str">
        <f aca="false">IF(E1334&gt;0,"Yes",IF(E1334&lt;0,"No (Paternity higher)","Equal"))</f>
        <v>Yes</v>
      </c>
    </row>
    <row r="1335" customFormat="false" ht="15" hidden="false" customHeight="false" outlineLevel="0" collapsed="false">
      <c r="A1335" s="5" t="str">
        <f aca="false">'Source Data'!A1332</f>
        <v>Cirrus Logic</v>
      </c>
      <c r="B1335" s="5" t="str">
        <f aca="false">'Source Data'!B1332</f>
        <v>Technology: Manufacturing</v>
      </c>
      <c r="C1335" s="6" t="n">
        <f aca="false">'Source Data'!C1332</f>
        <v>12</v>
      </c>
      <c r="D1335" s="6" t="n">
        <f aca="false">'Source Data'!E1332</f>
        <v>0</v>
      </c>
      <c r="E1335" s="6" t="n">
        <f aca="false">IFERROR(N(C1335)-N(D1335),"")</f>
        <v>12</v>
      </c>
      <c r="F1335" s="7" t="str">
        <f aca="false">IF(E1335&gt;0,"Yes",IF(E1335&lt;0,"No (Paternity higher)","Equal"))</f>
        <v>Yes</v>
      </c>
    </row>
    <row r="1336" customFormat="false" ht="15" hidden="false" customHeight="false" outlineLevel="0" collapsed="false">
      <c r="A1336" s="5" t="str">
        <f aca="false">'Source Data'!A1333</f>
        <v>Ericsson</v>
      </c>
      <c r="B1336" s="5" t="str">
        <f aca="false">'Source Data'!B1333</f>
        <v>Technology: Manufacturing</v>
      </c>
      <c r="C1336" s="6" t="n">
        <f aca="false">'Source Data'!C1333</f>
        <v>16</v>
      </c>
      <c r="D1336" s="6" t="n">
        <f aca="false">'Source Data'!E1333</f>
        <v>0</v>
      </c>
      <c r="E1336" s="6" t="n">
        <f aca="false">IFERROR(N(C1336)-N(D1336),"")</f>
        <v>16</v>
      </c>
      <c r="F1336" s="7" t="str">
        <f aca="false">IF(E1336&gt;0,"Yes",IF(E1336&lt;0,"No (Paternity higher)","Equal"))</f>
        <v>Yes</v>
      </c>
    </row>
    <row r="1337" customFormat="false" ht="15" hidden="false" customHeight="false" outlineLevel="0" collapsed="false">
      <c r="A1337" s="5" t="str">
        <f aca="false">'Source Data'!A1334</f>
        <v>GlobalFoundries</v>
      </c>
      <c r="B1337" s="5" t="str">
        <f aca="false">'Source Data'!B1334</f>
        <v>Technology: Manufacturing</v>
      </c>
      <c r="C1337" s="6" t="n">
        <f aca="false">'Source Data'!C1334</f>
        <v>20</v>
      </c>
      <c r="D1337" s="6" t="n">
        <f aca="false">'Source Data'!E1334</f>
        <v>0</v>
      </c>
      <c r="E1337" s="6" t="n">
        <f aca="false">IFERROR(N(C1337)-N(D1337),"")</f>
        <v>20</v>
      </c>
      <c r="F1337" s="7" t="str">
        <f aca="false">IF(E1337&gt;0,"Yes",IF(E1337&lt;0,"No (Paternity higher)","Equal"))</f>
        <v>Yes</v>
      </c>
    </row>
    <row r="1338" customFormat="false" ht="15" hidden="false" customHeight="false" outlineLevel="0" collapsed="false">
      <c r="A1338" s="5" t="str">
        <f aca="false">'Source Data'!A1335</f>
        <v>HP Inc.</v>
      </c>
      <c r="B1338" s="5" t="str">
        <f aca="false">'Source Data'!B1335</f>
        <v>Technology: Manufacturing</v>
      </c>
      <c r="C1338" s="6" t="n">
        <f aca="false">'Source Data'!C1335</f>
        <v>14</v>
      </c>
      <c r="D1338" s="6" t="n">
        <f aca="false">'Source Data'!E1335</f>
        <v>0</v>
      </c>
      <c r="E1338" s="6" t="n">
        <f aca="false">IFERROR(N(C1338)-N(D1338),"")</f>
        <v>14</v>
      </c>
      <c r="F1338" s="7" t="str">
        <f aca="false">IF(E1338&gt;0,"Yes",IF(E1338&lt;0,"No (Paternity higher)","Equal"))</f>
        <v>Yes</v>
      </c>
    </row>
    <row r="1339" customFormat="false" ht="15" hidden="false" customHeight="false" outlineLevel="0" collapsed="false">
      <c r="A1339" s="5" t="str">
        <f aca="false">'Source Data'!A1336</f>
        <v>Infineon Technologies</v>
      </c>
      <c r="B1339" s="5" t="str">
        <f aca="false">'Source Data'!B1336</f>
        <v>Technology: Manufacturing</v>
      </c>
      <c r="C1339" s="6" t="n">
        <f aca="false">'Source Data'!C1336</f>
        <v>1</v>
      </c>
      <c r="D1339" s="6" t="n">
        <f aca="false">'Source Data'!E1336</f>
        <v>1</v>
      </c>
      <c r="E1339" s="6" t="n">
        <f aca="false">IFERROR(N(C1339)-N(D1339),"")</f>
        <v>0</v>
      </c>
      <c r="F1339" s="7" t="str">
        <f aca="false">IF(E1339&gt;0,"Yes",IF(E1339&lt;0,"No (Paternity higher)","Equal"))</f>
        <v>Equal</v>
      </c>
    </row>
    <row r="1340" customFormat="false" ht="15" hidden="false" customHeight="false" outlineLevel="0" collapsed="false">
      <c r="A1340" s="5" t="str">
        <f aca="false">'Source Data'!A1337</f>
        <v>Itron</v>
      </c>
      <c r="B1340" s="5" t="str">
        <f aca="false">'Source Data'!B1337</f>
        <v>Technology: Manufacturing</v>
      </c>
      <c r="C1340" s="6" t="n">
        <f aca="false">'Source Data'!C1337</f>
        <v>12</v>
      </c>
      <c r="D1340" s="6" t="n">
        <f aca="false">'Source Data'!E1337</f>
        <v>0</v>
      </c>
      <c r="E1340" s="6" t="n">
        <f aca="false">IFERROR(N(C1340)-N(D1340),"")</f>
        <v>12</v>
      </c>
      <c r="F1340" s="7" t="str">
        <f aca="false">IF(E1340&gt;0,"Yes",IF(E1340&lt;0,"No (Paternity higher)","Equal"))</f>
        <v>Yes</v>
      </c>
    </row>
    <row r="1341" customFormat="false" ht="15" hidden="false" customHeight="false" outlineLevel="0" collapsed="false">
      <c r="A1341" s="5" t="str">
        <f aca="false">'Source Data'!A1338</f>
        <v>Juniper Networks</v>
      </c>
      <c r="B1341" s="5" t="str">
        <f aca="false">'Source Data'!B1338</f>
        <v>Technology: Manufacturing</v>
      </c>
      <c r="C1341" s="6" t="n">
        <f aca="false">'Source Data'!C1338</f>
        <v>16</v>
      </c>
      <c r="D1341" s="6" t="n">
        <f aca="false">'Source Data'!E1338</f>
        <v>0</v>
      </c>
      <c r="E1341" s="6" t="n">
        <f aca="false">IFERROR(N(C1341)-N(D1341),"")</f>
        <v>16</v>
      </c>
      <c r="F1341" s="7" t="str">
        <f aca="false">IF(E1341&gt;0,"Yes",IF(E1341&lt;0,"No (Paternity higher)","Equal"))</f>
        <v>Yes</v>
      </c>
    </row>
    <row r="1342" customFormat="false" ht="15" hidden="false" customHeight="false" outlineLevel="0" collapsed="false">
      <c r="A1342" s="5" t="str">
        <f aca="false">'Source Data'!A1339</f>
        <v>KLA-Tencor Corporation</v>
      </c>
      <c r="B1342" s="5" t="str">
        <f aca="false">'Source Data'!B1339</f>
        <v>Technology: Manufacturing</v>
      </c>
      <c r="C1342" s="6" t="n">
        <f aca="false">'Source Data'!C1339</f>
        <v>12</v>
      </c>
      <c r="D1342" s="6" t="n">
        <f aca="false">'Source Data'!E1339</f>
        <v>0</v>
      </c>
      <c r="E1342" s="6" t="n">
        <f aca="false">IFERROR(N(C1342)-N(D1342),"")</f>
        <v>12</v>
      </c>
      <c r="F1342" s="7" t="str">
        <f aca="false">IF(E1342&gt;0,"Yes",IF(E1342&lt;0,"No (Paternity higher)","Equal"))</f>
        <v>Yes</v>
      </c>
    </row>
    <row r="1343" customFormat="false" ht="15" hidden="false" customHeight="false" outlineLevel="0" collapsed="false">
      <c r="A1343" s="5" t="str">
        <f aca="false">'Source Data'!A1340</f>
        <v>Lenovo</v>
      </c>
      <c r="B1343" s="5" t="str">
        <f aca="false">'Source Data'!B1340</f>
        <v>Technology: Manufacturing</v>
      </c>
      <c r="C1343" s="6" t="n">
        <f aca="false">'Source Data'!C1340</f>
        <v>24</v>
      </c>
      <c r="D1343" s="6" t="n">
        <f aca="false">'Source Data'!E1340</f>
        <v>0</v>
      </c>
      <c r="E1343" s="6" t="n">
        <f aca="false">IFERROR(N(C1343)-N(D1343),"")</f>
        <v>24</v>
      </c>
      <c r="F1343" s="7" t="str">
        <f aca="false">IF(E1343&gt;0,"Yes",IF(E1343&lt;0,"No (Paternity higher)","Equal"))</f>
        <v>Yes</v>
      </c>
    </row>
    <row r="1344" customFormat="false" ht="15" hidden="false" customHeight="false" outlineLevel="0" collapsed="false">
      <c r="A1344" s="5" t="str">
        <f aca="false">'Source Data'!A1341</f>
        <v>Markforged</v>
      </c>
      <c r="B1344" s="5" t="str">
        <f aca="false">'Source Data'!B1341</f>
        <v>Technology: Manufacturing</v>
      </c>
      <c r="C1344" s="6" t="n">
        <f aca="false">'Source Data'!C1341</f>
        <v>6</v>
      </c>
      <c r="D1344" s="6" t="n">
        <f aca="false">'Source Data'!E1341</f>
        <v>0</v>
      </c>
      <c r="E1344" s="6" t="n">
        <f aca="false">IFERROR(N(C1344)-N(D1344),"")</f>
        <v>6</v>
      </c>
      <c r="F1344" s="7" t="str">
        <f aca="false">IF(E1344&gt;0,"Yes",IF(E1344&lt;0,"No (Paternity higher)","Equal"))</f>
        <v>Yes</v>
      </c>
    </row>
    <row r="1345" customFormat="false" ht="15" hidden="false" customHeight="false" outlineLevel="0" collapsed="false">
      <c r="A1345" s="5" t="str">
        <f aca="false">'Source Data'!A1342</f>
        <v>Molecular Devices</v>
      </c>
      <c r="B1345" s="5" t="str">
        <f aca="false">'Source Data'!B1342</f>
        <v>Technology: Manufacturing</v>
      </c>
      <c r="C1345" s="6" t="n">
        <f aca="false">'Source Data'!C1342</f>
        <v>14</v>
      </c>
      <c r="D1345" s="6" t="n">
        <f aca="false">'Source Data'!E1342</f>
        <v>0</v>
      </c>
      <c r="E1345" s="6" t="n">
        <f aca="false">IFERROR(N(C1345)-N(D1345),"")</f>
        <v>14</v>
      </c>
      <c r="F1345" s="7" t="str">
        <f aca="false">IF(E1345&gt;0,"Yes",IF(E1345&lt;0,"No (Paternity higher)","Equal"))</f>
        <v>Yes</v>
      </c>
    </row>
    <row r="1346" customFormat="false" ht="15" hidden="false" customHeight="false" outlineLevel="0" collapsed="false">
      <c r="A1346" s="5" t="str">
        <f aca="false">'Source Data'!A1343</f>
        <v>National Instruments</v>
      </c>
      <c r="B1346" s="5" t="str">
        <f aca="false">'Source Data'!B1343</f>
        <v>Technology: Manufacturing</v>
      </c>
      <c r="C1346" s="6" t="n">
        <f aca="false">'Source Data'!C1343</f>
        <v>6</v>
      </c>
      <c r="D1346" s="6" t="n">
        <f aca="false">'Source Data'!E1343</f>
        <v>0</v>
      </c>
      <c r="E1346" s="6" t="n">
        <f aca="false">IFERROR(N(C1346)-N(D1346),"")</f>
        <v>6</v>
      </c>
      <c r="F1346" s="7" t="str">
        <f aca="false">IF(E1346&gt;0,"Yes",IF(E1346&lt;0,"No (Paternity higher)","Equal"))</f>
        <v>Yes</v>
      </c>
    </row>
    <row r="1347" customFormat="false" ht="15" hidden="false" customHeight="false" outlineLevel="0" collapsed="false">
      <c r="A1347" s="5" t="str">
        <f aca="false">'Source Data'!A1344</f>
        <v>Roku</v>
      </c>
      <c r="B1347" s="5" t="str">
        <f aca="false">'Source Data'!B1344</f>
        <v>Technology: Manufacturing</v>
      </c>
      <c r="C1347" s="6" t="n">
        <f aca="false">'Source Data'!C1344</f>
        <v>16</v>
      </c>
      <c r="D1347" s="6" t="n">
        <f aca="false">'Source Data'!E1344</f>
        <v>0</v>
      </c>
      <c r="E1347" s="6" t="n">
        <f aca="false">IFERROR(N(C1347)-N(D1347),"")</f>
        <v>16</v>
      </c>
      <c r="F1347" s="7" t="str">
        <f aca="false">IF(E1347&gt;0,"Yes",IF(E1347&lt;0,"No (Paternity higher)","Equal"))</f>
        <v>Yes</v>
      </c>
    </row>
    <row r="1348" customFormat="false" ht="15" hidden="false" customHeight="false" outlineLevel="0" collapsed="false">
      <c r="A1348" s="5" t="str">
        <f aca="false">'Source Data'!A1345</f>
        <v>Seagate Technology</v>
      </c>
      <c r="B1348" s="5" t="str">
        <f aca="false">'Source Data'!B1345</f>
        <v>Technology: Manufacturing</v>
      </c>
      <c r="C1348" s="6" t="n">
        <f aca="false">'Source Data'!C1345</f>
        <v>16</v>
      </c>
      <c r="D1348" s="6" t="n">
        <f aca="false">'Source Data'!E1345</f>
        <v>0</v>
      </c>
      <c r="E1348" s="6" t="n">
        <f aca="false">IFERROR(N(C1348)-N(D1348),"")</f>
        <v>16</v>
      </c>
      <c r="F1348" s="7" t="str">
        <f aca="false">IF(E1348&gt;0,"Yes",IF(E1348&lt;0,"No (Paternity higher)","Equal"))</f>
        <v>Yes</v>
      </c>
    </row>
    <row r="1349" customFormat="false" ht="15" hidden="false" customHeight="false" outlineLevel="0" collapsed="false">
      <c r="A1349" s="5" t="str">
        <f aca="false">'Source Data'!A1346</f>
        <v>Siemens Energy</v>
      </c>
      <c r="B1349" s="5" t="str">
        <f aca="false">'Source Data'!B1346</f>
        <v>Technology: Manufacturing</v>
      </c>
      <c r="C1349" s="6" t="n">
        <f aca="false">'Source Data'!C1346</f>
        <v>6</v>
      </c>
      <c r="D1349" s="6" t="n">
        <f aca="false">'Source Data'!E1346</f>
        <v>0</v>
      </c>
      <c r="E1349" s="6" t="n">
        <f aca="false">IFERROR(N(C1349)-N(D1349),"")</f>
        <v>6</v>
      </c>
      <c r="F1349" s="7" t="str">
        <f aca="false">IF(E1349&gt;0,"Yes",IF(E1349&lt;0,"No (Paternity higher)","Equal"))</f>
        <v>Yes</v>
      </c>
    </row>
    <row r="1350" customFormat="false" ht="15" hidden="false" customHeight="false" outlineLevel="0" collapsed="false">
      <c r="A1350" s="5" t="str">
        <f aca="false">'Source Data'!A1347</f>
        <v>Snap Inc.</v>
      </c>
      <c r="B1350" s="5" t="str">
        <f aca="false">'Source Data'!B1347</f>
        <v>Technology: Manufacturing</v>
      </c>
      <c r="C1350" s="6" t="n">
        <f aca="false">'Source Data'!C1347</f>
        <v>14</v>
      </c>
      <c r="D1350" s="6" t="n">
        <f aca="false">'Source Data'!E1347</f>
        <v>0</v>
      </c>
      <c r="E1350" s="6" t="n">
        <f aca="false">IFERROR(N(C1350)-N(D1350),"")</f>
        <v>14</v>
      </c>
      <c r="F1350" s="7" t="str">
        <f aca="false">IF(E1350&gt;0,"Yes",IF(E1350&lt;0,"No (Paternity higher)","Equal"))</f>
        <v>Yes</v>
      </c>
    </row>
    <row r="1351" customFormat="false" ht="15" hidden="false" customHeight="false" outlineLevel="0" collapsed="false">
      <c r="A1351" s="5" t="str">
        <f aca="false">'Source Data'!A1348</f>
        <v>Texas Instruments</v>
      </c>
      <c r="B1351" s="5" t="str">
        <f aca="false">'Source Data'!B1348</f>
        <v>Technology: Manufacturing</v>
      </c>
      <c r="C1351" s="6" t="n">
        <f aca="false">'Source Data'!C1348</f>
        <v>12</v>
      </c>
      <c r="D1351" s="6" t="n">
        <f aca="false">'Source Data'!E1348</f>
        <v>4</v>
      </c>
      <c r="E1351" s="6" t="n">
        <f aca="false">IFERROR(N(C1351)-N(D1351),"")</f>
        <v>8</v>
      </c>
      <c r="F1351" s="7" t="str">
        <f aca="false">IF(E1351&gt;0,"Yes",IF(E1351&lt;0,"No (Paternity higher)","Equal"))</f>
        <v>Yes</v>
      </c>
    </row>
    <row r="1352" customFormat="false" ht="15" hidden="false" customHeight="false" outlineLevel="0" collapsed="false">
      <c r="A1352" s="5" t="str">
        <f aca="false">'Source Data'!A1349</f>
        <v>Currencycloud</v>
      </c>
      <c r="B1352" s="5" t="str">
        <f aca="false">'Source Data'!B1349</f>
        <v>Technology: Payments</v>
      </c>
      <c r="C1352" s="6" t="n">
        <f aca="false">'Source Data'!C1349</f>
        <v>13</v>
      </c>
      <c r="D1352" s="6" t="n">
        <f aca="false">'Source Data'!E1349</f>
        <v>0</v>
      </c>
      <c r="E1352" s="6" t="n">
        <f aca="false">IFERROR(N(C1352)-N(D1352),"")</f>
        <v>13</v>
      </c>
      <c r="F1352" s="7" t="str">
        <f aca="false">IF(E1352&gt;0,"Yes",IF(E1352&lt;0,"No (Paternity higher)","Equal"))</f>
        <v>Yes</v>
      </c>
    </row>
    <row r="1353" customFormat="false" ht="15" hidden="false" customHeight="false" outlineLevel="0" collapsed="false">
      <c r="A1353" s="5" t="str">
        <f aca="false">'Source Data'!A1350</f>
        <v>Gusto</v>
      </c>
      <c r="B1353" s="5" t="str">
        <f aca="false">'Source Data'!B1350</f>
        <v>Technology: Payments</v>
      </c>
      <c r="C1353" s="6" t="n">
        <f aca="false">'Source Data'!C1350</f>
        <v>16</v>
      </c>
      <c r="D1353" s="6" t="n">
        <f aca="false">'Source Data'!E1350</f>
        <v>0</v>
      </c>
      <c r="E1353" s="6" t="n">
        <f aca="false">IFERROR(N(C1353)-N(D1353),"")</f>
        <v>16</v>
      </c>
      <c r="F1353" s="7" t="str">
        <f aca="false">IF(E1353&gt;0,"Yes",IF(E1353&lt;0,"No (Paternity higher)","Equal"))</f>
        <v>Yes</v>
      </c>
    </row>
    <row r="1354" customFormat="false" ht="15" hidden="false" customHeight="false" outlineLevel="0" collapsed="false">
      <c r="A1354" s="5" t="str">
        <f aca="false">'Source Data'!A1351</f>
        <v>Ingenico Group</v>
      </c>
      <c r="B1354" s="5" t="str">
        <f aca="false">'Source Data'!B1351</f>
        <v>Technology: Payments</v>
      </c>
      <c r="C1354" s="6" t="n">
        <f aca="false">'Source Data'!C1351</f>
        <v>12</v>
      </c>
      <c r="D1354" s="6" t="n">
        <f aca="false">'Source Data'!E1351</f>
        <v>0</v>
      </c>
      <c r="E1354" s="6" t="n">
        <f aca="false">IFERROR(N(C1354)-N(D1354),"")</f>
        <v>12</v>
      </c>
      <c r="F1354" s="7" t="str">
        <f aca="false">IF(E1354&gt;0,"Yes",IF(E1354&lt;0,"No (Paternity higher)","Equal"))</f>
        <v>Yes</v>
      </c>
    </row>
    <row r="1355" customFormat="false" ht="15" hidden="false" customHeight="false" outlineLevel="0" collapsed="false">
      <c r="A1355" s="5" t="str">
        <f aca="false">'Source Data'!A1352</f>
        <v>MineralTree</v>
      </c>
      <c r="B1355" s="5" t="str">
        <f aca="false">'Source Data'!B1352</f>
        <v>Technology: Payments</v>
      </c>
      <c r="C1355" s="6" t="n">
        <f aca="false">'Source Data'!C1352</f>
        <v>12</v>
      </c>
      <c r="D1355" s="6" t="n">
        <f aca="false">'Source Data'!E1352</f>
        <v>0</v>
      </c>
      <c r="E1355" s="6" t="n">
        <f aca="false">IFERROR(N(C1355)-N(D1355),"")</f>
        <v>12</v>
      </c>
      <c r="F1355" s="7" t="str">
        <f aca="false">IF(E1355&gt;0,"Yes",IF(E1355&lt;0,"No (Paternity higher)","Equal"))</f>
        <v>Yes</v>
      </c>
    </row>
    <row r="1356" customFormat="false" ht="15" hidden="false" customHeight="false" outlineLevel="0" collapsed="false">
      <c r="A1356" s="5" t="str">
        <f aca="false">'Source Data'!A1353</f>
        <v>Pangea Money Transfer</v>
      </c>
      <c r="B1356" s="5" t="str">
        <f aca="false">'Source Data'!B1353</f>
        <v>Technology: Payments</v>
      </c>
      <c r="C1356" s="6" t="n">
        <f aca="false">'Source Data'!C1353</f>
        <v>12</v>
      </c>
      <c r="D1356" s="6" t="n">
        <f aca="false">'Source Data'!E1353</f>
        <v>0</v>
      </c>
      <c r="E1356" s="6" t="n">
        <f aca="false">IFERROR(N(C1356)-N(D1356),"")</f>
        <v>12</v>
      </c>
      <c r="F1356" s="7" t="str">
        <f aca="false">IF(E1356&gt;0,"Yes",IF(E1356&lt;0,"No (Paternity higher)","Equal"))</f>
        <v>Yes</v>
      </c>
    </row>
    <row r="1357" customFormat="false" ht="15" hidden="false" customHeight="false" outlineLevel="0" collapsed="false">
      <c r="A1357" s="5" t="str">
        <f aca="false">'Source Data'!A1354</f>
        <v>PayPal</v>
      </c>
      <c r="B1357" s="5" t="str">
        <f aca="false">'Source Data'!B1354</f>
        <v>Technology: Payments</v>
      </c>
      <c r="C1357" s="6" t="n">
        <f aca="false">'Source Data'!C1354</f>
        <v>13</v>
      </c>
      <c r="D1357" s="6" t="n">
        <f aca="false">'Source Data'!E1354</f>
        <v>0</v>
      </c>
      <c r="E1357" s="6" t="n">
        <f aca="false">IFERROR(N(C1357)-N(D1357),"")</f>
        <v>13</v>
      </c>
      <c r="F1357" s="7" t="str">
        <f aca="false">IF(E1357&gt;0,"Yes",IF(E1357&lt;0,"No (Paternity higher)","Equal"))</f>
        <v>Yes</v>
      </c>
    </row>
    <row r="1358" customFormat="false" ht="15" hidden="false" customHeight="false" outlineLevel="0" collapsed="false">
      <c r="A1358" s="5" t="str">
        <f aca="false">'Source Data'!A1355</f>
        <v>Plastiq</v>
      </c>
      <c r="B1358" s="5" t="str">
        <f aca="false">'Source Data'!B1355</f>
        <v>Technology: Payments</v>
      </c>
      <c r="C1358" s="6" t="n">
        <f aca="false">'Source Data'!C1355</f>
        <v>12</v>
      </c>
      <c r="D1358" s="6" t="n">
        <f aca="false">'Source Data'!E1355</f>
        <v>0</v>
      </c>
      <c r="E1358" s="6" t="n">
        <f aca="false">IFERROR(N(C1358)-N(D1358),"")</f>
        <v>12</v>
      </c>
      <c r="F1358" s="7" t="str">
        <f aca="false">IF(E1358&gt;0,"Yes",IF(E1358&lt;0,"No (Paternity higher)","Equal"))</f>
        <v>Yes</v>
      </c>
    </row>
    <row r="1359" customFormat="false" ht="15" hidden="false" customHeight="false" outlineLevel="0" collapsed="false">
      <c r="A1359" s="5" t="str">
        <f aca="false">'Source Data'!A1356</f>
        <v>Ramp</v>
      </c>
      <c r="B1359" s="5" t="str">
        <f aca="false">'Source Data'!B1356</f>
        <v>Technology: Payments</v>
      </c>
      <c r="C1359" s="6" t="n">
        <f aca="false">'Source Data'!C1356</f>
        <v>12</v>
      </c>
      <c r="D1359" s="6" t="n">
        <f aca="false">'Source Data'!E1356</f>
        <v>0</v>
      </c>
      <c r="E1359" s="6" t="n">
        <f aca="false">IFERROR(N(C1359)-N(D1359),"")</f>
        <v>12</v>
      </c>
      <c r="F1359" s="7" t="str">
        <f aca="false">IF(E1359&gt;0,"Yes",IF(E1359&lt;0,"No (Paternity higher)","Equal"))</f>
        <v>Yes</v>
      </c>
    </row>
    <row r="1360" customFormat="false" ht="15" hidden="false" customHeight="false" outlineLevel="0" collapsed="false">
      <c r="A1360" s="5" t="str">
        <f aca="false">'Source Data'!A1357</f>
        <v>Square</v>
      </c>
      <c r="B1360" s="5" t="str">
        <f aca="false">'Source Data'!B1357</f>
        <v>Technology: Payments</v>
      </c>
      <c r="C1360" s="6" t="n">
        <f aca="false">'Source Data'!C1357</f>
        <v>16</v>
      </c>
      <c r="D1360" s="6" t="n">
        <f aca="false">'Source Data'!E1357</f>
        <v>0</v>
      </c>
      <c r="E1360" s="6" t="n">
        <f aca="false">IFERROR(N(C1360)-N(D1360),"")</f>
        <v>16</v>
      </c>
      <c r="F1360" s="7" t="str">
        <f aca="false">IF(E1360&gt;0,"Yes",IF(E1360&lt;0,"No (Paternity higher)","Equal"))</f>
        <v>Yes</v>
      </c>
    </row>
    <row r="1361" customFormat="false" ht="15" hidden="false" customHeight="false" outlineLevel="0" collapsed="false">
      <c r="A1361" s="5" t="str">
        <f aca="false">'Source Data'!A1358</f>
        <v>Magic Leap</v>
      </c>
      <c r="B1361" s="5" t="str">
        <f aca="false">'Source Data'!B1358</f>
        <v>Technology: Research</v>
      </c>
      <c r="C1361" s="6" t="n">
        <f aca="false">'Source Data'!C1358</f>
        <v>18</v>
      </c>
      <c r="D1361" s="6" t="n">
        <f aca="false">'Source Data'!E1358</f>
        <v>0</v>
      </c>
      <c r="E1361" s="6" t="n">
        <f aca="false">IFERROR(N(C1361)-N(D1361),"")</f>
        <v>18</v>
      </c>
      <c r="F1361" s="7" t="str">
        <f aca="false">IF(E1361&gt;0,"Yes",IF(E1361&lt;0,"No (Paternity higher)","Equal"))</f>
        <v>Yes</v>
      </c>
    </row>
    <row r="1362" customFormat="false" ht="15" hidden="false" customHeight="false" outlineLevel="0" collapsed="false">
      <c r="A1362" s="5" t="str">
        <f aca="false">'Source Data'!A1359</f>
        <v>ADT Security Services</v>
      </c>
      <c r="B1362" s="5" t="str">
        <f aca="false">'Source Data'!B1359</f>
        <v>Technology: Security</v>
      </c>
      <c r="C1362" s="6" t="n">
        <f aca="false">'Source Data'!C1359</f>
        <v>5</v>
      </c>
      <c r="D1362" s="6" t="n">
        <f aca="false">'Source Data'!E1359</f>
        <v>0</v>
      </c>
      <c r="E1362" s="6" t="n">
        <f aca="false">IFERROR(N(C1362)-N(D1362),"")</f>
        <v>5</v>
      </c>
      <c r="F1362" s="7" t="str">
        <f aca="false">IF(E1362&gt;0,"Yes",IF(E1362&lt;0,"No (Paternity higher)","Equal"))</f>
        <v>Yes</v>
      </c>
    </row>
    <row r="1363" customFormat="false" ht="15" hidden="false" customHeight="false" outlineLevel="0" collapsed="false">
      <c r="A1363" s="5" t="str">
        <f aca="false">'Source Data'!A1360</f>
        <v>Alarm.com</v>
      </c>
      <c r="B1363" s="5" t="str">
        <f aca="false">'Source Data'!B1360</f>
        <v>Technology: Security</v>
      </c>
      <c r="C1363" s="6" t="n">
        <f aca="false">'Source Data'!C1360</f>
        <v>8</v>
      </c>
      <c r="D1363" s="6" t="n">
        <f aca="false">'Source Data'!E1360</f>
        <v>0</v>
      </c>
      <c r="E1363" s="6" t="n">
        <f aca="false">IFERROR(N(C1363)-N(D1363),"")</f>
        <v>8</v>
      </c>
      <c r="F1363" s="7" t="str">
        <f aca="false">IF(E1363&gt;0,"Yes",IF(E1363&lt;0,"No (Paternity higher)","Equal"))</f>
        <v>Yes</v>
      </c>
    </row>
    <row r="1364" customFormat="false" ht="15" hidden="false" customHeight="false" outlineLevel="0" collapsed="false">
      <c r="A1364" s="5" t="str">
        <f aca="false">'Source Data'!A1361</f>
        <v>Brivo</v>
      </c>
      <c r="B1364" s="5" t="str">
        <f aca="false">'Source Data'!B1361</f>
        <v>Technology: Security</v>
      </c>
      <c r="C1364" s="6" t="n">
        <f aca="false">'Source Data'!C1361</f>
        <v>8</v>
      </c>
      <c r="D1364" s="6" t="n">
        <f aca="false">'Source Data'!E1361</f>
        <v>0</v>
      </c>
      <c r="E1364" s="6" t="n">
        <f aca="false">IFERROR(N(C1364)-N(D1364),"")</f>
        <v>8</v>
      </c>
      <c r="F1364" s="7" t="str">
        <f aca="false">IF(E1364&gt;0,"Yes",IF(E1364&lt;0,"No (Paternity higher)","Equal"))</f>
        <v>Yes</v>
      </c>
    </row>
    <row r="1365" customFormat="false" ht="15" hidden="false" customHeight="false" outlineLevel="0" collapsed="false">
      <c r="A1365" s="5" t="str">
        <f aca="false">'Source Data'!A1362</f>
        <v>Coalfire</v>
      </c>
      <c r="B1365" s="5" t="str">
        <f aca="false">'Source Data'!B1362</f>
        <v>Technology: Security</v>
      </c>
      <c r="C1365" s="6" t="n">
        <f aca="false">'Source Data'!C1362</f>
        <v>10</v>
      </c>
      <c r="D1365" s="6" t="n">
        <f aca="false">'Source Data'!E1362</f>
        <v>0</v>
      </c>
      <c r="E1365" s="6" t="n">
        <f aca="false">IFERROR(N(C1365)-N(D1365),"")</f>
        <v>10</v>
      </c>
      <c r="F1365" s="7" t="str">
        <f aca="false">IF(E1365&gt;0,"Yes",IF(E1365&lt;0,"No (Paternity higher)","Equal"))</f>
        <v>Yes</v>
      </c>
    </row>
    <row r="1366" customFormat="false" ht="15" hidden="false" customHeight="false" outlineLevel="0" collapsed="false">
      <c r="A1366" s="5" t="str">
        <f aca="false">'Source Data'!A1363</f>
        <v>CrowdStrike</v>
      </c>
      <c r="B1366" s="5" t="str">
        <f aca="false">'Source Data'!B1363</f>
        <v>Technology: Security</v>
      </c>
      <c r="C1366" s="6" t="n">
        <f aca="false">'Source Data'!C1363</f>
        <v>9</v>
      </c>
      <c r="D1366" s="6" t="n">
        <f aca="false">'Source Data'!E1363</f>
        <v>0</v>
      </c>
      <c r="E1366" s="6" t="n">
        <f aca="false">IFERROR(N(C1366)-N(D1366),"")</f>
        <v>9</v>
      </c>
      <c r="F1366" s="7" t="str">
        <f aca="false">IF(E1366&gt;0,"Yes",IF(E1366&lt;0,"No (Paternity higher)","Equal"))</f>
        <v>Yes</v>
      </c>
    </row>
    <row r="1367" customFormat="false" ht="15" hidden="false" customHeight="false" outlineLevel="0" collapsed="false">
      <c r="A1367" s="5" t="str">
        <f aca="false">'Source Data'!A1364</f>
        <v>Entrust</v>
      </c>
      <c r="B1367" s="5" t="str">
        <f aca="false">'Source Data'!B1364</f>
        <v>Technology: Security</v>
      </c>
      <c r="C1367" s="6" t="n">
        <f aca="false">'Source Data'!C1364</f>
        <v>12</v>
      </c>
      <c r="D1367" s="6" t="n">
        <f aca="false">'Source Data'!E1364</f>
        <v>0</v>
      </c>
      <c r="E1367" s="6" t="n">
        <f aca="false">IFERROR(N(C1367)-N(D1367),"")</f>
        <v>12</v>
      </c>
      <c r="F1367" s="7" t="str">
        <f aca="false">IF(E1367&gt;0,"Yes",IF(E1367&lt;0,"No (Paternity higher)","Equal"))</f>
        <v>Yes</v>
      </c>
    </row>
    <row r="1368" customFormat="false" ht="15" hidden="false" customHeight="false" outlineLevel="0" collapsed="false">
      <c r="A1368" s="5" t="str">
        <f aca="false">'Source Data'!A1365</f>
        <v>RSA</v>
      </c>
      <c r="B1368" s="5" t="str">
        <f aca="false">'Source Data'!B1365</f>
        <v>Technology: Security</v>
      </c>
      <c r="C1368" s="6" t="n">
        <f aca="false">'Source Data'!C1365</f>
        <v>18</v>
      </c>
      <c r="D1368" s="6" t="n">
        <f aca="false">'Source Data'!E1365</f>
        <v>0</v>
      </c>
      <c r="E1368" s="6" t="n">
        <f aca="false">IFERROR(N(C1368)-N(D1368),"")</f>
        <v>18</v>
      </c>
      <c r="F1368" s="7" t="str">
        <f aca="false">IF(E1368&gt;0,"Yes",IF(E1368&lt;0,"No (Paternity higher)","Equal"))</f>
        <v>Yes</v>
      </c>
    </row>
    <row r="1369" customFormat="false" ht="15" hidden="false" customHeight="false" outlineLevel="0" collapsed="false">
      <c r="A1369" s="5" t="str">
        <f aca="false">'Source Data'!A1366</f>
        <v>Trustwave Holdings</v>
      </c>
      <c r="B1369" s="5" t="str">
        <f aca="false">'Source Data'!B1366</f>
        <v>Technology: Security</v>
      </c>
      <c r="C1369" s="6" t="n">
        <f aca="false">'Source Data'!C1366</f>
        <v>12</v>
      </c>
      <c r="D1369" s="6" t="n">
        <f aca="false">'Source Data'!E1366</f>
        <v>0</v>
      </c>
      <c r="E1369" s="6" t="n">
        <f aca="false">IFERROR(N(C1369)-N(D1369),"")</f>
        <v>12</v>
      </c>
      <c r="F1369" s="7" t="str">
        <f aca="false">IF(E1369&gt;0,"Yes",IF(E1369&lt;0,"No (Paternity higher)","Equal"))</f>
        <v>Yes</v>
      </c>
    </row>
    <row r="1370" customFormat="false" ht="15" hidden="false" customHeight="false" outlineLevel="0" collapsed="false">
      <c r="A1370" s="5" t="str">
        <f aca="false">'Source Data'!A1367</f>
        <v>Agilysys</v>
      </c>
      <c r="B1370" s="5" t="str">
        <f aca="false">'Source Data'!B1367</f>
        <v>Technology: Software</v>
      </c>
      <c r="C1370" s="6" t="n">
        <f aca="false">'Source Data'!C1367</f>
        <v>6</v>
      </c>
      <c r="D1370" s="6" t="n">
        <f aca="false">'Source Data'!E1367</f>
        <v>0</v>
      </c>
      <c r="E1370" s="6" t="n">
        <f aca="false">IFERROR(N(C1370)-N(D1370),"")</f>
        <v>6</v>
      </c>
      <c r="F1370" s="7" t="str">
        <f aca="false">IF(E1370&gt;0,"Yes",IF(E1370&lt;0,"No (Paternity higher)","Equal"))</f>
        <v>Yes</v>
      </c>
    </row>
    <row r="1371" customFormat="false" ht="15" hidden="false" customHeight="false" outlineLevel="0" collapsed="false">
      <c r="A1371" s="5" t="str">
        <f aca="false">'Source Data'!A1368</f>
        <v>Alkami Technology</v>
      </c>
      <c r="B1371" s="5" t="str">
        <f aca="false">'Source Data'!B1368</f>
        <v>Technology: Software</v>
      </c>
      <c r="C1371" s="6" t="n">
        <f aca="false">'Source Data'!C1368</f>
        <v>12</v>
      </c>
      <c r="D1371" s="6" t="n">
        <f aca="false">'Source Data'!E1368</f>
        <v>0</v>
      </c>
      <c r="E1371" s="6" t="n">
        <f aca="false">IFERROR(N(C1371)-N(D1371),"")</f>
        <v>12</v>
      </c>
      <c r="F1371" s="7" t="str">
        <f aca="false">IF(E1371&gt;0,"Yes",IF(E1371&lt;0,"No (Paternity higher)","Equal"))</f>
        <v>Yes</v>
      </c>
    </row>
    <row r="1372" customFormat="false" ht="15" hidden="false" customHeight="false" outlineLevel="0" collapsed="false">
      <c r="A1372" s="5" t="str">
        <f aca="false">'Source Data'!A1369</f>
        <v>Alteryx</v>
      </c>
      <c r="B1372" s="5" t="str">
        <f aca="false">'Source Data'!B1369</f>
        <v>Technology: Software</v>
      </c>
      <c r="C1372" s="6" t="n">
        <f aca="false">'Source Data'!C1369</f>
        <v>12</v>
      </c>
      <c r="D1372" s="6" t="n">
        <f aca="false">'Source Data'!E1369</f>
        <v>0</v>
      </c>
      <c r="E1372" s="6" t="n">
        <f aca="false">IFERROR(N(C1372)-N(D1372),"")</f>
        <v>12</v>
      </c>
      <c r="F1372" s="7" t="str">
        <f aca="false">IF(E1372&gt;0,"Yes",IF(E1372&lt;0,"No (Paternity higher)","Equal"))</f>
        <v>Yes</v>
      </c>
    </row>
    <row r="1373" customFormat="false" ht="15" hidden="false" customHeight="false" outlineLevel="0" collapsed="false">
      <c r="A1373" s="5" t="str">
        <f aca="false">'Source Data'!A1370</f>
        <v>Amplitude</v>
      </c>
      <c r="B1373" s="5" t="str">
        <f aca="false">'Source Data'!B1370</f>
        <v>Technology: Software</v>
      </c>
      <c r="C1373" s="6" t="n">
        <f aca="false">'Source Data'!C1370</f>
        <v>12</v>
      </c>
      <c r="D1373" s="6" t="n">
        <f aca="false">'Source Data'!E1370</f>
        <v>12</v>
      </c>
      <c r="E1373" s="6" t="n">
        <f aca="false">IFERROR(N(C1373)-N(D1373),"")</f>
        <v>0</v>
      </c>
      <c r="F1373" s="7" t="str">
        <f aca="false">IF(E1373&gt;0,"Yes",IF(E1373&lt;0,"No (Paternity higher)","Equal"))</f>
        <v>Equal</v>
      </c>
    </row>
    <row r="1374" customFormat="false" ht="15" hidden="false" customHeight="false" outlineLevel="0" collapsed="false">
      <c r="A1374" s="5" t="str">
        <f aca="false">'Source Data'!A1371</f>
        <v>Anant Corporation</v>
      </c>
      <c r="B1374" s="5" t="str">
        <f aca="false">'Source Data'!B1371</f>
        <v>Technology: Software</v>
      </c>
      <c r="C1374" s="6" t="n">
        <f aca="false">'Source Data'!C1371</f>
        <v>4</v>
      </c>
      <c r="D1374" s="6" t="n">
        <f aca="false">'Source Data'!E1371</f>
        <v>0</v>
      </c>
      <c r="E1374" s="6" t="n">
        <f aca="false">IFERROR(N(C1374)-N(D1374),"")</f>
        <v>4</v>
      </c>
      <c r="F1374" s="7" t="str">
        <f aca="false">IF(E1374&gt;0,"Yes",IF(E1374&lt;0,"No (Paternity higher)","Equal"))</f>
        <v>Yes</v>
      </c>
    </row>
    <row r="1375" customFormat="false" ht="15" hidden="false" customHeight="false" outlineLevel="0" collapsed="false">
      <c r="A1375" s="5" t="str">
        <f aca="false">'Source Data'!A1372</f>
        <v>Ansys</v>
      </c>
      <c r="B1375" s="5" t="str">
        <f aca="false">'Source Data'!B1372</f>
        <v>Technology: Software</v>
      </c>
      <c r="C1375" s="6" t="n">
        <f aca="false">'Source Data'!C1372</f>
        <v>6</v>
      </c>
      <c r="D1375" s="6" t="n">
        <f aca="false">'Source Data'!E1372</f>
        <v>0</v>
      </c>
      <c r="E1375" s="6" t="n">
        <f aca="false">IFERROR(N(C1375)-N(D1375),"")</f>
        <v>6</v>
      </c>
      <c r="F1375" s="7" t="str">
        <f aca="false">IF(E1375&gt;0,"Yes",IF(E1375&lt;0,"No (Paternity higher)","Equal"))</f>
        <v>Yes</v>
      </c>
    </row>
    <row r="1376" customFormat="false" ht="15" hidden="false" customHeight="false" outlineLevel="0" collapsed="false">
      <c r="A1376" s="5" t="str">
        <f aca="false">'Source Data'!A1373</f>
        <v>AppDynamics</v>
      </c>
      <c r="B1376" s="5" t="str">
        <f aca="false">'Source Data'!B1373</f>
        <v>Technology: Software</v>
      </c>
      <c r="C1376" s="6" t="n">
        <f aca="false">'Source Data'!C1373</f>
        <v>13</v>
      </c>
      <c r="D1376" s="6" t="n">
        <f aca="false">'Source Data'!E1373</f>
        <v>0</v>
      </c>
      <c r="E1376" s="6" t="n">
        <f aca="false">IFERROR(N(C1376)-N(D1376),"")</f>
        <v>13</v>
      </c>
      <c r="F1376" s="7" t="str">
        <f aca="false">IF(E1376&gt;0,"Yes",IF(E1376&lt;0,"No (Paternity higher)","Equal"))</f>
        <v>Yes</v>
      </c>
    </row>
    <row r="1377" customFormat="false" ht="15" hidden="false" customHeight="false" outlineLevel="0" collapsed="false">
      <c r="A1377" s="5" t="str">
        <f aca="false">'Source Data'!A1374</f>
        <v>Aquicore</v>
      </c>
      <c r="B1377" s="5" t="str">
        <f aca="false">'Source Data'!B1374</f>
        <v>Technology: Software</v>
      </c>
      <c r="C1377" s="6" t="n">
        <f aca="false">'Source Data'!C1374</f>
        <v>12</v>
      </c>
      <c r="D1377" s="6" t="n">
        <f aca="false">'Source Data'!E1374</f>
        <v>0</v>
      </c>
      <c r="E1377" s="6" t="n">
        <f aca="false">IFERROR(N(C1377)-N(D1377),"")</f>
        <v>12</v>
      </c>
      <c r="F1377" s="7" t="str">
        <f aca="false">IF(E1377&gt;0,"Yes",IF(E1377&lt;0,"No (Paternity higher)","Equal"))</f>
        <v>Yes</v>
      </c>
    </row>
    <row r="1378" customFormat="false" ht="15" hidden="false" customHeight="false" outlineLevel="0" collapsed="false">
      <c r="A1378" s="5" t="str">
        <f aca="false">'Source Data'!A1375</f>
        <v>ArisGlobal</v>
      </c>
      <c r="B1378" s="5" t="str">
        <f aca="false">'Source Data'!B1375</f>
        <v>Technology: Software</v>
      </c>
      <c r="C1378" s="6" t="n">
        <f aca="false">'Source Data'!C1375</f>
        <v>12</v>
      </c>
      <c r="D1378" s="6" t="n">
        <f aca="false">'Source Data'!E1375</f>
        <v>0</v>
      </c>
      <c r="E1378" s="6" t="n">
        <f aca="false">IFERROR(N(C1378)-N(D1378),"")</f>
        <v>12</v>
      </c>
      <c r="F1378" s="7" t="str">
        <f aca="false">IF(E1378&gt;0,"Yes",IF(E1378&lt;0,"No (Paternity higher)","Equal"))</f>
        <v>Yes</v>
      </c>
    </row>
    <row r="1379" customFormat="false" ht="15" hidden="false" customHeight="false" outlineLevel="0" collapsed="false">
      <c r="A1379" s="5" t="str">
        <f aca="false">'Source Data'!A1376</f>
        <v>Atlassian</v>
      </c>
      <c r="B1379" s="5" t="str">
        <f aca="false">'Source Data'!B1376</f>
        <v>Technology: Software</v>
      </c>
      <c r="C1379" s="6" t="n">
        <f aca="false">'Source Data'!C1376</f>
        <v>25</v>
      </c>
      <c r="D1379" s="6" t="n">
        <f aca="false">'Source Data'!E1376</f>
        <v>0</v>
      </c>
      <c r="E1379" s="6" t="n">
        <f aca="false">IFERROR(N(C1379)-N(D1379),"")</f>
        <v>25</v>
      </c>
      <c r="F1379" s="7" t="str">
        <f aca="false">IF(E1379&gt;0,"Yes",IF(E1379&lt;0,"No (Paternity higher)","Equal"))</f>
        <v>Yes</v>
      </c>
    </row>
    <row r="1380" customFormat="false" ht="15" hidden="false" customHeight="false" outlineLevel="0" collapsed="false">
      <c r="A1380" s="5" t="str">
        <f aca="false">'Source Data'!A1377</f>
        <v>Automox</v>
      </c>
      <c r="B1380" s="5" t="str">
        <f aca="false">'Source Data'!B1377</f>
        <v>Technology: Software</v>
      </c>
      <c r="C1380" s="6" t="n">
        <f aca="false">'Source Data'!C1377</f>
        <v>12</v>
      </c>
      <c r="D1380" s="6" t="n">
        <f aca="false">'Source Data'!E1377</f>
        <v>0</v>
      </c>
      <c r="E1380" s="6" t="n">
        <f aca="false">IFERROR(N(C1380)-N(D1380),"")</f>
        <v>12</v>
      </c>
      <c r="F1380" s="7" t="str">
        <f aca="false">IF(E1380&gt;0,"Yes",IF(E1380&lt;0,"No (Paternity higher)","Equal"))</f>
        <v>Yes</v>
      </c>
    </row>
    <row r="1381" customFormat="false" ht="15" hidden="false" customHeight="false" outlineLevel="0" collapsed="false">
      <c r="A1381" s="5" t="str">
        <f aca="false">'Source Data'!A1378</f>
        <v>Aware, Inc</v>
      </c>
      <c r="B1381" s="5" t="str">
        <f aca="false">'Source Data'!B1378</f>
        <v>Technology: Software</v>
      </c>
      <c r="C1381" s="6" t="n">
        <f aca="false">'Source Data'!C1378</f>
        <v>15.5</v>
      </c>
      <c r="D1381" s="6" t="n">
        <f aca="false">'Source Data'!E1378</f>
        <v>0</v>
      </c>
      <c r="E1381" s="6" t="n">
        <f aca="false">IFERROR(N(C1381)-N(D1381),"")</f>
        <v>15.5</v>
      </c>
      <c r="F1381" s="7" t="str">
        <f aca="false">IF(E1381&gt;0,"Yes",IF(E1381&lt;0,"No (Paternity higher)","Equal"))</f>
        <v>Yes</v>
      </c>
    </row>
    <row r="1382" customFormat="false" ht="15" hidden="false" customHeight="false" outlineLevel="0" collapsed="false">
      <c r="A1382" s="5" t="str">
        <f aca="false">'Source Data'!A1379</f>
        <v>Axon</v>
      </c>
      <c r="B1382" s="5" t="str">
        <f aca="false">'Source Data'!B1379</f>
        <v>Technology: Software</v>
      </c>
      <c r="C1382" s="6" t="n">
        <f aca="false">'Source Data'!C1379</f>
        <v>12</v>
      </c>
      <c r="D1382" s="6" t="n">
        <f aca="false">'Source Data'!E1379</f>
        <v>0</v>
      </c>
      <c r="E1382" s="6" t="n">
        <f aca="false">IFERROR(N(C1382)-N(D1382),"")</f>
        <v>12</v>
      </c>
      <c r="F1382" s="7" t="str">
        <f aca="false">IF(E1382&gt;0,"Yes",IF(E1382&lt;0,"No (Paternity higher)","Equal"))</f>
        <v>Yes</v>
      </c>
    </row>
    <row r="1383" customFormat="false" ht="15" hidden="false" customHeight="false" outlineLevel="0" collapsed="false">
      <c r="A1383" s="5" t="str">
        <f aca="false">'Source Data'!A1380</f>
        <v>Bentley Systems, Inc.</v>
      </c>
      <c r="B1383" s="5" t="str">
        <f aca="false">'Source Data'!B1380</f>
        <v>Technology: Software</v>
      </c>
      <c r="C1383" s="6" t="n">
        <f aca="false">'Source Data'!C1380</f>
        <v>6</v>
      </c>
      <c r="D1383" s="6" t="n">
        <f aca="false">'Source Data'!E1380</f>
        <v>0</v>
      </c>
      <c r="E1383" s="6" t="n">
        <f aca="false">IFERROR(N(C1383)-N(D1383),"")</f>
        <v>6</v>
      </c>
      <c r="F1383" s="7" t="str">
        <f aca="false">IF(E1383&gt;0,"Yes",IF(E1383&lt;0,"No (Paternity higher)","Equal"))</f>
        <v>Yes</v>
      </c>
    </row>
    <row r="1384" customFormat="false" ht="15" hidden="false" customHeight="false" outlineLevel="0" collapsed="false">
      <c r="A1384" s="5" t="str">
        <f aca="false">'Source Data'!A1381</f>
        <v>BigCommerce</v>
      </c>
      <c r="B1384" s="5" t="str">
        <f aca="false">'Source Data'!B1381</f>
        <v>Technology: Software</v>
      </c>
      <c r="C1384" s="6" t="n">
        <f aca="false">'Source Data'!C1381</f>
        <v>12</v>
      </c>
      <c r="D1384" s="6" t="n">
        <f aca="false">'Source Data'!E1381</f>
        <v>0</v>
      </c>
      <c r="E1384" s="6" t="n">
        <f aca="false">IFERROR(N(C1384)-N(D1384),"")</f>
        <v>12</v>
      </c>
      <c r="F1384" s="7" t="str">
        <f aca="false">IF(E1384&gt;0,"Yes",IF(E1384&lt;0,"No (Paternity higher)","Equal"))</f>
        <v>Yes</v>
      </c>
    </row>
    <row r="1385" customFormat="false" ht="15" hidden="false" customHeight="false" outlineLevel="0" collapsed="false">
      <c r="A1385" s="5" t="str">
        <f aca="false">'Source Data'!A1382</f>
        <v>Bitdefender</v>
      </c>
      <c r="B1385" s="5" t="str">
        <f aca="false">'Source Data'!B1382</f>
        <v>Technology: Software</v>
      </c>
      <c r="C1385" s="6" t="n">
        <f aca="false">'Source Data'!C1382</f>
        <v>52</v>
      </c>
      <c r="D1385" s="6" t="n">
        <f aca="false">'Source Data'!E1382</f>
        <v>0</v>
      </c>
      <c r="E1385" s="6" t="n">
        <f aca="false">IFERROR(N(C1385)-N(D1385),"")</f>
        <v>52</v>
      </c>
      <c r="F1385" s="7" t="str">
        <f aca="false">IF(E1385&gt;0,"Yes",IF(E1385&lt;0,"No (Paternity higher)","Equal"))</f>
        <v>Yes</v>
      </c>
    </row>
    <row r="1386" customFormat="false" ht="15" hidden="false" customHeight="false" outlineLevel="0" collapsed="false">
      <c r="A1386" s="5" t="str">
        <f aca="false">'Source Data'!A1383</f>
        <v>Blackbaud</v>
      </c>
      <c r="B1386" s="5" t="str">
        <f aca="false">'Source Data'!B1383</f>
        <v>Technology: Software</v>
      </c>
      <c r="C1386" s="6" t="n">
        <f aca="false">'Source Data'!C1383</f>
        <v>12</v>
      </c>
      <c r="D1386" s="6" t="n">
        <f aca="false">'Source Data'!E1383</f>
        <v>0</v>
      </c>
      <c r="E1386" s="6" t="n">
        <f aca="false">IFERROR(N(C1386)-N(D1386),"")</f>
        <v>12</v>
      </c>
      <c r="F1386" s="7" t="str">
        <f aca="false">IF(E1386&gt;0,"Yes",IF(E1386&lt;0,"No (Paternity higher)","Equal"))</f>
        <v>Yes</v>
      </c>
    </row>
    <row r="1387" customFormat="false" ht="15" hidden="false" customHeight="false" outlineLevel="0" collapsed="false">
      <c r="A1387" s="5" t="str">
        <f aca="false">'Source Data'!A1384</f>
        <v>Bullhorn</v>
      </c>
      <c r="B1387" s="5" t="str">
        <f aca="false">'Source Data'!B1384</f>
        <v>Technology: Software</v>
      </c>
      <c r="C1387" s="6" t="n">
        <f aca="false">'Source Data'!C1384</f>
        <v>12</v>
      </c>
      <c r="D1387" s="6" t="n">
        <f aca="false">'Source Data'!E1384</f>
        <v>0</v>
      </c>
      <c r="E1387" s="6" t="n">
        <f aca="false">IFERROR(N(C1387)-N(D1387),"")</f>
        <v>12</v>
      </c>
      <c r="F1387" s="7" t="str">
        <f aca="false">IF(E1387&gt;0,"Yes",IF(E1387&lt;0,"No (Paternity higher)","Equal"))</f>
        <v>Yes</v>
      </c>
    </row>
    <row r="1388" customFormat="false" ht="15" hidden="false" customHeight="false" outlineLevel="0" collapsed="false">
      <c r="A1388" s="5" t="str">
        <f aca="false">'Source Data'!A1385</f>
        <v>CallRail</v>
      </c>
      <c r="B1388" s="5" t="str">
        <f aca="false">'Source Data'!B1385</f>
        <v>Technology: Software</v>
      </c>
      <c r="C1388" s="6" t="n">
        <f aca="false">'Source Data'!C1385</f>
        <v>6</v>
      </c>
      <c r="D1388" s="6" t="n">
        <f aca="false">'Source Data'!E1385</f>
        <v>0</v>
      </c>
      <c r="E1388" s="6" t="n">
        <f aca="false">IFERROR(N(C1388)-N(D1388),"")</f>
        <v>6</v>
      </c>
      <c r="F1388" s="7" t="str">
        <f aca="false">IF(E1388&gt;0,"Yes",IF(E1388&lt;0,"No (Paternity higher)","Equal"))</f>
        <v>Yes</v>
      </c>
    </row>
    <row r="1389" customFormat="false" ht="15" hidden="false" customHeight="false" outlineLevel="0" collapsed="false">
      <c r="A1389" s="5" t="str">
        <f aca="false">'Source Data'!A1386</f>
        <v>Canva</v>
      </c>
      <c r="B1389" s="5" t="str">
        <f aca="false">'Source Data'!B1386</f>
        <v>Technology: Software</v>
      </c>
      <c r="C1389" s="6" t="n">
        <f aca="false">'Source Data'!C1386</f>
        <v>18</v>
      </c>
      <c r="D1389" s="6" t="n">
        <f aca="false">'Source Data'!E1386</f>
        <v>0</v>
      </c>
      <c r="E1389" s="6" t="n">
        <f aca="false">IFERROR(N(C1389)-N(D1389),"")</f>
        <v>18</v>
      </c>
      <c r="F1389" s="7" t="str">
        <f aca="false">IF(E1389&gt;0,"Yes",IF(E1389&lt;0,"No (Paternity higher)","Equal"))</f>
        <v>Yes</v>
      </c>
    </row>
    <row r="1390" customFormat="false" ht="15" hidden="false" customHeight="false" outlineLevel="0" collapsed="false">
      <c r="A1390" s="5" t="str">
        <f aca="false">'Source Data'!A1387</f>
        <v>CareValidate</v>
      </c>
      <c r="B1390" s="5" t="str">
        <f aca="false">'Source Data'!B1387</f>
        <v>Technology: Software</v>
      </c>
      <c r="C1390" s="6" t="n">
        <f aca="false">'Source Data'!C1387</f>
        <v>8</v>
      </c>
      <c r="D1390" s="6" t="n">
        <f aca="false">'Source Data'!E1387</f>
        <v>0</v>
      </c>
      <c r="E1390" s="6" t="n">
        <f aca="false">IFERROR(N(C1390)-N(D1390),"")</f>
        <v>8</v>
      </c>
      <c r="F1390" s="7" t="str">
        <f aca="false">IF(E1390&gt;0,"Yes",IF(E1390&lt;0,"No (Paternity higher)","Equal"))</f>
        <v>Yes</v>
      </c>
    </row>
    <row r="1391" customFormat="false" ht="15" hidden="false" customHeight="false" outlineLevel="0" collapsed="false">
      <c r="A1391" s="5" t="str">
        <f aca="false">'Source Data'!A1388</f>
        <v>CentralSquare Technologies</v>
      </c>
      <c r="B1391" s="5" t="str">
        <f aca="false">'Source Data'!B1388</f>
        <v>Technology: Software</v>
      </c>
      <c r="C1391" s="6" t="n">
        <f aca="false">'Source Data'!C1388</f>
        <v>12</v>
      </c>
      <c r="D1391" s="6" t="n">
        <f aca="false">'Source Data'!E1388</f>
        <v>0</v>
      </c>
      <c r="E1391" s="6" t="n">
        <f aca="false">IFERROR(N(C1391)-N(D1391),"")</f>
        <v>12</v>
      </c>
      <c r="F1391" s="7" t="str">
        <f aca="false">IF(E1391&gt;0,"Yes",IF(E1391&lt;0,"No (Paternity higher)","Equal"))</f>
        <v>Yes</v>
      </c>
    </row>
    <row r="1392" customFormat="false" ht="15" hidden="false" customHeight="false" outlineLevel="0" collapsed="false">
      <c r="A1392" s="5" t="str">
        <f aca="false">'Source Data'!A1389</f>
        <v>Ceridian</v>
      </c>
      <c r="B1392" s="5" t="str">
        <f aca="false">'Source Data'!B1389</f>
        <v>Technology: Software</v>
      </c>
      <c r="C1392" s="6" t="n">
        <f aca="false">'Source Data'!C1389</f>
        <v>14</v>
      </c>
      <c r="D1392" s="6" t="n">
        <f aca="false">'Source Data'!E1389</f>
        <v>0</v>
      </c>
      <c r="E1392" s="6" t="n">
        <f aca="false">IFERROR(N(C1392)-N(D1392),"")</f>
        <v>14</v>
      </c>
      <c r="F1392" s="7" t="str">
        <f aca="false">IF(E1392&gt;0,"Yes",IF(E1392&lt;0,"No (Paternity higher)","Equal"))</f>
        <v>Yes</v>
      </c>
    </row>
    <row r="1393" customFormat="false" ht="15" hidden="false" customHeight="false" outlineLevel="0" collapsed="false">
      <c r="A1393" s="5" t="str">
        <f aca="false">'Source Data'!A1390</f>
        <v>Citrix</v>
      </c>
      <c r="B1393" s="5" t="str">
        <f aca="false">'Source Data'!B1390</f>
        <v>Technology: Software</v>
      </c>
      <c r="C1393" s="6" t="n">
        <f aca="false">'Source Data'!C1390</f>
        <v>18</v>
      </c>
      <c r="D1393" s="6" t="n">
        <f aca="false">'Source Data'!E1390</f>
        <v>0</v>
      </c>
      <c r="E1393" s="6" t="n">
        <f aca="false">IFERROR(N(C1393)-N(D1393),"")</f>
        <v>18</v>
      </c>
      <c r="F1393" s="7" t="str">
        <f aca="false">IF(E1393&gt;0,"Yes",IF(E1393&lt;0,"No (Paternity higher)","Equal"))</f>
        <v>Yes</v>
      </c>
    </row>
    <row r="1394" customFormat="false" ht="15" hidden="false" customHeight="false" outlineLevel="0" collapsed="false">
      <c r="A1394" s="5" t="str">
        <f aca="false">'Source Data'!A1391</f>
        <v>ClearPoint Strategy</v>
      </c>
      <c r="B1394" s="5" t="str">
        <f aca="false">'Source Data'!B1391</f>
        <v>Technology: Software</v>
      </c>
      <c r="C1394" s="6" t="n">
        <f aca="false">'Source Data'!C1391</f>
        <v>6</v>
      </c>
      <c r="D1394" s="6" t="n">
        <f aca="false">'Source Data'!E1391</f>
        <v>0</v>
      </c>
      <c r="E1394" s="6" t="n">
        <f aca="false">IFERROR(N(C1394)-N(D1394),"")</f>
        <v>6</v>
      </c>
      <c r="F1394" s="7" t="str">
        <f aca="false">IF(E1394&gt;0,"Yes",IF(E1394&lt;0,"No (Paternity higher)","Equal"))</f>
        <v>Yes</v>
      </c>
    </row>
    <row r="1395" customFormat="false" ht="15" hidden="false" customHeight="false" outlineLevel="0" collapsed="false">
      <c r="A1395" s="5" t="str">
        <f aca="false">'Source Data'!A1392</f>
        <v>Cludo</v>
      </c>
      <c r="B1395" s="5" t="str">
        <f aca="false">'Source Data'!B1392</f>
        <v>Technology: Software</v>
      </c>
      <c r="C1395" s="6" t="n">
        <f aca="false">'Source Data'!C1392</f>
        <v>12</v>
      </c>
      <c r="D1395" s="6" t="n">
        <f aca="false">'Source Data'!E1392</f>
        <v>0</v>
      </c>
      <c r="E1395" s="6" t="n">
        <f aca="false">IFERROR(N(C1395)-N(D1395),"")</f>
        <v>12</v>
      </c>
      <c r="F1395" s="7" t="str">
        <f aca="false">IF(E1395&gt;0,"Yes",IF(E1395&lt;0,"No (Paternity higher)","Equal"))</f>
        <v>Yes</v>
      </c>
    </row>
    <row r="1396" customFormat="false" ht="15" hidden="false" customHeight="false" outlineLevel="0" collapsed="false">
      <c r="A1396" s="5" t="str">
        <f aca="false">'Source Data'!A1393</f>
        <v>Collective Health</v>
      </c>
      <c r="B1396" s="5" t="str">
        <f aca="false">'Source Data'!B1393</f>
        <v>Technology: Software</v>
      </c>
      <c r="C1396" s="6" t="n">
        <f aca="false">'Source Data'!C1393</f>
        <v>6</v>
      </c>
      <c r="D1396" s="6" t="n">
        <f aca="false">'Source Data'!E1393</f>
        <v>0</v>
      </c>
      <c r="E1396" s="6" t="n">
        <f aca="false">IFERROR(N(C1396)-N(D1396),"")</f>
        <v>6</v>
      </c>
      <c r="F1396" s="7" t="str">
        <f aca="false">IF(E1396&gt;0,"Yes",IF(E1396&lt;0,"No (Paternity higher)","Equal"))</f>
        <v>Yes</v>
      </c>
    </row>
    <row r="1397" customFormat="false" ht="15" hidden="false" customHeight="false" outlineLevel="0" collapsed="false">
      <c r="A1397" s="5" t="str">
        <f aca="false">'Source Data'!A1394</f>
        <v>Collibra</v>
      </c>
      <c r="B1397" s="5" t="str">
        <f aca="false">'Source Data'!B1394</f>
        <v>Technology: Software</v>
      </c>
      <c r="C1397" s="6" t="n">
        <f aca="false">'Source Data'!C1394</f>
        <v>21</v>
      </c>
      <c r="D1397" s="6" t="n">
        <f aca="false">'Source Data'!E1394</f>
        <v>0</v>
      </c>
      <c r="E1397" s="6" t="n">
        <f aca="false">IFERROR(N(C1397)-N(D1397),"")</f>
        <v>21</v>
      </c>
      <c r="F1397" s="7" t="str">
        <f aca="false">IF(E1397&gt;0,"Yes",IF(E1397&lt;0,"No (Paternity higher)","Equal"))</f>
        <v>Yes</v>
      </c>
    </row>
    <row r="1398" customFormat="false" ht="15" hidden="false" customHeight="false" outlineLevel="0" collapsed="false">
      <c r="A1398" s="5" t="str">
        <f aca="false">'Source Data'!A1395</f>
        <v>Community Brands</v>
      </c>
      <c r="B1398" s="5" t="str">
        <f aca="false">'Source Data'!B1395</f>
        <v>Technology: Software</v>
      </c>
      <c r="C1398" s="6" t="n">
        <f aca="false">'Source Data'!C1395</f>
        <v>6</v>
      </c>
      <c r="D1398" s="6" t="n">
        <f aca="false">'Source Data'!E1395</f>
        <v>0</v>
      </c>
      <c r="E1398" s="6" t="n">
        <f aca="false">IFERROR(N(C1398)-N(D1398),"")</f>
        <v>6</v>
      </c>
      <c r="F1398" s="7" t="str">
        <f aca="false">IF(E1398&gt;0,"Yes",IF(E1398&lt;0,"No (Paternity higher)","Equal"))</f>
        <v>Yes</v>
      </c>
    </row>
    <row r="1399" customFormat="false" ht="15" hidden="false" customHeight="false" outlineLevel="0" collapsed="false">
      <c r="A1399" s="5" t="str">
        <f aca="false">'Source Data'!A1396</f>
        <v>ConsenSys</v>
      </c>
      <c r="B1399" s="5" t="str">
        <f aca="false">'Source Data'!B1396</f>
        <v>Technology: Software</v>
      </c>
      <c r="C1399" s="6" t="n">
        <f aca="false">'Source Data'!C1396</f>
        <v>12</v>
      </c>
      <c r="D1399" s="6" t="n">
        <f aca="false">'Source Data'!E1396</f>
        <v>0</v>
      </c>
      <c r="E1399" s="6" t="n">
        <f aca="false">IFERROR(N(C1399)-N(D1399),"")</f>
        <v>12</v>
      </c>
      <c r="F1399" s="7" t="str">
        <f aca="false">IF(E1399&gt;0,"Yes",IF(E1399&lt;0,"No (Paternity higher)","Equal"))</f>
        <v>Yes</v>
      </c>
    </row>
    <row r="1400" customFormat="false" ht="15" hidden="false" customHeight="false" outlineLevel="0" collapsed="false">
      <c r="A1400" s="5" t="str">
        <f aca="false">'Source Data'!A1397</f>
        <v>Conviva</v>
      </c>
      <c r="B1400" s="5" t="str">
        <f aca="false">'Source Data'!B1397</f>
        <v>Technology: Software</v>
      </c>
      <c r="C1400" s="6" t="n">
        <f aca="false">'Source Data'!C1397</f>
        <v>6</v>
      </c>
      <c r="D1400" s="6" t="n">
        <f aca="false">'Source Data'!E1397</f>
        <v>0</v>
      </c>
      <c r="E1400" s="6" t="n">
        <f aca="false">IFERROR(N(C1400)-N(D1400),"")</f>
        <v>6</v>
      </c>
      <c r="F1400" s="7" t="str">
        <f aca="false">IF(E1400&gt;0,"Yes",IF(E1400&lt;0,"No (Paternity higher)","Equal"))</f>
        <v>Yes</v>
      </c>
    </row>
    <row r="1401" customFormat="false" ht="15" hidden="false" customHeight="false" outlineLevel="0" collapsed="false">
      <c r="A1401" s="5" t="str">
        <f aca="false">'Source Data'!A1398</f>
        <v>Convoy</v>
      </c>
      <c r="B1401" s="5" t="str">
        <f aca="false">'Source Data'!B1398</f>
        <v>Technology: Software</v>
      </c>
      <c r="C1401" s="6" t="n">
        <f aca="false">'Source Data'!C1398</f>
        <v>12</v>
      </c>
      <c r="D1401" s="6" t="n">
        <f aca="false">'Source Data'!E1398</f>
        <v>0</v>
      </c>
      <c r="E1401" s="6" t="n">
        <f aca="false">IFERROR(N(C1401)-N(D1401),"")</f>
        <v>12</v>
      </c>
      <c r="F1401" s="7" t="str">
        <f aca="false">IF(E1401&gt;0,"Yes",IF(E1401&lt;0,"No (Paternity higher)","Equal"))</f>
        <v>Yes</v>
      </c>
    </row>
    <row r="1402" customFormat="false" ht="15" hidden="false" customHeight="false" outlineLevel="0" collapsed="false">
      <c r="A1402" s="5" t="str">
        <f aca="false">'Source Data'!A1399</f>
        <v>Coupa</v>
      </c>
      <c r="B1402" s="5" t="str">
        <f aca="false">'Source Data'!B1399</f>
        <v>Technology: Software</v>
      </c>
      <c r="C1402" s="6" t="n">
        <f aca="false">'Source Data'!C1399</f>
        <v>3</v>
      </c>
      <c r="D1402" s="6" t="n">
        <f aca="false">'Source Data'!E1399</f>
        <v>0</v>
      </c>
      <c r="E1402" s="6" t="n">
        <f aca="false">IFERROR(N(C1402)-N(D1402),"")</f>
        <v>3</v>
      </c>
      <c r="F1402" s="7" t="str">
        <f aca="false">IF(E1402&gt;0,"Yes",IF(E1402&lt;0,"No (Paternity higher)","Equal"))</f>
        <v>Yes</v>
      </c>
    </row>
    <row r="1403" customFormat="false" ht="15" hidden="false" customHeight="false" outlineLevel="0" collapsed="false">
      <c r="A1403" s="5" t="str">
        <f aca="false">'Source Data'!A1400</f>
        <v>Dassault Systemes</v>
      </c>
      <c r="B1403" s="5" t="str">
        <f aca="false">'Source Data'!B1400</f>
        <v>Technology: Software</v>
      </c>
      <c r="C1403" s="6" t="n">
        <f aca="false">'Source Data'!C1400</f>
        <v>7</v>
      </c>
      <c r="D1403" s="6" t="n">
        <f aca="false">'Source Data'!E1400</f>
        <v>0</v>
      </c>
      <c r="E1403" s="6" t="n">
        <f aca="false">IFERROR(N(C1403)-N(D1403),"")</f>
        <v>7</v>
      </c>
      <c r="F1403" s="7" t="str">
        <f aca="false">IF(E1403&gt;0,"Yes",IF(E1403&lt;0,"No (Paternity higher)","Equal"))</f>
        <v>Yes</v>
      </c>
    </row>
    <row r="1404" customFormat="false" ht="15" hidden="false" customHeight="false" outlineLevel="0" collapsed="false">
      <c r="A1404" s="5" t="str">
        <f aca="false">'Source Data'!A1401</f>
        <v>Detechtion Technologies</v>
      </c>
      <c r="B1404" s="5" t="str">
        <f aca="false">'Source Data'!B1401</f>
        <v>Technology: Software</v>
      </c>
      <c r="C1404" s="6" t="n">
        <f aca="false">'Source Data'!C1401</f>
        <v>1</v>
      </c>
      <c r="D1404" s="6" t="n">
        <f aca="false">'Source Data'!E1401</f>
        <v>0</v>
      </c>
      <c r="E1404" s="6" t="n">
        <f aca="false">IFERROR(N(C1404)-N(D1404),"")</f>
        <v>1</v>
      </c>
      <c r="F1404" s="7" t="str">
        <f aca="false">IF(E1404&gt;0,"Yes",IF(E1404&lt;0,"No (Paternity higher)","Equal"))</f>
        <v>Yes</v>
      </c>
    </row>
    <row r="1405" customFormat="false" ht="15" hidden="false" customHeight="false" outlineLevel="0" collapsed="false">
      <c r="A1405" s="5" t="str">
        <f aca="false">'Source Data'!A1402</f>
        <v>Digit</v>
      </c>
      <c r="B1405" s="5" t="str">
        <f aca="false">'Source Data'!B1402</f>
        <v>Technology: Software</v>
      </c>
      <c r="C1405" s="6" t="n">
        <f aca="false">'Source Data'!C1402</f>
        <v>18</v>
      </c>
      <c r="D1405" s="6" t="n">
        <f aca="false">'Source Data'!E1402</f>
        <v>0</v>
      </c>
      <c r="E1405" s="6" t="n">
        <f aca="false">IFERROR(N(C1405)-N(D1405),"")</f>
        <v>18</v>
      </c>
      <c r="F1405" s="7" t="str">
        <f aca="false">IF(E1405&gt;0,"Yes",IF(E1405&lt;0,"No (Paternity higher)","Equal"))</f>
        <v>Yes</v>
      </c>
    </row>
    <row r="1406" customFormat="false" ht="15" hidden="false" customHeight="false" outlineLevel="0" collapsed="false">
      <c r="A1406" s="5" t="str">
        <f aca="false">'Source Data'!A1403</f>
        <v>DISCO</v>
      </c>
      <c r="B1406" s="5" t="str">
        <f aca="false">'Source Data'!B1403</f>
        <v>Technology: Software</v>
      </c>
      <c r="C1406" s="6" t="n">
        <f aca="false">'Source Data'!C1403</f>
        <v>12</v>
      </c>
      <c r="D1406" s="6" t="n">
        <f aca="false">'Source Data'!E1403</f>
        <v>0</v>
      </c>
      <c r="E1406" s="6" t="n">
        <f aca="false">IFERROR(N(C1406)-N(D1406),"")</f>
        <v>12</v>
      </c>
      <c r="F1406" s="7" t="str">
        <f aca="false">IF(E1406&gt;0,"Yes",IF(E1406&lt;0,"No (Paternity higher)","Equal"))</f>
        <v>Yes</v>
      </c>
    </row>
    <row r="1407" customFormat="false" ht="15" hidden="false" customHeight="false" outlineLevel="0" collapsed="false">
      <c r="A1407" s="5" t="str">
        <f aca="false">'Source Data'!A1404</f>
        <v>Donnelley Financial Solutions</v>
      </c>
      <c r="B1407" s="5" t="str">
        <f aca="false">'Source Data'!B1404</f>
        <v>Technology: Software</v>
      </c>
      <c r="C1407" s="6" t="n">
        <f aca="false">'Source Data'!C1404</f>
        <v>5</v>
      </c>
      <c r="D1407" s="6" t="n">
        <f aca="false">'Source Data'!E1404</f>
        <v>0</v>
      </c>
      <c r="E1407" s="6" t="n">
        <f aca="false">IFERROR(N(C1407)-N(D1407),"")</f>
        <v>5</v>
      </c>
      <c r="F1407" s="7" t="str">
        <f aca="false">IF(E1407&gt;0,"Yes",IF(E1407&lt;0,"No (Paternity higher)","Equal"))</f>
        <v>Yes</v>
      </c>
    </row>
    <row r="1408" customFormat="false" ht="15" hidden="false" customHeight="false" outlineLevel="0" collapsed="false">
      <c r="A1408" s="5" t="str">
        <f aca="false">'Source Data'!A1405</f>
        <v>Doximity</v>
      </c>
      <c r="B1408" s="5" t="str">
        <f aca="false">'Source Data'!B1405</f>
        <v>Technology: Software</v>
      </c>
      <c r="C1408" s="6" t="n">
        <f aca="false">'Source Data'!C1405</f>
        <v>12</v>
      </c>
      <c r="D1408" s="6" t="n">
        <f aca="false">'Source Data'!E1405</f>
        <v>0</v>
      </c>
      <c r="E1408" s="6" t="n">
        <f aca="false">IFERROR(N(C1408)-N(D1408),"")</f>
        <v>12</v>
      </c>
      <c r="F1408" s="7" t="str">
        <f aca="false">IF(E1408&gt;0,"Yes",IF(E1408&lt;0,"No (Paternity higher)","Equal"))</f>
        <v>Yes</v>
      </c>
    </row>
    <row r="1409" customFormat="false" ht="15" hidden="false" customHeight="false" outlineLevel="0" collapsed="false">
      <c r="A1409" s="5" t="str">
        <f aca="false">'Source Data'!A1406</f>
        <v>DxMinds Technologies Inc</v>
      </c>
      <c r="B1409" s="5" t="str">
        <f aca="false">'Source Data'!B1406</f>
        <v>Technology: Software</v>
      </c>
      <c r="C1409" s="6" t="n">
        <f aca="false">'Source Data'!C1406</f>
        <v>10</v>
      </c>
      <c r="D1409" s="6" t="n">
        <f aca="false">'Source Data'!E1406</f>
        <v>0</v>
      </c>
      <c r="E1409" s="6" t="n">
        <f aca="false">IFERROR(N(C1409)-N(D1409),"")</f>
        <v>10</v>
      </c>
      <c r="F1409" s="7" t="str">
        <f aca="false">IF(E1409&gt;0,"Yes",IF(E1409&lt;0,"No (Paternity higher)","Equal"))</f>
        <v>Yes</v>
      </c>
    </row>
    <row r="1410" customFormat="false" ht="15" hidden="false" customHeight="false" outlineLevel="0" collapsed="false">
      <c r="A1410" s="5" t="str">
        <f aca="false">'Source Data'!A1407</f>
        <v>Dynatrace</v>
      </c>
      <c r="B1410" s="5" t="str">
        <f aca="false">'Source Data'!B1407</f>
        <v>Technology: Software</v>
      </c>
      <c r="C1410" s="6" t="n">
        <f aca="false">'Source Data'!C1407</f>
        <v>52</v>
      </c>
      <c r="D1410" s="6" t="n">
        <f aca="false">'Source Data'!E1407</f>
        <v>0</v>
      </c>
      <c r="E1410" s="6" t="n">
        <f aca="false">IFERROR(N(C1410)-N(D1410),"")</f>
        <v>52</v>
      </c>
      <c r="F1410" s="7" t="str">
        <f aca="false">IF(E1410&gt;0,"Yes",IF(E1410&lt;0,"No (Paternity higher)","Equal"))</f>
        <v>Yes</v>
      </c>
    </row>
    <row r="1411" customFormat="false" ht="15" hidden="false" customHeight="false" outlineLevel="0" collapsed="false">
      <c r="A1411" s="5" t="str">
        <f aca="false">'Source Data'!A1408</f>
        <v>Ellevation Education</v>
      </c>
      <c r="B1411" s="5" t="str">
        <f aca="false">'Source Data'!B1408</f>
        <v>Technology: Software</v>
      </c>
      <c r="C1411" s="6" t="n">
        <f aca="false">'Source Data'!C1408</f>
        <v>8</v>
      </c>
      <c r="D1411" s="6" t="n">
        <f aca="false">'Source Data'!E1408</f>
        <v>0</v>
      </c>
      <c r="E1411" s="6" t="n">
        <f aca="false">IFERROR(N(C1411)-N(D1411),"")</f>
        <v>8</v>
      </c>
      <c r="F1411" s="7" t="str">
        <f aca="false">IF(E1411&gt;0,"Yes",IF(E1411&lt;0,"No (Paternity higher)","Equal"))</f>
        <v>Yes</v>
      </c>
    </row>
    <row r="1412" customFormat="false" ht="15" hidden="false" customHeight="false" outlineLevel="0" collapsed="false">
      <c r="A1412" s="5" t="str">
        <f aca="false">'Source Data'!A1409</f>
        <v>Engrain</v>
      </c>
      <c r="B1412" s="5" t="str">
        <f aca="false">'Source Data'!B1409</f>
        <v>Technology: Software</v>
      </c>
      <c r="C1412" s="6" t="n">
        <f aca="false">'Source Data'!C1409</f>
        <v>8</v>
      </c>
      <c r="D1412" s="6" t="n">
        <f aca="false">'Source Data'!E1409</f>
        <v>0</v>
      </c>
      <c r="E1412" s="6" t="n">
        <f aca="false">IFERROR(N(C1412)-N(D1412),"")</f>
        <v>8</v>
      </c>
      <c r="F1412" s="7" t="str">
        <f aca="false">IF(E1412&gt;0,"Yes",IF(E1412&lt;0,"No (Paternity higher)","Equal"))</f>
        <v>Yes</v>
      </c>
    </row>
    <row r="1413" customFormat="false" ht="15" hidden="false" customHeight="false" outlineLevel="0" collapsed="false">
      <c r="A1413" s="5" t="str">
        <f aca="false">'Source Data'!A1410</f>
        <v>ePublishing</v>
      </c>
      <c r="B1413" s="5" t="str">
        <f aca="false">'Source Data'!B1410</f>
        <v>Technology: Software</v>
      </c>
      <c r="C1413" s="6" t="n">
        <f aca="false">'Source Data'!C1410</f>
        <v>2</v>
      </c>
      <c r="D1413" s="6" t="n">
        <f aca="false">'Source Data'!E1410</f>
        <v>0</v>
      </c>
      <c r="E1413" s="6" t="n">
        <f aca="false">IFERROR(N(C1413)-N(D1413),"")</f>
        <v>2</v>
      </c>
      <c r="F1413" s="7" t="str">
        <f aca="false">IF(E1413&gt;0,"Yes",IF(E1413&lt;0,"No (Paternity higher)","Equal"))</f>
        <v>Yes</v>
      </c>
    </row>
    <row r="1414" customFormat="false" ht="15" hidden="false" customHeight="false" outlineLevel="0" collapsed="false">
      <c r="A1414" s="5" t="str">
        <f aca="false">'Source Data'!A1411</f>
        <v>Esri</v>
      </c>
      <c r="B1414" s="5" t="str">
        <f aca="false">'Source Data'!B1411</f>
        <v>Technology: Software</v>
      </c>
      <c r="C1414" s="6" t="n">
        <f aca="false">'Source Data'!C1411</f>
        <v>6</v>
      </c>
      <c r="D1414" s="6" t="n">
        <f aca="false">'Source Data'!E1411</f>
        <v>0</v>
      </c>
      <c r="E1414" s="6" t="n">
        <f aca="false">IFERROR(N(C1414)-N(D1414),"")</f>
        <v>6</v>
      </c>
      <c r="F1414" s="7" t="str">
        <f aca="false">IF(E1414&gt;0,"Yes",IF(E1414&lt;0,"No (Paternity higher)","Equal"))</f>
        <v>Yes</v>
      </c>
    </row>
    <row r="1415" customFormat="false" ht="15" hidden="false" customHeight="false" outlineLevel="0" collapsed="false">
      <c r="A1415" s="5" t="str">
        <f aca="false">'Source Data'!A1412</f>
        <v>Expeed Software</v>
      </c>
      <c r="B1415" s="5" t="str">
        <f aca="false">'Source Data'!B1412</f>
        <v>Technology: Software</v>
      </c>
      <c r="C1415" s="6" t="n">
        <f aca="false">'Source Data'!C1412</f>
        <v>24</v>
      </c>
      <c r="D1415" s="6" t="n">
        <f aca="false">'Source Data'!E1412</f>
        <v>0</v>
      </c>
      <c r="E1415" s="6" t="n">
        <f aca="false">IFERROR(N(C1415)-N(D1415),"")</f>
        <v>24</v>
      </c>
      <c r="F1415" s="7" t="str">
        <f aca="false">IF(E1415&gt;0,"Yes",IF(E1415&lt;0,"No (Paternity higher)","Equal"))</f>
        <v>Yes</v>
      </c>
    </row>
    <row r="1416" customFormat="false" ht="15" hidden="false" customHeight="false" outlineLevel="0" collapsed="false">
      <c r="A1416" s="5" t="str">
        <f aca="false">'Source Data'!A1413</f>
        <v>Fearless</v>
      </c>
      <c r="B1416" s="5" t="str">
        <f aca="false">'Source Data'!B1413</f>
        <v>Technology: Software</v>
      </c>
      <c r="C1416" s="6" t="n">
        <f aca="false">'Source Data'!C1413</f>
        <v>6</v>
      </c>
      <c r="D1416" s="6" t="n">
        <f aca="false">'Source Data'!E1413</f>
        <v>0</v>
      </c>
      <c r="E1416" s="6" t="n">
        <f aca="false">IFERROR(N(C1416)-N(D1416),"")</f>
        <v>6</v>
      </c>
      <c r="F1416" s="7" t="str">
        <f aca="false">IF(E1416&gt;0,"Yes",IF(E1416&lt;0,"No (Paternity higher)","Equal"))</f>
        <v>Yes</v>
      </c>
    </row>
    <row r="1417" customFormat="false" ht="15" hidden="false" customHeight="false" outlineLevel="0" collapsed="false">
      <c r="A1417" s="5" t="str">
        <f aca="false">'Source Data'!A1414</f>
        <v>Flexera Software</v>
      </c>
      <c r="B1417" s="5" t="str">
        <f aca="false">'Source Data'!B1414</f>
        <v>Technology: Software</v>
      </c>
      <c r="C1417" s="6" t="n">
        <f aca="false">'Source Data'!C1414</f>
        <v>8</v>
      </c>
      <c r="D1417" s="6" t="n">
        <f aca="false">'Source Data'!E1414</f>
        <v>0</v>
      </c>
      <c r="E1417" s="6" t="n">
        <f aca="false">IFERROR(N(C1417)-N(D1417),"")</f>
        <v>8</v>
      </c>
      <c r="F1417" s="7" t="str">
        <f aca="false">IF(E1417&gt;0,"Yes",IF(E1417&lt;0,"No (Paternity higher)","Equal"))</f>
        <v>Yes</v>
      </c>
    </row>
    <row r="1418" customFormat="false" ht="15" hidden="false" customHeight="false" outlineLevel="0" collapsed="false">
      <c r="A1418" s="5" t="str">
        <f aca="false">'Source Data'!A1415</f>
        <v>FreshBooks</v>
      </c>
      <c r="B1418" s="5" t="str">
        <f aca="false">'Source Data'!B1415</f>
        <v>Technology: Software</v>
      </c>
      <c r="C1418" s="6" t="n">
        <f aca="false">'Source Data'!C1415</f>
        <v>32</v>
      </c>
      <c r="D1418" s="6" t="n">
        <f aca="false">'Source Data'!E1415</f>
        <v>0</v>
      </c>
      <c r="E1418" s="6" t="n">
        <f aca="false">IFERROR(N(C1418)-N(D1418),"")</f>
        <v>32</v>
      </c>
      <c r="F1418" s="7" t="str">
        <f aca="false">IF(E1418&gt;0,"Yes",IF(E1418&lt;0,"No (Paternity higher)","Equal"))</f>
        <v>Yes</v>
      </c>
    </row>
    <row r="1419" customFormat="false" ht="15" hidden="false" customHeight="false" outlineLevel="0" collapsed="false">
      <c r="A1419" s="5" t="str">
        <f aca="false">'Source Data'!A1416</f>
        <v>Freshworks</v>
      </c>
      <c r="B1419" s="5" t="str">
        <f aca="false">'Source Data'!B1416</f>
        <v>Technology: Software</v>
      </c>
      <c r="C1419" s="6" t="n">
        <f aca="false">'Source Data'!C1416</f>
        <v>8</v>
      </c>
      <c r="D1419" s="6" t="n">
        <f aca="false">'Source Data'!E1416</f>
        <v>0</v>
      </c>
      <c r="E1419" s="6" t="n">
        <f aca="false">IFERROR(N(C1419)-N(D1419),"")</f>
        <v>8</v>
      </c>
      <c r="F1419" s="7" t="str">
        <f aca="false">IF(E1419&gt;0,"Yes",IF(E1419&lt;0,"No (Paternity higher)","Equal"))</f>
        <v>Yes</v>
      </c>
    </row>
    <row r="1420" customFormat="false" ht="15" hidden="false" customHeight="false" outlineLevel="0" collapsed="false">
      <c r="A1420" s="5" t="str">
        <f aca="false">'Source Data'!A1417</f>
        <v>Frontline Education</v>
      </c>
      <c r="B1420" s="5" t="str">
        <f aca="false">'Source Data'!B1417</f>
        <v>Technology: Software</v>
      </c>
      <c r="C1420" s="6" t="n">
        <f aca="false">'Source Data'!C1417</f>
        <v>9</v>
      </c>
      <c r="D1420" s="6" t="n">
        <f aca="false">'Source Data'!E1417</f>
        <v>0</v>
      </c>
      <c r="E1420" s="6" t="n">
        <f aca="false">IFERROR(N(C1420)-N(D1420),"")</f>
        <v>9</v>
      </c>
      <c r="F1420" s="7" t="str">
        <f aca="false">IF(E1420&gt;0,"Yes",IF(E1420&lt;0,"No (Paternity higher)","Equal"))</f>
        <v>Yes</v>
      </c>
    </row>
    <row r="1421" customFormat="false" ht="15" hidden="false" customHeight="false" outlineLevel="0" collapsed="false">
      <c r="A1421" s="5" t="str">
        <f aca="false">'Source Data'!A1418</f>
        <v>Fusion Risk Management</v>
      </c>
      <c r="B1421" s="5" t="str">
        <f aca="false">'Source Data'!B1418</f>
        <v>Technology: Software</v>
      </c>
      <c r="C1421" s="6" t="n">
        <f aca="false">'Source Data'!C1418</f>
        <v>12</v>
      </c>
      <c r="D1421" s="6" t="n">
        <f aca="false">'Source Data'!E1418</f>
        <v>0</v>
      </c>
      <c r="E1421" s="6" t="n">
        <f aca="false">IFERROR(N(C1421)-N(D1421),"")</f>
        <v>12</v>
      </c>
      <c r="F1421" s="7" t="str">
        <f aca="false">IF(E1421&gt;0,"Yes",IF(E1421&lt;0,"No (Paternity higher)","Equal"))</f>
        <v>Yes</v>
      </c>
    </row>
    <row r="1422" customFormat="false" ht="15" hidden="false" customHeight="false" outlineLevel="0" collapsed="false">
      <c r="A1422" s="5" t="str">
        <f aca="false">'Source Data'!A1419</f>
        <v>GlossGenius</v>
      </c>
      <c r="B1422" s="5" t="str">
        <f aca="false">'Source Data'!B1419</f>
        <v>Technology: Software</v>
      </c>
      <c r="C1422" s="6" t="n">
        <f aca="false">'Source Data'!C1419</f>
        <v>16</v>
      </c>
      <c r="D1422" s="6" t="n">
        <f aca="false">'Source Data'!E1419</f>
        <v>0</v>
      </c>
      <c r="E1422" s="6" t="n">
        <f aca="false">IFERROR(N(C1422)-N(D1422),"")</f>
        <v>16</v>
      </c>
      <c r="F1422" s="7" t="str">
        <f aca="false">IF(E1422&gt;0,"Yes",IF(E1422&lt;0,"No (Paternity higher)","Equal"))</f>
        <v>Yes</v>
      </c>
    </row>
    <row r="1423" customFormat="false" ht="15" hidden="false" customHeight="false" outlineLevel="0" collapsed="false">
      <c r="A1423" s="5" t="str">
        <f aca="false">'Source Data'!A1420</f>
        <v>Gong</v>
      </c>
      <c r="B1423" s="5" t="str">
        <f aca="false">'Source Data'!B1420</f>
        <v>Technology: Software</v>
      </c>
      <c r="C1423" s="6" t="n">
        <f aca="false">'Source Data'!C1420</f>
        <v>16</v>
      </c>
      <c r="D1423" s="6" t="n">
        <f aca="false">'Source Data'!E1420</f>
        <v>0</v>
      </c>
      <c r="E1423" s="6" t="n">
        <f aca="false">IFERROR(N(C1423)-N(D1423),"")</f>
        <v>16</v>
      </c>
      <c r="F1423" s="7" t="str">
        <f aca="false">IF(E1423&gt;0,"Yes",IF(E1423&lt;0,"No (Paternity higher)","Equal"))</f>
        <v>Yes</v>
      </c>
    </row>
    <row r="1424" customFormat="false" ht="15" hidden="false" customHeight="false" outlineLevel="0" collapsed="false">
      <c r="A1424" s="5" t="str">
        <f aca="false">'Source Data'!A1421</f>
        <v>GoodCore Software</v>
      </c>
      <c r="B1424" s="5" t="str">
        <f aca="false">'Source Data'!B1421</f>
        <v>Technology: Software</v>
      </c>
      <c r="C1424" s="6" t="n">
        <f aca="false">'Source Data'!C1421</f>
        <v>12</v>
      </c>
      <c r="D1424" s="6" t="n">
        <f aca="false">'Source Data'!E1421</f>
        <v>0</v>
      </c>
      <c r="E1424" s="6" t="n">
        <f aca="false">IFERROR(N(C1424)-N(D1424),"")</f>
        <v>12</v>
      </c>
      <c r="F1424" s="7" t="str">
        <f aca="false">IF(E1424&gt;0,"Yes",IF(E1424&lt;0,"No (Paternity higher)","Equal"))</f>
        <v>Yes</v>
      </c>
    </row>
    <row r="1425" customFormat="false" ht="15" hidden="false" customHeight="false" outlineLevel="0" collapsed="false">
      <c r="A1425" s="5" t="str">
        <f aca="false">'Source Data'!A1422</f>
        <v>Higher Logic</v>
      </c>
      <c r="B1425" s="5" t="str">
        <f aca="false">'Source Data'!B1422</f>
        <v>Technology: Software</v>
      </c>
      <c r="C1425" s="6" t="n">
        <f aca="false">'Source Data'!C1422</f>
        <v>12</v>
      </c>
      <c r="D1425" s="6" t="n">
        <f aca="false">'Source Data'!E1422</f>
        <v>0</v>
      </c>
      <c r="E1425" s="6" t="n">
        <f aca="false">IFERROR(N(C1425)-N(D1425),"")</f>
        <v>12</v>
      </c>
      <c r="F1425" s="7" t="str">
        <f aca="false">IF(E1425&gt;0,"Yes",IF(E1425&lt;0,"No (Paternity higher)","Equal"))</f>
        <v>Yes</v>
      </c>
    </row>
    <row r="1426" customFormat="false" ht="15" hidden="false" customHeight="false" outlineLevel="0" collapsed="false">
      <c r="A1426" s="5" t="str">
        <f aca="false">'Source Data'!A1423</f>
        <v>HubSpot, Inc.</v>
      </c>
      <c r="B1426" s="5" t="str">
        <f aca="false">'Source Data'!B1423</f>
        <v>Technology: Software</v>
      </c>
      <c r="C1426" s="6" t="n">
        <f aca="false">'Source Data'!C1423</f>
        <v>16</v>
      </c>
      <c r="D1426" s="6" t="n">
        <f aca="false">'Source Data'!E1423</f>
        <v>0</v>
      </c>
      <c r="E1426" s="6" t="n">
        <f aca="false">IFERROR(N(C1426)-N(D1426),"")</f>
        <v>16</v>
      </c>
      <c r="F1426" s="7" t="str">
        <f aca="false">IF(E1426&gt;0,"Yes",IF(E1426&lt;0,"No (Paternity higher)","Equal"))</f>
        <v>Yes</v>
      </c>
    </row>
    <row r="1427" customFormat="false" ht="15" hidden="false" customHeight="false" outlineLevel="0" collapsed="false">
      <c r="A1427" s="5" t="str">
        <f aca="false">'Source Data'!A1424</f>
        <v>Hudl</v>
      </c>
      <c r="B1427" s="5" t="str">
        <f aca="false">'Source Data'!B1424</f>
        <v>Technology: Software</v>
      </c>
      <c r="C1427" s="6" t="n">
        <f aca="false">'Source Data'!C1424</f>
        <v>6</v>
      </c>
      <c r="D1427" s="6" t="n">
        <f aca="false">'Source Data'!E1424</f>
        <v>0</v>
      </c>
      <c r="E1427" s="6" t="n">
        <f aca="false">IFERROR(N(C1427)-N(D1427),"")</f>
        <v>6</v>
      </c>
      <c r="F1427" s="7" t="str">
        <f aca="false">IF(E1427&gt;0,"Yes",IF(E1427&lt;0,"No (Paternity higher)","Equal"))</f>
        <v>Yes</v>
      </c>
    </row>
    <row r="1428" customFormat="false" ht="15" hidden="false" customHeight="false" outlineLevel="0" collapsed="false">
      <c r="A1428" s="5" t="str">
        <f aca="false">'Source Data'!A1425</f>
        <v>iCIMS, Inc.</v>
      </c>
      <c r="B1428" s="5" t="str">
        <f aca="false">'Source Data'!B1425</f>
        <v>Technology: Software</v>
      </c>
      <c r="C1428" s="6" t="n">
        <f aca="false">'Source Data'!C1425</f>
        <v>14</v>
      </c>
      <c r="D1428" s="6" t="n">
        <f aca="false">'Source Data'!E1425</f>
        <v>0</v>
      </c>
      <c r="E1428" s="6" t="n">
        <f aca="false">IFERROR(N(C1428)-N(D1428),"")</f>
        <v>14</v>
      </c>
      <c r="F1428" s="7" t="str">
        <f aca="false">IF(E1428&gt;0,"Yes",IF(E1428&lt;0,"No (Paternity higher)","Equal"))</f>
        <v>Yes</v>
      </c>
    </row>
    <row r="1429" customFormat="false" ht="15" hidden="false" customHeight="false" outlineLevel="0" collapsed="false">
      <c r="A1429" s="5" t="str">
        <f aca="false">'Source Data'!A1426</f>
        <v>Infor</v>
      </c>
      <c r="B1429" s="5" t="str">
        <f aca="false">'Source Data'!B1426</f>
        <v>Technology: Software</v>
      </c>
      <c r="C1429" s="6" t="n">
        <f aca="false">'Source Data'!C1426</f>
        <v>16</v>
      </c>
      <c r="D1429" s="6" t="n">
        <f aca="false">'Source Data'!E1426</f>
        <v>0</v>
      </c>
      <c r="E1429" s="6" t="n">
        <f aca="false">IFERROR(N(C1429)-N(D1429),"")</f>
        <v>16</v>
      </c>
      <c r="F1429" s="7" t="str">
        <f aca="false">IF(E1429&gt;0,"Yes",IF(E1429&lt;0,"No (Paternity higher)","Equal"))</f>
        <v>Yes</v>
      </c>
    </row>
    <row r="1430" customFormat="false" ht="15" hidden="false" customHeight="false" outlineLevel="0" collapsed="false">
      <c r="A1430" s="5" t="str">
        <f aca="false">'Source Data'!A1427</f>
        <v>Informatica</v>
      </c>
      <c r="B1430" s="5" t="str">
        <f aca="false">'Source Data'!B1427</f>
        <v>Technology: Software</v>
      </c>
      <c r="C1430" s="6" t="n">
        <f aca="false">'Source Data'!C1427</f>
        <v>16</v>
      </c>
      <c r="D1430" s="6" t="n">
        <f aca="false">'Source Data'!E1427</f>
        <v>0</v>
      </c>
      <c r="E1430" s="6" t="n">
        <f aca="false">IFERROR(N(C1430)-N(D1430),"")</f>
        <v>16</v>
      </c>
      <c r="F1430" s="7" t="str">
        <f aca="false">IF(E1430&gt;0,"Yes",IF(E1430&lt;0,"No (Paternity higher)","Equal"))</f>
        <v>Yes</v>
      </c>
    </row>
    <row r="1431" customFormat="false" ht="15" hidden="false" customHeight="false" outlineLevel="0" collapsed="false">
      <c r="A1431" s="5" t="str">
        <f aca="false">'Source Data'!A1428</f>
        <v>InsightSquared</v>
      </c>
      <c r="B1431" s="5" t="str">
        <f aca="false">'Source Data'!B1428</f>
        <v>Technology: Software</v>
      </c>
      <c r="C1431" s="6" t="n">
        <f aca="false">'Source Data'!C1428</f>
        <v>12</v>
      </c>
      <c r="D1431" s="6" t="n">
        <f aca="false">'Source Data'!E1428</f>
        <v>0</v>
      </c>
      <c r="E1431" s="6" t="n">
        <f aca="false">IFERROR(N(C1431)-N(D1431),"")</f>
        <v>12</v>
      </c>
      <c r="F1431" s="7" t="str">
        <f aca="false">IF(E1431&gt;0,"Yes",IF(E1431&lt;0,"No (Paternity higher)","Equal"))</f>
        <v>Yes</v>
      </c>
    </row>
    <row r="1432" customFormat="false" ht="15" hidden="false" customHeight="false" outlineLevel="0" collapsed="false">
      <c r="A1432" s="5" t="str">
        <f aca="false">'Source Data'!A1429</f>
        <v>Instructure</v>
      </c>
      <c r="B1432" s="5" t="str">
        <f aca="false">'Source Data'!B1429</f>
        <v>Technology: Software</v>
      </c>
      <c r="C1432" s="6" t="n">
        <f aca="false">'Source Data'!C1429</f>
        <v>3</v>
      </c>
      <c r="D1432" s="6" t="n">
        <f aca="false">'Source Data'!E1429</f>
        <v>0</v>
      </c>
      <c r="E1432" s="6" t="n">
        <f aca="false">IFERROR(N(C1432)-N(D1432),"")</f>
        <v>3</v>
      </c>
      <c r="F1432" s="7" t="str">
        <f aca="false">IF(E1432&gt;0,"Yes",IF(E1432&lt;0,"No (Paternity higher)","Equal"))</f>
        <v>Yes</v>
      </c>
    </row>
    <row r="1433" customFormat="false" ht="15" hidden="false" customHeight="false" outlineLevel="0" collapsed="false">
      <c r="A1433" s="5" t="str">
        <f aca="false">'Source Data'!A1430</f>
        <v>Integrity Software</v>
      </c>
      <c r="B1433" s="5" t="str">
        <f aca="false">'Source Data'!B1430</f>
        <v>Technology: Software</v>
      </c>
      <c r="C1433" s="6" t="n">
        <f aca="false">'Source Data'!C1430</f>
        <v>6</v>
      </c>
      <c r="D1433" s="6" t="n">
        <f aca="false">'Source Data'!E1430</f>
        <v>0</v>
      </c>
      <c r="E1433" s="6" t="n">
        <f aca="false">IFERROR(N(C1433)-N(D1433),"")</f>
        <v>6</v>
      </c>
      <c r="F1433" s="7" t="str">
        <f aca="false">IF(E1433&gt;0,"Yes",IF(E1433&lt;0,"No (Paternity higher)","Equal"))</f>
        <v>Yes</v>
      </c>
    </row>
    <row r="1434" customFormat="false" ht="15" hidden="false" customHeight="false" outlineLevel="0" collapsed="false">
      <c r="A1434" s="5" t="str">
        <f aca="false">'Source Data'!A1431</f>
        <v>Intellimize</v>
      </c>
      <c r="B1434" s="5" t="str">
        <f aca="false">'Source Data'!B1431</f>
        <v>Technology: Software</v>
      </c>
      <c r="C1434" s="6" t="n">
        <f aca="false">'Source Data'!C1431</f>
        <v>14</v>
      </c>
      <c r="D1434" s="6" t="n">
        <f aca="false">'Source Data'!E1431</f>
        <v>0</v>
      </c>
      <c r="E1434" s="6" t="n">
        <f aca="false">IFERROR(N(C1434)-N(D1434),"")</f>
        <v>14</v>
      </c>
      <c r="F1434" s="7" t="str">
        <f aca="false">IF(E1434&gt;0,"Yes",IF(E1434&lt;0,"No (Paternity higher)","Equal"))</f>
        <v>Yes</v>
      </c>
    </row>
    <row r="1435" customFormat="false" ht="15" hidden="false" customHeight="false" outlineLevel="0" collapsed="false">
      <c r="A1435" s="5" t="str">
        <f aca="false">'Source Data'!A1432</f>
        <v>Intuit, Inc</v>
      </c>
      <c r="B1435" s="5" t="str">
        <f aca="false">'Source Data'!B1432</f>
        <v>Technology: Software</v>
      </c>
      <c r="C1435" s="6" t="n">
        <f aca="false">'Source Data'!C1432</f>
        <v>12</v>
      </c>
      <c r="D1435" s="6" t="n">
        <f aca="false">'Source Data'!E1432</f>
        <v>0</v>
      </c>
      <c r="E1435" s="6" t="n">
        <f aca="false">IFERROR(N(C1435)-N(D1435),"")</f>
        <v>12</v>
      </c>
      <c r="F1435" s="7" t="str">
        <f aca="false">IF(E1435&gt;0,"Yes",IF(E1435&lt;0,"No (Paternity higher)","Equal"))</f>
        <v>Yes</v>
      </c>
    </row>
    <row r="1436" customFormat="false" ht="15" hidden="false" customHeight="false" outlineLevel="0" collapsed="false">
      <c r="A1436" s="5" t="str">
        <f aca="false">'Source Data'!A1433</f>
        <v>JHC Systems</v>
      </c>
      <c r="B1436" s="5" t="str">
        <f aca="false">'Source Data'!B1433</f>
        <v>Technology: Software</v>
      </c>
      <c r="C1436" s="6" t="n">
        <f aca="false">'Source Data'!C1433</f>
        <v>52</v>
      </c>
      <c r="D1436" s="6" t="n">
        <f aca="false">'Source Data'!E1433</f>
        <v>0</v>
      </c>
      <c r="E1436" s="6" t="n">
        <f aca="false">IFERROR(N(C1436)-N(D1436),"")</f>
        <v>52</v>
      </c>
      <c r="F1436" s="7" t="str">
        <f aca="false">IF(E1436&gt;0,"Yes",IF(E1436&lt;0,"No (Paternity higher)","Equal"))</f>
        <v>Yes</v>
      </c>
    </row>
    <row r="1437" customFormat="false" ht="15" hidden="false" customHeight="false" outlineLevel="0" collapsed="false">
      <c r="A1437" s="5" t="str">
        <f aca="false">'Source Data'!A1434</f>
        <v>Juice Analytics</v>
      </c>
      <c r="B1437" s="5" t="str">
        <f aca="false">'Source Data'!B1434</f>
        <v>Technology: Software</v>
      </c>
      <c r="C1437" s="6" t="n">
        <f aca="false">'Source Data'!C1434</f>
        <v>4</v>
      </c>
      <c r="D1437" s="6" t="n">
        <f aca="false">'Source Data'!E1434</f>
        <v>0</v>
      </c>
      <c r="E1437" s="6" t="n">
        <f aca="false">IFERROR(N(C1437)-N(D1437),"")</f>
        <v>4</v>
      </c>
      <c r="F1437" s="7" t="str">
        <f aca="false">IF(E1437&gt;0,"Yes",IF(E1437&lt;0,"No (Paternity higher)","Equal"))</f>
        <v>Yes</v>
      </c>
    </row>
    <row r="1438" customFormat="false" ht="15" hidden="false" customHeight="false" outlineLevel="0" collapsed="false">
      <c r="A1438" s="5" t="str">
        <f aca="false">'Source Data'!A1435</f>
        <v>Kajabi</v>
      </c>
      <c r="B1438" s="5" t="str">
        <f aca="false">'Source Data'!B1435</f>
        <v>Technology: Software</v>
      </c>
      <c r="C1438" s="6" t="n">
        <f aca="false">'Source Data'!C1435</f>
        <v>1</v>
      </c>
      <c r="D1438" s="6" t="n">
        <f aca="false">'Source Data'!E1435</f>
        <v>0</v>
      </c>
      <c r="E1438" s="6" t="n">
        <f aca="false">IFERROR(N(C1438)-N(D1438),"")</f>
        <v>1</v>
      </c>
      <c r="F1438" s="7" t="str">
        <f aca="false">IF(E1438&gt;0,"Yes",IF(E1438&lt;0,"No (Paternity higher)","Equal"))</f>
        <v>Yes</v>
      </c>
    </row>
    <row r="1439" customFormat="false" ht="15" hidden="false" customHeight="false" outlineLevel="0" collapsed="false">
      <c r="A1439" s="5" t="str">
        <f aca="false">'Source Data'!A1436</f>
        <v>Khoros</v>
      </c>
      <c r="B1439" s="5" t="str">
        <f aca="false">'Source Data'!B1436</f>
        <v>Technology: Software</v>
      </c>
      <c r="C1439" s="6" t="n">
        <f aca="false">'Source Data'!C1436</f>
        <v>12</v>
      </c>
      <c r="D1439" s="6" t="n">
        <f aca="false">'Source Data'!E1436</f>
        <v>0</v>
      </c>
      <c r="E1439" s="6" t="n">
        <f aca="false">IFERROR(N(C1439)-N(D1439),"")</f>
        <v>12</v>
      </c>
      <c r="F1439" s="7" t="str">
        <f aca="false">IF(E1439&gt;0,"Yes",IF(E1439&lt;0,"No (Paternity higher)","Equal"))</f>
        <v>Yes</v>
      </c>
    </row>
    <row r="1440" customFormat="false" ht="15" hidden="false" customHeight="false" outlineLevel="0" collapsed="false">
      <c r="A1440" s="5" t="str">
        <f aca="false">'Source Data'!A1437</f>
        <v>LevaData</v>
      </c>
      <c r="B1440" s="5" t="str">
        <f aca="false">'Source Data'!B1437</f>
        <v>Technology: Software</v>
      </c>
      <c r="C1440" s="6" t="n">
        <f aca="false">'Source Data'!C1437</f>
        <v>6</v>
      </c>
      <c r="D1440" s="6" t="n">
        <f aca="false">'Source Data'!E1437</f>
        <v>0</v>
      </c>
      <c r="E1440" s="6" t="n">
        <f aca="false">IFERROR(N(C1440)-N(D1440),"")</f>
        <v>6</v>
      </c>
      <c r="F1440" s="7" t="str">
        <f aca="false">IF(E1440&gt;0,"Yes",IF(E1440&lt;0,"No (Paternity higher)","Equal"))</f>
        <v>Yes</v>
      </c>
    </row>
    <row r="1441" customFormat="false" ht="15" hidden="false" customHeight="false" outlineLevel="0" collapsed="false">
      <c r="A1441" s="5" t="str">
        <f aca="false">'Source Data'!A1438</f>
        <v>Lionbridge</v>
      </c>
      <c r="B1441" s="5" t="str">
        <f aca="false">'Source Data'!B1438</f>
        <v>Technology: Software</v>
      </c>
      <c r="C1441" s="6" t="n">
        <f aca="false">'Source Data'!C1438</f>
        <v>8</v>
      </c>
      <c r="D1441" s="6" t="n">
        <f aca="false">'Source Data'!E1438</f>
        <v>0</v>
      </c>
      <c r="E1441" s="6" t="n">
        <f aca="false">IFERROR(N(C1441)-N(D1441),"")</f>
        <v>8</v>
      </c>
      <c r="F1441" s="7" t="str">
        <f aca="false">IF(E1441&gt;0,"Yes",IF(E1441&lt;0,"No (Paternity higher)","Equal"))</f>
        <v>Yes</v>
      </c>
    </row>
    <row r="1442" customFormat="false" ht="15" hidden="false" customHeight="false" outlineLevel="0" collapsed="false">
      <c r="A1442" s="5" t="str">
        <f aca="false">'Source Data'!A1439</f>
        <v>Lithero</v>
      </c>
      <c r="B1442" s="5" t="str">
        <f aca="false">'Source Data'!B1439</f>
        <v>Technology: Software</v>
      </c>
      <c r="C1442" s="6" t="n">
        <f aca="false">'Source Data'!C1439</f>
        <v>8</v>
      </c>
      <c r="D1442" s="6" t="n">
        <f aca="false">'Source Data'!E1439</f>
        <v>0</v>
      </c>
      <c r="E1442" s="6" t="n">
        <f aca="false">IFERROR(N(C1442)-N(D1442),"")</f>
        <v>8</v>
      </c>
      <c r="F1442" s="7" t="str">
        <f aca="false">IF(E1442&gt;0,"Yes",IF(E1442&lt;0,"No (Paternity higher)","Equal"))</f>
        <v>Yes</v>
      </c>
    </row>
    <row r="1443" customFormat="false" ht="15" hidden="false" customHeight="false" outlineLevel="0" collapsed="false">
      <c r="A1443" s="5" t="str">
        <f aca="false">'Source Data'!A1440</f>
        <v>Mad Mobile</v>
      </c>
      <c r="B1443" s="5" t="str">
        <f aca="false">'Source Data'!B1440</f>
        <v>Technology: Software</v>
      </c>
      <c r="C1443" s="6" t="n">
        <f aca="false">'Source Data'!C1440</f>
        <v>2</v>
      </c>
      <c r="D1443" s="6" t="n">
        <f aca="false">'Source Data'!E1440</f>
        <v>0</v>
      </c>
      <c r="E1443" s="6" t="n">
        <f aca="false">IFERROR(N(C1443)-N(D1443),"")</f>
        <v>2</v>
      </c>
      <c r="F1443" s="7" t="str">
        <f aca="false">IF(E1443&gt;0,"Yes",IF(E1443&lt;0,"No (Paternity higher)","Equal"))</f>
        <v>Yes</v>
      </c>
    </row>
    <row r="1444" customFormat="false" ht="15" hidden="false" customHeight="false" outlineLevel="0" collapsed="false">
      <c r="A1444" s="5" t="str">
        <f aca="false">'Source Data'!A1441</f>
        <v>Maestro</v>
      </c>
      <c r="B1444" s="5" t="str">
        <f aca="false">'Source Data'!B1441</f>
        <v>Technology: Software</v>
      </c>
      <c r="C1444" s="6" t="n">
        <f aca="false">'Source Data'!C1441</f>
        <v>16</v>
      </c>
      <c r="D1444" s="6" t="n">
        <f aca="false">'Source Data'!E1441</f>
        <v>0</v>
      </c>
      <c r="E1444" s="6" t="n">
        <f aca="false">IFERROR(N(C1444)-N(D1444),"")</f>
        <v>16</v>
      </c>
      <c r="F1444" s="7" t="str">
        <f aca="false">IF(E1444&gt;0,"Yes",IF(E1444&lt;0,"No (Paternity higher)","Equal"))</f>
        <v>Yes</v>
      </c>
    </row>
    <row r="1445" customFormat="false" ht="15" hidden="false" customHeight="false" outlineLevel="0" collapsed="false">
      <c r="A1445" s="5" t="str">
        <f aca="false">'Source Data'!A1442</f>
        <v>Mapbox</v>
      </c>
      <c r="B1445" s="5" t="str">
        <f aca="false">'Source Data'!B1442</f>
        <v>Technology: Software</v>
      </c>
      <c r="C1445" s="6" t="n">
        <f aca="false">'Source Data'!C1442</f>
        <v>10</v>
      </c>
      <c r="D1445" s="6" t="n">
        <f aca="false">'Source Data'!E1442</f>
        <v>0</v>
      </c>
      <c r="E1445" s="6" t="n">
        <f aca="false">IFERROR(N(C1445)-N(D1445),"")</f>
        <v>10</v>
      </c>
      <c r="F1445" s="7" t="str">
        <f aca="false">IF(E1445&gt;0,"Yes",IF(E1445&lt;0,"No (Paternity higher)","Equal"))</f>
        <v>Yes</v>
      </c>
    </row>
    <row r="1446" customFormat="false" ht="15" hidden="false" customHeight="false" outlineLevel="0" collapsed="false">
      <c r="A1446" s="5" t="str">
        <f aca="false">'Source Data'!A1443</f>
        <v>MaritzCX</v>
      </c>
      <c r="B1446" s="5" t="str">
        <f aca="false">'Source Data'!B1443</f>
        <v>Technology: Software</v>
      </c>
      <c r="C1446" s="6" t="n">
        <f aca="false">'Source Data'!C1443</f>
        <v>12</v>
      </c>
      <c r="D1446" s="6" t="n">
        <f aca="false">'Source Data'!E1443</f>
        <v>0</v>
      </c>
      <c r="E1446" s="6" t="n">
        <f aca="false">IFERROR(N(C1446)-N(D1446),"")</f>
        <v>12</v>
      </c>
      <c r="F1446" s="7" t="str">
        <f aca="false">IF(E1446&gt;0,"Yes",IF(E1446&lt;0,"No (Paternity higher)","Equal"))</f>
        <v>Yes</v>
      </c>
    </row>
    <row r="1447" customFormat="false" ht="15" hidden="false" customHeight="false" outlineLevel="0" collapsed="false">
      <c r="A1447" s="5" t="str">
        <f aca="false">'Source Data'!A1444</f>
        <v>Medallia</v>
      </c>
      <c r="B1447" s="5" t="str">
        <f aca="false">'Source Data'!B1444</f>
        <v>Technology: Software</v>
      </c>
      <c r="C1447" s="6" t="n">
        <f aca="false">'Source Data'!C1444</f>
        <v>12</v>
      </c>
      <c r="D1447" s="6" t="n">
        <f aca="false">'Source Data'!E1444</f>
        <v>0</v>
      </c>
      <c r="E1447" s="6" t="n">
        <f aca="false">IFERROR(N(C1447)-N(D1447),"")</f>
        <v>12</v>
      </c>
      <c r="F1447" s="7" t="str">
        <f aca="false">IF(E1447&gt;0,"Yes",IF(E1447&lt;0,"No (Paternity higher)","Equal"))</f>
        <v>Yes</v>
      </c>
    </row>
    <row r="1448" customFormat="false" ht="15" hidden="false" customHeight="false" outlineLevel="0" collapsed="false">
      <c r="A1448" s="5" t="str">
        <f aca="false">'Source Data'!A1445</f>
        <v>Microsoft</v>
      </c>
      <c r="B1448" s="5" t="str">
        <f aca="false">'Source Data'!B1445</f>
        <v>Technology: Software</v>
      </c>
      <c r="C1448" s="6" t="n">
        <f aca="false">'Source Data'!C1445</f>
        <v>12</v>
      </c>
      <c r="D1448" s="6" t="n">
        <f aca="false">'Source Data'!E1445</f>
        <v>0</v>
      </c>
      <c r="E1448" s="6" t="n">
        <f aca="false">IFERROR(N(C1448)-N(D1448),"")</f>
        <v>12</v>
      </c>
      <c r="F1448" s="7" t="str">
        <f aca="false">IF(E1448&gt;0,"Yes",IF(E1448&lt;0,"No (Paternity higher)","Equal"))</f>
        <v>Yes</v>
      </c>
    </row>
    <row r="1449" customFormat="false" ht="15" hidden="false" customHeight="false" outlineLevel="0" collapsed="false">
      <c r="A1449" s="5" t="str">
        <f aca="false">'Source Data'!A1446</f>
        <v>MicroStrategy</v>
      </c>
      <c r="B1449" s="5" t="str">
        <f aca="false">'Source Data'!B1446</f>
        <v>Technology: Software</v>
      </c>
      <c r="C1449" s="6" t="n">
        <f aca="false">'Source Data'!C1446</f>
        <v>17</v>
      </c>
      <c r="D1449" s="6" t="n">
        <f aca="false">'Source Data'!E1446</f>
        <v>0</v>
      </c>
      <c r="E1449" s="6" t="n">
        <f aca="false">IFERROR(N(C1449)-N(D1449),"")</f>
        <v>17</v>
      </c>
      <c r="F1449" s="7" t="str">
        <f aca="false">IF(E1449&gt;0,"Yes",IF(E1449&lt;0,"No (Paternity higher)","Equal"))</f>
        <v>Yes</v>
      </c>
    </row>
    <row r="1450" customFormat="false" ht="15" hidden="false" customHeight="false" outlineLevel="0" collapsed="false">
      <c r="A1450" s="5" t="str">
        <f aca="false">'Source Data'!A1447</f>
        <v>MobileIron</v>
      </c>
      <c r="B1450" s="5" t="str">
        <f aca="false">'Source Data'!B1447</f>
        <v>Technology: Software</v>
      </c>
      <c r="C1450" s="6" t="n">
        <f aca="false">'Source Data'!C1447</f>
        <v>12</v>
      </c>
      <c r="D1450" s="6" t="n">
        <f aca="false">'Source Data'!E1447</f>
        <v>0</v>
      </c>
      <c r="E1450" s="6" t="n">
        <f aca="false">IFERROR(N(C1450)-N(D1450),"")</f>
        <v>12</v>
      </c>
      <c r="F1450" s="7" t="str">
        <f aca="false">IF(E1450&gt;0,"Yes",IF(E1450&lt;0,"No (Paternity higher)","Equal"))</f>
        <v>Yes</v>
      </c>
    </row>
    <row r="1451" customFormat="false" ht="15" hidden="false" customHeight="false" outlineLevel="0" collapsed="false">
      <c r="A1451" s="5" t="str">
        <f aca="false">'Source Data'!A1448</f>
        <v>Mode Mobile</v>
      </c>
      <c r="B1451" s="5" t="str">
        <f aca="false">'Source Data'!B1448</f>
        <v>Technology: Software</v>
      </c>
      <c r="C1451" s="6" t="n">
        <f aca="false">'Source Data'!C1448</f>
        <v>4</v>
      </c>
      <c r="D1451" s="6" t="n">
        <f aca="false">'Source Data'!E1448</f>
        <v>0</v>
      </c>
      <c r="E1451" s="6" t="n">
        <f aca="false">IFERROR(N(C1451)-N(D1451),"")</f>
        <v>4</v>
      </c>
      <c r="F1451" s="7" t="str">
        <f aca="false">IF(E1451&gt;0,"Yes",IF(E1451&lt;0,"No (Paternity higher)","Equal"))</f>
        <v>Yes</v>
      </c>
    </row>
    <row r="1452" customFormat="false" ht="15" hidden="false" customHeight="false" outlineLevel="0" collapsed="false">
      <c r="A1452" s="5" t="str">
        <f aca="false">'Source Data'!A1449</f>
        <v>MongoDB, Inc.</v>
      </c>
      <c r="B1452" s="5" t="str">
        <f aca="false">'Source Data'!B1449</f>
        <v>Technology: Software</v>
      </c>
      <c r="C1452" s="6" t="n">
        <f aca="false">'Source Data'!C1449</f>
        <v>20</v>
      </c>
      <c r="D1452" s="6" t="n">
        <f aca="false">'Source Data'!E1449</f>
        <v>0</v>
      </c>
      <c r="E1452" s="6" t="n">
        <f aca="false">IFERROR(N(C1452)-N(D1452),"")</f>
        <v>20</v>
      </c>
      <c r="F1452" s="7" t="str">
        <f aca="false">IF(E1452&gt;0,"Yes",IF(E1452&lt;0,"No (Paternity higher)","Equal"))</f>
        <v>Yes</v>
      </c>
    </row>
    <row r="1453" customFormat="false" ht="15" hidden="false" customHeight="false" outlineLevel="0" collapsed="false">
      <c r="A1453" s="5" t="str">
        <f aca="false">'Source Data'!A1450</f>
        <v>Motus LLC</v>
      </c>
      <c r="B1453" s="5" t="str">
        <f aca="false">'Source Data'!B1450</f>
        <v>Technology: Software</v>
      </c>
      <c r="C1453" s="6" t="n">
        <f aca="false">'Source Data'!C1450</f>
        <v>16</v>
      </c>
      <c r="D1453" s="6" t="n">
        <f aca="false">'Source Data'!E1450</f>
        <v>0</v>
      </c>
      <c r="E1453" s="6" t="n">
        <f aca="false">IFERROR(N(C1453)-N(D1453),"")</f>
        <v>16</v>
      </c>
      <c r="F1453" s="7" t="str">
        <f aca="false">IF(E1453&gt;0,"Yes",IF(E1453&lt;0,"No (Paternity higher)","Equal"))</f>
        <v>Yes</v>
      </c>
    </row>
    <row r="1454" customFormat="false" ht="15" hidden="false" customHeight="false" outlineLevel="0" collapsed="false">
      <c r="A1454" s="5" t="str">
        <f aca="false">'Source Data'!A1451</f>
        <v>Netskope</v>
      </c>
      <c r="B1454" s="5" t="str">
        <f aca="false">'Source Data'!B1451</f>
        <v>Technology: Software</v>
      </c>
      <c r="C1454" s="6" t="n">
        <f aca="false">'Source Data'!C1451</f>
        <v>6</v>
      </c>
      <c r="D1454" s="6" t="n">
        <f aca="false">'Source Data'!E1451</f>
        <v>0</v>
      </c>
      <c r="E1454" s="6" t="n">
        <f aca="false">IFERROR(N(C1454)-N(D1454),"")</f>
        <v>6</v>
      </c>
      <c r="F1454" s="7" t="str">
        <f aca="false">IF(E1454&gt;0,"Yes",IF(E1454&lt;0,"No (Paternity higher)","Equal"))</f>
        <v>Yes</v>
      </c>
    </row>
    <row r="1455" customFormat="false" ht="15" hidden="false" customHeight="false" outlineLevel="0" collapsed="false">
      <c r="A1455" s="5" t="str">
        <f aca="false">'Source Data'!A1452</f>
        <v>NetSuite Inc.</v>
      </c>
      <c r="B1455" s="5" t="str">
        <f aca="false">'Source Data'!B1452</f>
        <v>Technology: Software</v>
      </c>
      <c r="C1455" s="6" t="n">
        <f aca="false">'Source Data'!C1452</f>
        <v>16</v>
      </c>
      <c r="D1455" s="6" t="n">
        <f aca="false">'Source Data'!E1452</f>
        <v>0</v>
      </c>
      <c r="E1455" s="6" t="n">
        <f aca="false">IFERROR(N(C1455)-N(D1455),"")</f>
        <v>16</v>
      </c>
      <c r="F1455" s="7" t="str">
        <f aca="false">IF(E1455&gt;0,"Yes",IF(E1455&lt;0,"No (Paternity higher)","Equal"))</f>
        <v>Yes</v>
      </c>
    </row>
    <row r="1456" customFormat="false" ht="15" hidden="false" customHeight="false" outlineLevel="0" collapsed="false">
      <c r="A1456" s="5" t="str">
        <f aca="false">'Source Data'!A1453</f>
        <v>New Relic</v>
      </c>
      <c r="B1456" s="5" t="str">
        <f aca="false">'Source Data'!B1453</f>
        <v>Technology: Software</v>
      </c>
      <c r="C1456" s="6" t="n">
        <f aca="false">'Source Data'!C1453</f>
        <v>12</v>
      </c>
      <c r="D1456" s="6" t="n">
        <f aca="false">'Source Data'!E1453</f>
        <v>0</v>
      </c>
      <c r="E1456" s="6" t="n">
        <f aca="false">IFERROR(N(C1456)-N(D1456),"")</f>
        <v>12</v>
      </c>
      <c r="F1456" s="7" t="str">
        <f aca="false">IF(E1456&gt;0,"Yes",IF(E1456&lt;0,"No (Paternity higher)","Equal"))</f>
        <v>Yes</v>
      </c>
    </row>
    <row r="1457" customFormat="false" ht="15" hidden="false" customHeight="false" outlineLevel="0" collapsed="false">
      <c r="A1457" s="5" t="str">
        <f aca="false">'Source Data'!A1454</f>
        <v>Nextech</v>
      </c>
      <c r="B1457" s="5" t="str">
        <f aca="false">'Source Data'!B1454</f>
        <v>Technology: Software</v>
      </c>
      <c r="C1457" s="6" t="n">
        <f aca="false">'Source Data'!C1454</f>
        <v>6</v>
      </c>
      <c r="D1457" s="6" t="n">
        <f aca="false">'Source Data'!E1454</f>
        <v>0</v>
      </c>
      <c r="E1457" s="6" t="n">
        <f aca="false">IFERROR(N(C1457)-N(D1457),"")</f>
        <v>6</v>
      </c>
      <c r="F1457" s="7" t="str">
        <f aca="false">IF(E1457&gt;0,"Yes",IF(E1457&lt;0,"No (Paternity higher)","Equal"))</f>
        <v>Yes</v>
      </c>
    </row>
    <row r="1458" customFormat="false" ht="15" hidden="false" customHeight="false" outlineLevel="0" collapsed="false">
      <c r="A1458" s="5" t="str">
        <f aca="false">'Source Data'!A1455</f>
        <v>NextGen Healthcare</v>
      </c>
      <c r="B1458" s="5" t="str">
        <f aca="false">'Source Data'!B1455</f>
        <v>Technology: Software</v>
      </c>
      <c r="C1458" s="6" t="n">
        <f aca="false">'Source Data'!C1455</f>
        <v>2</v>
      </c>
      <c r="D1458" s="6" t="n">
        <f aca="false">'Source Data'!E1455</f>
        <v>0</v>
      </c>
      <c r="E1458" s="6" t="n">
        <f aca="false">IFERROR(N(C1458)-N(D1458),"")</f>
        <v>2</v>
      </c>
      <c r="F1458" s="7" t="str">
        <f aca="false">IF(E1458&gt;0,"Yes",IF(E1458&lt;0,"No (Paternity higher)","Equal"))</f>
        <v>Yes</v>
      </c>
    </row>
    <row r="1459" customFormat="false" ht="15" hidden="false" customHeight="false" outlineLevel="0" collapsed="false">
      <c r="A1459" s="5" t="str">
        <f aca="false">'Source Data'!A1456</f>
        <v>Nutanix</v>
      </c>
      <c r="B1459" s="5" t="str">
        <f aca="false">'Source Data'!B1456</f>
        <v>Technology: Software</v>
      </c>
      <c r="C1459" s="6" t="n">
        <f aca="false">'Source Data'!C1456</f>
        <v>17</v>
      </c>
      <c r="D1459" s="6" t="n">
        <f aca="false">'Source Data'!E1456</f>
        <v>0</v>
      </c>
      <c r="E1459" s="6" t="n">
        <f aca="false">IFERROR(N(C1459)-N(D1459),"")</f>
        <v>17</v>
      </c>
      <c r="F1459" s="7" t="str">
        <f aca="false">IF(E1459&gt;0,"Yes",IF(E1459&lt;0,"No (Paternity higher)","Equal"))</f>
        <v>Yes</v>
      </c>
    </row>
    <row r="1460" customFormat="false" ht="15" hidden="false" customHeight="false" outlineLevel="0" collapsed="false">
      <c r="A1460" s="5" t="str">
        <f aca="false">'Source Data'!A1457</f>
        <v>OfferFit</v>
      </c>
      <c r="B1460" s="5" t="str">
        <f aca="false">'Source Data'!B1457</f>
        <v>Technology: Software</v>
      </c>
      <c r="C1460" s="6" t="n">
        <f aca="false">'Source Data'!C1457</f>
        <v>12</v>
      </c>
      <c r="D1460" s="6" t="n">
        <f aca="false">'Source Data'!E1457</f>
        <v>0</v>
      </c>
      <c r="E1460" s="6" t="n">
        <f aca="false">IFERROR(N(C1460)-N(D1460),"")</f>
        <v>12</v>
      </c>
      <c r="F1460" s="7" t="str">
        <f aca="false">IF(E1460&gt;0,"Yes",IF(E1460&lt;0,"No (Paternity higher)","Equal"))</f>
        <v>Yes</v>
      </c>
    </row>
    <row r="1461" customFormat="false" ht="15" hidden="false" customHeight="false" outlineLevel="0" collapsed="false">
      <c r="A1461" s="5" t="str">
        <f aca="false">'Source Data'!A1458</f>
        <v>Palantir</v>
      </c>
      <c r="B1461" s="5" t="str">
        <f aca="false">'Source Data'!B1458</f>
        <v>Technology: Software</v>
      </c>
      <c r="C1461" s="6" t="n">
        <f aca="false">'Source Data'!C1458</f>
        <v>30</v>
      </c>
      <c r="D1461" s="6" t="n">
        <f aca="false">'Source Data'!E1458</f>
        <v>0</v>
      </c>
      <c r="E1461" s="6" t="n">
        <f aca="false">IFERROR(N(C1461)-N(D1461),"")</f>
        <v>30</v>
      </c>
      <c r="F1461" s="7" t="str">
        <f aca="false">IF(E1461&gt;0,"Yes",IF(E1461&lt;0,"No (Paternity higher)","Equal"))</f>
        <v>Yes</v>
      </c>
    </row>
    <row r="1462" customFormat="false" ht="15" hidden="false" customHeight="false" outlineLevel="0" collapsed="false">
      <c r="A1462" s="5" t="str">
        <f aca="false">'Source Data'!A1459</f>
        <v>PandaDoc</v>
      </c>
      <c r="B1462" s="5" t="str">
        <f aca="false">'Source Data'!B1459</f>
        <v>Technology: Software</v>
      </c>
      <c r="C1462" s="6" t="n">
        <f aca="false">'Source Data'!C1459</f>
        <v>20</v>
      </c>
      <c r="D1462" s="6" t="n">
        <f aca="false">'Source Data'!E1459</f>
        <v>0</v>
      </c>
      <c r="E1462" s="6" t="n">
        <f aca="false">IFERROR(N(C1462)-N(D1462),"")</f>
        <v>20</v>
      </c>
      <c r="F1462" s="7" t="str">
        <f aca="false">IF(E1462&gt;0,"Yes",IF(E1462&lt;0,"No (Paternity higher)","Equal"))</f>
        <v>Yes</v>
      </c>
    </row>
    <row r="1463" customFormat="false" ht="15" hidden="false" customHeight="false" outlineLevel="0" collapsed="false">
      <c r="A1463" s="5" t="str">
        <f aca="false">'Source Data'!A1460</f>
        <v>panOpen</v>
      </c>
      <c r="B1463" s="5" t="str">
        <f aca="false">'Source Data'!B1460</f>
        <v>Technology: Software</v>
      </c>
      <c r="C1463" s="6" t="n">
        <f aca="false">'Source Data'!C1460</f>
        <v>2</v>
      </c>
      <c r="D1463" s="6" t="n">
        <f aca="false">'Source Data'!E1460</f>
        <v>0</v>
      </c>
      <c r="E1463" s="6" t="n">
        <f aca="false">IFERROR(N(C1463)-N(D1463),"")</f>
        <v>2</v>
      </c>
      <c r="F1463" s="7" t="str">
        <f aca="false">IF(E1463&gt;0,"Yes",IF(E1463&lt;0,"No (Paternity higher)","Equal"))</f>
        <v>Yes</v>
      </c>
    </row>
    <row r="1464" customFormat="false" ht="15" hidden="false" customHeight="false" outlineLevel="0" collapsed="false">
      <c r="A1464" s="5" t="str">
        <f aca="false">'Source Data'!A1461</f>
        <v>Panopto, Inc.</v>
      </c>
      <c r="B1464" s="5" t="str">
        <f aca="false">'Source Data'!B1461</f>
        <v>Technology: Software</v>
      </c>
      <c r="C1464" s="6" t="n">
        <f aca="false">'Source Data'!C1461</f>
        <v>12</v>
      </c>
      <c r="D1464" s="6" t="n">
        <f aca="false">'Source Data'!E1461</f>
        <v>0</v>
      </c>
      <c r="E1464" s="6" t="n">
        <f aca="false">IFERROR(N(C1464)-N(D1464),"")</f>
        <v>12</v>
      </c>
      <c r="F1464" s="7" t="str">
        <f aca="false">IF(E1464&gt;0,"Yes",IF(E1464&lt;0,"No (Paternity higher)","Equal"))</f>
        <v>Yes</v>
      </c>
    </row>
    <row r="1465" customFormat="false" ht="15" hidden="false" customHeight="false" outlineLevel="0" collapsed="false">
      <c r="A1465" s="5" t="str">
        <f aca="false">'Source Data'!A1462</f>
        <v>Patron Technology</v>
      </c>
      <c r="B1465" s="5" t="str">
        <f aca="false">'Source Data'!B1462</f>
        <v>Technology: Software</v>
      </c>
      <c r="C1465" s="6" t="n">
        <f aca="false">'Source Data'!C1462</f>
        <v>14</v>
      </c>
      <c r="D1465" s="6" t="n">
        <f aca="false">'Source Data'!E1462</f>
        <v>0</v>
      </c>
      <c r="E1465" s="6" t="n">
        <f aca="false">IFERROR(N(C1465)-N(D1465),"")</f>
        <v>14</v>
      </c>
      <c r="F1465" s="7" t="str">
        <f aca="false">IF(E1465&gt;0,"Yes",IF(E1465&lt;0,"No (Paternity higher)","Equal"))</f>
        <v>Yes</v>
      </c>
    </row>
    <row r="1466" customFormat="false" ht="15" hidden="false" customHeight="false" outlineLevel="0" collapsed="false">
      <c r="A1466" s="5" t="str">
        <f aca="false">'Source Data'!A1463</f>
        <v>Paylocity</v>
      </c>
      <c r="B1466" s="5" t="str">
        <f aca="false">'Source Data'!B1463</f>
        <v>Technology: Software</v>
      </c>
      <c r="C1466" s="6" t="n">
        <f aca="false">'Source Data'!C1463</f>
        <v>7</v>
      </c>
      <c r="D1466" s="6" t="n">
        <f aca="false">'Source Data'!E1463</f>
        <v>0</v>
      </c>
      <c r="E1466" s="6" t="n">
        <f aca="false">IFERROR(N(C1466)-N(D1466),"")</f>
        <v>7</v>
      </c>
      <c r="F1466" s="7" t="str">
        <f aca="false">IF(E1466&gt;0,"Yes",IF(E1466&lt;0,"No (Paternity higher)","Equal"))</f>
        <v>Yes</v>
      </c>
    </row>
    <row r="1467" customFormat="false" ht="15" hidden="false" customHeight="false" outlineLevel="0" collapsed="false">
      <c r="A1467" s="5" t="str">
        <f aca="false">'Source Data'!A1464</f>
        <v>Pear Therapeutics</v>
      </c>
      <c r="B1467" s="5" t="str">
        <f aca="false">'Source Data'!B1464</f>
        <v>Technology: Software</v>
      </c>
      <c r="C1467" s="6" t="n">
        <f aca="false">'Source Data'!C1464</f>
        <v>6</v>
      </c>
      <c r="D1467" s="6" t="n">
        <f aca="false">'Source Data'!E1464</f>
        <v>0</v>
      </c>
      <c r="E1467" s="6" t="n">
        <f aca="false">IFERROR(N(C1467)-N(D1467),"")</f>
        <v>6</v>
      </c>
      <c r="F1467" s="7" t="str">
        <f aca="false">IF(E1467&gt;0,"Yes",IF(E1467&lt;0,"No (Paternity higher)","Equal"))</f>
        <v>Yes</v>
      </c>
    </row>
    <row r="1468" customFormat="false" ht="15" hidden="false" customHeight="false" outlineLevel="0" collapsed="false">
      <c r="A1468" s="5" t="str">
        <f aca="false">'Source Data'!A1465</f>
        <v>Persistent Systems</v>
      </c>
      <c r="B1468" s="5" t="str">
        <f aca="false">'Source Data'!B1465</f>
        <v>Technology: Software</v>
      </c>
      <c r="C1468" s="6" t="n">
        <f aca="false">'Source Data'!C1465</f>
        <v>12</v>
      </c>
      <c r="D1468" s="6" t="n">
        <f aca="false">'Source Data'!E1465</f>
        <v>0</v>
      </c>
      <c r="E1468" s="6" t="n">
        <f aca="false">IFERROR(N(C1468)-N(D1468),"")</f>
        <v>12</v>
      </c>
      <c r="F1468" s="7" t="str">
        <f aca="false">IF(E1468&gt;0,"Yes",IF(E1468&lt;0,"No (Paternity higher)","Equal"))</f>
        <v>Yes</v>
      </c>
    </row>
    <row r="1469" customFormat="false" ht="15" hidden="false" customHeight="false" outlineLevel="0" collapsed="false">
      <c r="A1469" s="5" t="str">
        <f aca="false">'Source Data'!A1466</f>
        <v>Pexip</v>
      </c>
      <c r="B1469" s="5" t="str">
        <f aca="false">'Source Data'!B1466</f>
        <v>Technology: Software</v>
      </c>
      <c r="C1469" s="6" t="n">
        <f aca="false">'Source Data'!C1466</f>
        <v>8</v>
      </c>
      <c r="D1469" s="6" t="n">
        <f aca="false">'Source Data'!E1466</f>
        <v>0</v>
      </c>
      <c r="E1469" s="6" t="n">
        <f aca="false">IFERROR(N(C1469)-N(D1469),"")</f>
        <v>8</v>
      </c>
      <c r="F1469" s="7" t="str">
        <f aca="false">IF(E1469&gt;0,"Yes",IF(E1469&lt;0,"No (Paternity higher)","Equal"))</f>
        <v>Yes</v>
      </c>
    </row>
    <row r="1470" customFormat="false" ht="15" hidden="false" customHeight="false" outlineLevel="0" collapsed="false">
      <c r="A1470" s="5" t="str">
        <f aca="false">'Source Data'!A1467</f>
        <v>PhotoShelter</v>
      </c>
      <c r="B1470" s="5" t="str">
        <f aca="false">'Source Data'!B1467</f>
        <v>Technology: Software</v>
      </c>
      <c r="C1470" s="6" t="n">
        <f aca="false">'Source Data'!C1467</f>
        <v>12</v>
      </c>
      <c r="D1470" s="6" t="n">
        <f aca="false">'Source Data'!E1467</f>
        <v>0</v>
      </c>
      <c r="E1470" s="6" t="n">
        <f aca="false">IFERROR(N(C1470)-N(D1470),"")</f>
        <v>12</v>
      </c>
      <c r="F1470" s="7" t="str">
        <f aca="false">IF(E1470&gt;0,"Yes",IF(E1470&lt;0,"No (Paternity higher)","Equal"))</f>
        <v>Yes</v>
      </c>
    </row>
    <row r="1471" customFormat="false" ht="15" hidden="false" customHeight="false" outlineLevel="0" collapsed="false">
      <c r="A1471" s="5" t="str">
        <f aca="false">'Source Data'!A1468</f>
        <v>Praxent</v>
      </c>
      <c r="B1471" s="5" t="str">
        <f aca="false">'Source Data'!B1468</f>
        <v>Technology: Software</v>
      </c>
      <c r="C1471" s="6" t="n">
        <f aca="false">'Source Data'!C1468</f>
        <v>2</v>
      </c>
      <c r="D1471" s="6" t="n">
        <f aca="false">'Source Data'!E1468</f>
        <v>0</v>
      </c>
      <c r="E1471" s="6" t="n">
        <f aca="false">IFERROR(N(C1471)-N(D1471),"")</f>
        <v>2</v>
      </c>
      <c r="F1471" s="7" t="str">
        <f aca="false">IF(E1471&gt;0,"Yes",IF(E1471&lt;0,"No (Paternity higher)","Equal"))</f>
        <v>Yes</v>
      </c>
    </row>
    <row r="1472" customFormat="false" ht="15" hidden="false" customHeight="false" outlineLevel="0" collapsed="false">
      <c r="A1472" s="5" t="str">
        <f aca="false">'Source Data'!A1469</f>
        <v>Privitar Ltd</v>
      </c>
      <c r="B1472" s="5" t="str">
        <f aca="false">'Source Data'!B1469</f>
        <v>Technology: Software</v>
      </c>
      <c r="C1472" s="6" t="n">
        <f aca="false">'Source Data'!C1469</f>
        <v>20</v>
      </c>
      <c r="D1472" s="6" t="n">
        <f aca="false">'Source Data'!E1469</f>
        <v>0</v>
      </c>
      <c r="E1472" s="6" t="n">
        <f aca="false">IFERROR(N(C1472)-N(D1472),"")</f>
        <v>20</v>
      </c>
      <c r="F1472" s="7" t="str">
        <f aca="false">IF(E1472&gt;0,"Yes",IF(E1472&lt;0,"No (Paternity higher)","Equal"))</f>
        <v>Yes</v>
      </c>
    </row>
    <row r="1473" customFormat="false" ht="15" hidden="false" customHeight="false" outlineLevel="0" collapsed="false">
      <c r="A1473" s="5" t="str">
        <f aca="false">'Source Data'!A1470</f>
        <v>Procore Technologies</v>
      </c>
      <c r="B1473" s="5" t="str">
        <f aca="false">'Source Data'!B1470</f>
        <v>Technology: Software</v>
      </c>
      <c r="C1473" s="6" t="n">
        <f aca="false">'Source Data'!C1470</f>
        <v>16</v>
      </c>
      <c r="D1473" s="6" t="n">
        <f aca="false">'Source Data'!E1470</f>
        <v>0</v>
      </c>
      <c r="E1473" s="6" t="n">
        <f aca="false">IFERROR(N(C1473)-N(D1473),"")</f>
        <v>16</v>
      </c>
      <c r="F1473" s="7" t="str">
        <f aca="false">IF(E1473&gt;0,"Yes",IF(E1473&lt;0,"No (Paternity higher)","Equal"))</f>
        <v>Yes</v>
      </c>
    </row>
    <row r="1474" customFormat="false" ht="15" hidden="false" customHeight="false" outlineLevel="0" collapsed="false">
      <c r="A1474" s="5" t="str">
        <f aca="false">'Source Data'!A1471</f>
        <v>Qualtrics</v>
      </c>
      <c r="B1474" s="5" t="str">
        <f aca="false">'Source Data'!B1471</f>
        <v>Technology: Software</v>
      </c>
      <c r="C1474" s="6" t="n">
        <f aca="false">'Source Data'!C1471</f>
        <v>6</v>
      </c>
      <c r="D1474" s="6" t="n">
        <f aca="false">'Source Data'!E1471</f>
        <v>0</v>
      </c>
      <c r="E1474" s="6" t="n">
        <f aca="false">IFERROR(N(C1474)-N(D1474),"")</f>
        <v>6</v>
      </c>
      <c r="F1474" s="7" t="str">
        <f aca="false">IF(E1474&gt;0,"Yes",IF(E1474&lt;0,"No (Paternity higher)","Equal"))</f>
        <v>Yes</v>
      </c>
    </row>
    <row r="1475" customFormat="false" ht="15" hidden="false" customHeight="false" outlineLevel="0" collapsed="false">
      <c r="A1475" s="5" t="str">
        <f aca="false">'Source Data'!A1472</f>
        <v>Rangle.io</v>
      </c>
      <c r="B1475" s="5" t="str">
        <f aca="false">'Source Data'!B1472</f>
        <v>Technology: Software</v>
      </c>
      <c r="C1475" s="6" t="n">
        <f aca="false">'Source Data'!C1472</f>
        <v>52</v>
      </c>
      <c r="D1475" s="6" t="n">
        <f aca="false">'Source Data'!E1472</f>
        <v>0</v>
      </c>
      <c r="E1475" s="6" t="n">
        <f aca="false">IFERROR(N(C1475)-N(D1475),"")</f>
        <v>52</v>
      </c>
      <c r="F1475" s="7" t="str">
        <f aca="false">IF(E1475&gt;0,"Yes",IF(E1475&lt;0,"No (Paternity higher)","Equal"))</f>
        <v>Yes</v>
      </c>
    </row>
    <row r="1476" customFormat="false" ht="15" hidden="false" customHeight="false" outlineLevel="0" collapsed="false">
      <c r="A1476" s="5" t="str">
        <f aca="false">'Source Data'!A1473</f>
        <v>Red Hat</v>
      </c>
      <c r="B1476" s="5" t="str">
        <f aca="false">'Source Data'!B1473</f>
        <v>Technology: Software</v>
      </c>
      <c r="C1476" s="6" t="n">
        <f aca="false">'Source Data'!C1473</f>
        <v>0</v>
      </c>
      <c r="D1476" s="6" t="n">
        <f aca="false">'Source Data'!E1473</f>
        <v>0</v>
      </c>
      <c r="E1476" s="6" t="n">
        <f aca="false">IFERROR(N(C1476)-N(D1476),"")</f>
        <v>0</v>
      </c>
      <c r="F1476" s="7" t="str">
        <f aca="false">IF(E1476&gt;0,"Yes",IF(E1476&lt;0,"No (Paternity higher)","Equal"))</f>
        <v>Equal</v>
      </c>
    </row>
    <row r="1477" customFormat="false" ht="15" hidden="false" customHeight="false" outlineLevel="0" collapsed="false">
      <c r="A1477" s="5" t="str">
        <f aca="false">'Source Data'!A1474</f>
        <v>Rosetta Stone</v>
      </c>
      <c r="B1477" s="5" t="str">
        <f aca="false">'Source Data'!B1474</f>
        <v>Technology: Software</v>
      </c>
      <c r="C1477" s="6" t="n">
        <f aca="false">'Source Data'!C1474</f>
        <v>14</v>
      </c>
      <c r="D1477" s="6" t="n">
        <f aca="false">'Source Data'!E1474</f>
        <v>0</v>
      </c>
      <c r="E1477" s="6" t="n">
        <f aca="false">IFERROR(N(C1477)-N(D1477),"")</f>
        <v>14</v>
      </c>
      <c r="F1477" s="7" t="str">
        <f aca="false">IF(E1477&gt;0,"Yes",IF(E1477&lt;0,"No (Paternity higher)","Equal"))</f>
        <v>Yes</v>
      </c>
    </row>
    <row r="1478" customFormat="false" ht="15" hidden="false" customHeight="false" outlineLevel="0" collapsed="false">
      <c r="A1478" s="5" t="str">
        <f aca="false">'Source Data'!A1475</f>
        <v>Safety Labs Inc</v>
      </c>
      <c r="B1478" s="5" t="str">
        <f aca="false">'Source Data'!B1475</f>
        <v>Technology: Software</v>
      </c>
      <c r="C1478" s="6" t="n">
        <f aca="false">'Source Data'!C1475</f>
        <v>15</v>
      </c>
      <c r="D1478" s="6" t="n">
        <f aca="false">'Source Data'!E1475</f>
        <v>0</v>
      </c>
      <c r="E1478" s="6" t="n">
        <f aca="false">IFERROR(N(C1478)-N(D1478),"")</f>
        <v>15</v>
      </c>
      <c r="F1478" s="7" t="str">
        <f aca="false">IF(E1478&gt;0,"Yes",IF(E1478&lt;0,"No (Paternity higher)","Equal"))</f>
        <v>Yes</v>
      </c>
    </row>
    <row r="1479" customFormat="false" ht="15" hidden="false" customHeight="false" outlineLevel="0" collapsed="false">
      <c r="A1479" s="5" t="str">
        <f aca="false">'Source Data'!A1476</f>
        <v>Sage</v>
      </c>
      <c r="B1479" s="5" t="str">
        <f aca="false">'Source Data'!B1476</f>
        <v>Technology: Software</v>
      </c>
      <c r="C1479" s="6" t="n">
        <f aca="false">'Source Data'!C1476</f>
        <v>12</v>
      </c>
      <c r="D1479" s="6" t="n">
        <f aca="false">'Source Data'!E1476</f>
        <v>0</v>
      </c>
      <c r="E1479" s="6" t="n">
        <f aca="false">IFERROR(N(C1479)-N(D1479),"")</f>
        <v>12</v>
      </c>
      <c r="F1479" s="7" t="str">
        <f aca="false">IF(E1479&gt;0,"Yes",IF(E1479&lt;0,"No (Paternity higher)","Equal"))</f>
        <v>Yes</v>
      </c>
    </row>
    <row r="1480" customFormat="false" ht="15" hidden="false" customHeight="false" outlineLevel="0" collapsed="false">
      <c r="A1480" s="5" t="str">
        <f aca="false">'Source Data'!A1477</f>
        <v>SAP</v>
      </c>
      <c r="B1480" s="5" t="str">
        <f aca="false">'Source Data'!B1477</f>
        <v>Technology: Software</v>
      </c>
      <c r="C1480" s="6" t="n">
        <f aca="false">'Source Data'!C1477</f>
        <v>12</v>
      </c>
      <c r="D1480" s="6" t="n">
        <f aca="false">'Source Data'!E1477</f>
        <v>0</v>
      </c>
      <c r="E1480" s="6" t="n">
        <f aca="false">IFERROR(N(C1480)-N(D1480),"")</f>
        <v>12</v>
      </c>
      <c r="F1480" s="7" t="str">
        <f aca="false">IF(E1480&gt;0,"Yes",IF(E1480&lt;0,"No (Paternity higher)","Equal"))</f>
        <v>Yes</v>
      </c>
    </row>
    <row r="1481" customFormat="false" ht="15" hidden="false" customHeight="false" outlineLevel="0" collapsed="false">
      <c r="A1481" s="5" t="str">
        <f aca="false">'Source Data'!A1478</f>
        <v>SAS</v>
      </c>
      <c r="B1481" s="5" t="str">
        <f aca="false">'Source Data'!B1478</f>
        <v>Technology: Software</v>
      </c>
      <c r="C1481" s="6" t="n">
        <f aca="false">'Source Data'!C1478</f>
        <v>8</v>
      </c>
      <c r="D1481" s="6" t="n">
        <f aca="false">'Source Data'!E1478</f>
        <v>0</v>
      </c>
      <c r="E1481" s="6" t="n">
        <f aca="false">IFERROR(N(C1481)-N(D1481),"")</f>
        <v>8</v>
      </c>
      <c r="F1481" s="7" t="str">
        <f aca="false">IF(E1481&gt;0,"Yes",IF(E1481&lt;0,"No (Paternity higher)","Equal"))</f>
        <v>Yes</v>
      </c>
    </row>
    <row r="1482" customFormat="false" ht="15" hidden="false" customHeight="false" outlineLevel="0" collapsed="false">
      <c r="A1482" s="5" t="str">
        <f aca="false">'Source Data'!A1479</f>
        <v>Screencastify</v>
      </c>
      <c r="B1482" s="5" t="str">
        <f aca="false">'Source Data'!B1479</f>
        <v>Technology: Software</v>
      </c>
      <c r="C1482" s="6" t="n">
        <f aca="false">'Source Data'!C1479</f>
        <v>6</v>
      </c>
      <c r="D1482" s="6" t="n">
        <f aca="false">'Source Data'!E1479</f>
        <v>0</v>
      </c>
      <c r="E1482" s="6" t="n">
        <f aca="false">IFERROR(N(C1482)-N(D1482),"")</f>
        <v>6</v>
      </c>
      <c r="F1482" s="7" t="str">
        <f aca="false">IF(E1482&gt;0,"Yes",IF(E1482&lt;0,"No (Paternity higher)","Equal"))</f>
        <v>Yes</v>
      </c>
    </row>
    <row r="1483" customFormat="false" ht="15" hidden="false" customHeight="false" outlineLevel="0" collapsed="false">
      <c r="A1483" s="5" t="str">
        <f aca="false">'Source Data'!A1480</f>
        <v>ServiceTitan</v>
      </c>
      <c r="B1483" s="5" t="str">
        <f aca="false">'Source Data'!B1480</f>
        <v>Technology: Software</v>
      </c>
      <c r="C1483" s="6" t="n">
        <f aca="false">'Source Data'!C1480</f>
        <v>12</v>
      </c>
      <c r="D1483" s="6" t="n">
        <f aca="false">'Source Data'!E1480</f>
        <v>0</v>
      </c>
      <c r="E1483" s="6" t="n">
        <f aca="false">IFERROR(N(C1483)-N(D1483),"")</f>
        <v>12</v>
      </c>
      <c r="F1483" s="7" t="str">
        <f aca="false">IF(E1483&gt;0,"Yes",IF(E1483&lt;0,"No (Paternity higher)","Equal"))</f>
        <v>Yes</v>
      </c>
    </row>
    <row r="1484" customFormat="false" ht="15" hidden="false" customHeight="false" outlineLevel="0" collapsed="false">
      <c r="A1484" s="5" t="str">
        <f aca="false">'Source Data'!A1481</f>
        <v>Siemens Digital Industries Software</v>
      </c>
      <c r="B1484" s="5" t="str">
        <f aca="false">'Source Data'!B1481</f>
        <v>Technology: Software</v>
      </c>
      <c r="C1484" s="6" t="n">
        <f aca="false">'Source Data'!C1481</f>
        <v>6</v>
      </c>
      <c r="D1484" s="6" t="n">
        <f aca="false">'Source Data'!E1481</f>
        <v>0</v>
      </c>
      <c r="E1484" s="6" t="n">
        <f aca="false">IFERROR(N(C1484)-N(D1484),"")</f>
        <v>6</v>
      </c>
      <c r="F1484" s="7" t="str">
        <f aca="false">IF(E1484&gt;0,"Yes",IF(E1484&lt;0,"No (Paternity higher)","Equal"))</f>
        <v>Yes</v>
      </c>
    </row>
    <row r="1485" customFormat="false" ht="15" hidden="false" customHeight="false" outlineLevel="0" collapsed="false">
      <c r="A1485" s="5" t="str">
        <f aca="false">'Source Data'!A1482</f>
        <v>Signzy Technology Private Limited</v>
      </c>
      <c r="B1485" s="5" t="str">
        <f aca="false">'Source Data'!B1482</f>
        <v>Technology: Software</v>
      </c>
      <c r="C1485" s="6" t="n">
        <f aca="false">'Source Data'!C1482</f>
        <v>3</v>
      </c>
      <c r="D1485" s="6" t="n">
        <f aca="false">'Source Data'!E1482</f>
        <v>0</v>
      </c>
      <c r="E1485" s="6" t="n">
        <f aca="false">IFERROR(N(C1485)-N(D1485),"")</f>
        <v>3</v>
      </c>
      <c r="F1485" s="7" t="str">
        <f aca="false">IF(E1485&gt;0,"Yes",IF(E1485&lt;0,"No (Paternity higher)","Equal"))</f>
        <v>Yes</v>
      </c>
    </row>
    <row r="1486" customFormat="false" ht="15" hidden="false" customHeight="false" outlineLevel="0" collapsed="false">
      <c r="A1486" s="5" t="str">
        <f aca="false">'Source Data'!A1483</f>
        <v>SmartBear Software</v>
      </c>
      <c r="B1486" s="5" t="str">
        <f aca="false">'Source Data'!B1483</f>
        <v>Technology: Software</v>
      </c>
      <c r="C1486" s="6" t="n">
        <f aca="false">'Source Data'!C1483</f>
        <v>16</v>
      </c>
      <c r="D1486" s="6" t="n">
        <f aca="false">'Source Data'!E1483</f>
        <v>0</v>
      </c>
      <c r="E1486" s="6" t="n">
        <f aca="false">IFERROR(N(C1486)-N(D1486),"")</f>
        <v>16</v>
      </c>
      <c r="F1486" s="7" t="str">
        <f aca="false">IF(E1486&gt;0,"Yes",IF(E1486&lt;0,"No (Paternity higher)","Equal"))</f>
        <v>Yes</v>
      </c>
    </row>
    <row r="1487" customFormat="false" ht="15" hidden="false" customHeight="false" outlineLevel="0" collapsed="false">
      <c r="A1487" s="5" t="str">
        <f aca="false">'Source Data'!A1484</f>
        <v>Splunk</v>
      </c>
      <c r="B1487" s="5" t="str">
        <f aca="false">'Source Data'!B1484</f>
        <v>Technology: Software</v>
      </c>
      <c r="C1487" s="6" t="n">
        <f aca="false">'Source Data'!C1484</f>
        <v>16</v>
      </c>
      <c r="D1487" s="6" t="n">
        <f aca="false">'Source Data'!E1484</f>
        <v>0</v>
      </c>
      <c r="E1487" s="6" t="n">
        <f aca="false">IFERROR(N(C1487)-N(D1487),"")</f>
        <v>16</v>
      </c>
      <c r="F1487" s="7" t="str">
        <f aca="false">IF(E1487&gt;0,"Yes",IF(E1487&lt;0,"No (Paternity higher)","Equal"))</f>
        <v>Yes</v>
      </c>
    </row>
    <row r="1488" customFormat="false" ht="15" hidden="false" customHeight="false" outlineLevel="0" collapsed="false">
      <c r="A1488" s="5" t="str">
        <f aca="false">'Source Data'!A1485</f>
        <v>Storable</v>
      </c>
      <c r="B1488" s="5" t="str">
        <f aca="false">'Source Data'!B1485</f>
        <v>Technology: Software</v>
      </c>
      <c r="C1488" s="6" t="n">
        <f aca="false">'Source Data'!C1485</f>
        <v>12</v>
      </c>
      <c r="D1488" s="6" t="n">
        <f aca="false">'Source Data'!E1485</f>
        <v>0</v>
      </c>
      <c r="E1488" s="6" t="n">
        <f aca="false">IFERROR(N(C1488)-N(D1488),"")</f>
        <v>12</v>
      </c>
      <c r="F1488" s="7" t="str">
        <f aca="false">IF(E1488&gt;0,"Yes",IF(E1488&lt;0,"No (Paternity higher)","Equal"))</f>
        <v>Yes</v>
      </c>
    </row>
    <row r="1489" customFormat="false" ht="15" hidden="false" customHeight="false" outlineLevel="0" collapsed="false">
      <c r="A1489" s="5" t="str">
        <f aca="false">'Source Data'!A1486</f>
        <v>Tableau Software</v>
      </c>
      <c r="B1489" s="5" t="str">
        <f aca="false">'Source Data'!B1486</f>
        <v>Technology: Software</v>
      </c>
      <c r="C1489" s="6" t="n">
        <f aca="false">'Source Data'!C1486</f>
        <v>12</v>
      </c>
      <c r="D1489" s="6" t="n">
        <f aca="false">'Source Data'!E1486</f>
        <v>0</v>
      </c>
      <c r="E1489" s="6" t="n">
        <f aca="false">IFERROR(N(C1489)-N(D1489),"")</f>
        <v>12</v>
      </c>
      <c r="F1489" s="7" t="str">
        <f aca="false">IF(E1489&gt;0,"Yes",IF(E1489&lt;0,"No (Paternity higher)","Equal"))</f>
        <v>Yes</v>
      </c>
    </row>
    <row r="1490" customFormat="false" ht="15" hidden="false" customHeight="false" outlineLevel="0" collapsed="false">
      <c r="A1490" s="5" t="str">
        <f aca="false">'Source Data'!A1487</f>
        <v>Taboola</v>
      </c>
      <c r="B1490" s="5" t="str">
        <f aca="false">'Source Data'!B1487</f>
        <v>Technology: Software</v>
      </c>
      <c r="C1490" s="6" t="n">
        <f aca="false">'Source Data'!C1487</f>
        <v>26</v>
      </c>
      <c r="D1490" s="6" t="n">
        <f aca="false">'Source Data'!E1487</f>
        <v>0</v>
      </c>
      <c r="E1490" s="6" t="n">
        <f aca="false">IFERROR(N(C1490)-N(D1490),"")</f>
        <v>26</v>
      </c>
      <c r="F1490" s="7" t="str">
        <f aca="false">IF(E1490&gt;0,"Yes",IF(E1490&lt;0,"No (Paternity higher)","Equal"))</f>
        <v>Yes</v>
      </c>
    </row>
    <row r="1491" customFormat="false" ht="15" hidden="false" customHeight="false" outlineLevel="0" collapsed="false">
      <c r="A1491" s="5" t="str">
        <f aca="false">'Source Data'!A1488</f>
        <v>Talkdesk</v>
      </c>
      <c r="B1491" s="5" t="str">
        <f aca="false">'Source Data'!B1488</f>
        <v>Technology: Software</v>
      </c>
      <c r="C1491" s="6" t="n">
        <f aca="false">'Source Data'!C1488</f>
        <v>16</v>
      </c>
      <c r="D1491" s="6" t="n">
        <f aca="false">'Source Data'!E1488</f>
        <v>8</v>
      </c>
      <c r="E1491" s="6" t="n">
        <f aca="false">IFERROR(N(C1491)-N(D1491),"")</f>
        <v>8</v>
      </c>
      <c r="F1491" s="7" t="str">
        <f aca="false">IF(E1491&gt;0,"Yes",IF(E1491&lt;0,"No (Paternity higher)","Equal"))</f>
        <v>Yes</v>
      </c>
    </row>
    <row r="1492" customFormat="false" ht="15" hidden="false" customHeight="false" outlineLevel="0" collapsed="false">
      <c r="A1492" s="5" t="str">
        <f aca="false">'Source Data'!A1489</f>
        <v>TIBCO Software</v>
      </c>
      <c r="B1492" s="5" t="str">
        <f aca="false">'Source Data'!B1489</f>
        <v>Technology: Software</v>
      </c>
      <c r="C1492" s="6" t="n">
        <f aca="false">'Source Data'!C1489</f>
        <v>14</v>
      </c>
      <c r="D1492" s="6" t="n">
        <f aca="false">'Source Data'!E1489</f>
        <v>0</v>
      </c>
      <c r="E1492" s="6" t="n">
        <f aca="false">IFERROR(N(C1492)-N(D1492),"")</f>
        <v>14</v>
      </c>
      <c r="F1492" s="7" t="str">
        <f aca="false">IF(E1492&gt;0,"Yes",IF(E1492&lt;0,"No (Paternity higher)","Equal"))</f>
        <v>Yes</v>
      </c>
    </row>
    <row r="1493" customFormat="false" ht="15" hidden="false" customHeight="false" outlineLevel="0" collapsed="false">
      <c r="A1493" s="5" t="str">
        <f aca="false">'Source Data'!A1490</f>
        <v>Triton Digital</v>
      </c>
      <c r="B1493" s="5" t="str">
        <f aca="false">'Source Data'!B1490</f>
        <v>Technology: Software</v>
      </c>
      <c r="C1493" s="6" t="n">
        <f aca="false">'Source Data'!C1490</f>
        <v>12</v>
      </c>
      <c r="D1493" s="6" t="n">
        <f aca="false">'Source Data'!E1490</f>
        <v>0</v>
      </c>
      <c r="E1493" s="6" t="n">
        <f aca="false">IFERROR(N(C1493)-N(D1493),"")</f>
        <v>12</v>
      </c>
      <c r="F1493" s="7" t="str">
        <f aca="false">IF(E1493&gt;0,"Yes",IF(E1493&lt;0,"No (Paternity higher)","Equal"))</f>
        <v>Yes</v>
      </c>
    </row>
    <row r="1494" customFormat="false" ht="15" hidden="false" customHeight="false" outlineLevel="0" collapsed="false">
      <c r="A1494" s="5" t="str">
        <f aca="false">'Source Data'!A1491</f>
        <v>Veeva Systems</v>
      </c>
      <c r="B1494" s="5" t="str">
        <f aca="false">'Source Data'!B1491</f>
        <v>Technology: Software</v>
      </c>
      <c r="C1494" s="6" t="n">
        <f aca="false">'Source Data'!C1491</f>
        <v>12</v>
      </c>
      <c r="D1494" s="6" t="n">
        <f aca="false">'Source Data'!E1491</f>
        <v>0</v>
      </c>
      <c r="E1494" s="6" t="n">
        <f aca="false">IFERROR(N(C1494)-N(D1494),"")</f>
        <v>12</v>
      </c>
      <c r="F1494" s="7" t="str">
        <f aca="false">IF(E1494&gt;0,"Yes",IF(E1494&lt;0,"No (Paternity higher)","Equal"))</f>
        <v>Yes</v>
      </c>
    </row>
    <row r="1495" customFormat="false" ht="15" hidden="false" customHeight="false" outlineLevel="0" collapsed="false">
      <c r="A1495" s="5" t="str">
        <f aca="false">'Source Data'!A1492</f>
        <v>VMware</v>
      </c>
      <c r="B1495" s="5" t="str">
        <f aca="false">'Source Data'!B1492</f>
        <v>Technology: Software</v>
      </c>
      <c r="C1495" s="6" t="n">
        <f aca="false">'Source Data'!C1492</f>
        <v>18</v>
      </c>
      <c r="D1495" s="6" t="n">
        <f aca="false">'Source Data'!E1492</f>
        <v>0</v>
      </c>
      <c r="E1495" s="6" t="n">
        <f aca="false">IFERROR(N(C1495)-N(D1495),"")</f>
        <v>18</v>
      </c>
      <c r="F1495" s="7" t="str">
        <f aca="false">IF(E1495&gt;0,"Yes",IF(E1495&lt;0,"No (Paternity higher)","Equal"))</f>
        <v>Yes</v>
      </c>
    </row>
    <row r="1496" customFormat="false" ht="15" hidden="false" customHeight="false" outlineLevel="0" collapsed="false">
      <c r="A1496" s="5" t="str">
        <f aca="false">'Source Data'!A1493</f>
        <v>WGU Labs</v>
      </c>
      <c r="B1496" s="5" t="str">
        <f aca="false">'Source Data'!B1493</f>
        <v>Technology: Software</v>
      </c>
      <c r="C1496" s="6" t="n">
        <f aca="false">'Source Data'!C1493</f>
        <v>12</v>
      </c>
      <c r="D1496" s="6" t="n">
        <f aca="false">'Source Data'!E1493</f>
        <v>0</v>
      </c>
      <c r="E1496" s="6" t="n">
        <f aca="false">IFERROR(N(C1496)-N(D1496),"")</f>
        <v>12</v>
      </c>
      <c r="F1496" s="7" t="str">
        <f aca="false">IF(E1496&gt;0,"Yes",IF(E1496&lt;0,"No (Paternity higher)","Equal"))</f>
        <v>Yes</v>
      </c>
    </row>
    <row r="1497" customFormat="false" ht="15" hidden="false" customHeight="false" outlineLevel="0" collapsed="false">
      <c r="A1497" s="5" t="str">
        <f aca="false">'Source Data'!A1494</f>
        <v>Workday</v>
      </c>
      <c r="B1497" s="5" t="str">
        <f aca="false">'Source Data'!B1494</f>
        <v>Technology: Software</v>
      </c>
      <c r="C1497" s="6" t="n">
        <f aca="false">'Source Data'!C1494</f>
        <v>12</v>
      </c>
      <c r="D1497" s="6" t="n">
        <f aca="false">'Source Data'!E1494</f>
        <v>0</v>
      </c>
      <c r="E1497" s="6" t="n">
        <f aca="false">IFERROR(N(C1497)-N(D1497),"")</f>
        <v>12</v>
      </c>
      <c r="F1497" s="7" t="str">
        <f aca="false">IF(E1497&gt;0,"Yes",IF(E1497&lt;0,"No (Paternity higher)","Equal"))</f>
        <v>Yes</v>
      </c>
    </row>
    <row r="1498" customFormat="false" ht="15" hidden="false" customHeight="false" outlineLevel="0" collapsed="false">
      <c r="A1498" s="5" t="str">
        <f aca="false">'Source Data'!A1495</f>
        <v>WorkJam</v>
      </c>
      <c r="B1498" s="5" t="str">
        <f aca="false">'Source Data'!B1495</f>
        <v>Technology: Software</v>
      </c>
      <c r="C1498" s="6" t="n">
        <f aca="false">'Source Data'!C1495</f>
        <v>52</v>
      </c>
      <c r="D1498" s="6" t="n">
        <f aca="false">'Source Data'!E1495</f>
        <v>0</v>
      </c>
      <c r="E1498" s="6" t="n">
        <f aca="false">IFERROR(N(C1498)-N(D1498),"")</f>
        <v>52</v>
      </c>
      <c r="F1498" s="7" t="str">
        <f aca="false">IF(E1498&gt;0,"Yes",IF(E1498&lt;0,"No (Paternity higher)","Equal"))</f>
        <v>Yes</v>
      </c>
    </row>
    <row r="1499" customFormat="false" ht="15" hidden="false" customHeight="false" outlineLevel="0" collapsed="false">
      <c r="A1499" s="5" t="str">
        <f aca="false">'Source Data'!A1496</f>
        <v>Wrike, Inc.</v>
      </c>
      <c r="B1499" s="5" t="str">
        <f aca="false">'Source Data'!B1496</f>
        <v>Technology: Software</v>
      </c>
      <c r="C1499" s="6" t="n">
        <f aca="false">'Source Data'!C1496</f>
        <v>8</v>
      </c>
      <c r="D1499" s="6" t="n">
        <f aca="false">'Source Data'!E1496</f>
        <v>0</v>
      </c>
      <c r="E1499" s="6" t="n">
        <f aca="false">IFERROR(N(C1499)-N(D1499),"")</f>
        <v>8</v>
      </c>
      <c r="F1499" s="7" t="str">
        <f aca="false">IF(E1499&gt;0,"Yes",IF(E1499&lt;0,"No (Paternity higher)","Equal"))</f>
        <v>Yes</v>
      </c>
    </row>
    <row r="1500" customFormat="false" ht="15" hidden="false" customHeight="false" outlineLevel="0" collapsed="false">
      <c r="A1500" s="5" t="str">
        <f aca="false">'Source Data'!A1497</f>
        <v>Xactly Corporation</v>
      </c>
      <c r="B1500" s="5" t="str">
        <f aca="false">'Source Data'!B1497</f>
        <v>Technology: Software</v>
      </c>
      <c r="C1500" s="6" t="n">
        <f aca="false">'Source Data'!C1497</f>
        <v>6</v>
      </c>
      <c r="D1500" s="6" t="n">
        <f aca="false">'Source Data'!E1497</f>
        <v>0</v>
      </c>
      <c r="E1500" s="6" t="n">
        <f aca="false">IFERROR(N(C1500)-N(D1500),"")</f>
        <v>6</v>
      </c>
      <c r="F1500" s="7" t="str">
        <f aca="false">IF(E1500&gt;0,"Yes",IF(E1500&lt;0,"No (Paternity higher)","Equal"))</f>
        <v>Yes</v>
      </c>
    </row>
    <row r="1501" customFormat="false" ht="15" hidden="false" customHeight="false" outlineLevel="0" collapsed="false">
      <c r="A1501" s="5" t="str">
        <f aca="false">'Source Data'!A1498</f>
        <v>Xandr</v>
      </c>
      <c r="B1501" s="5" t="str">
        <f aca="false">'Source Data'!B1498</f>
        <v>Technology: Software</v>
      </c>
      <c r="C1501" s="6" t="n">
        <f aca="false">'Source Data'!C1498</f>
        <v>12</v>
      </c>
      <c r="D1501" s="6" t="n">
        <f aca="false">'Source Data'!E1498</f>
        <v>0</v>
      </c>
      <c r="E1501" s="6" t="n">
        <f aca="false">IFERROR(N(C1501)-N(D1501),"")</f>
        <v>12</v>
      </c>
      <c r="F1501" s="7" t="str">
        <f aca="false">IF(E1501&gt;0,"Yes",IF(E1501&lt;0,"No (Paternity higher)","Equal"))</f>
        <v>Yes</v>
      </c>
    </row>
    <row r="1502" customFormat="false" ht="15" hidden="false" customHeight="false" outlineLevel="0" collapsed="false">
      <c r="A1502" s="5" t="str">
        <f aca="false">'Source Data'!A1499</f>
        <v>Zapier</v>
      </c>
      <c r="B1502" s="5" t="str">
        <f aca="false">'Source Data'!B1499</f>
        <v>Technology: Software</v>
      </c>
      <c r="C1502" s="6" t="n">
        <f aca="false">'Source Data'!C1499</f>
        <v>14</v>
      </c>
      <c r="D1502" s="6" t="n">
        <f aca="false">'Source Data'!E1499</f>
        <v>0</v>
      </c>
      <c r="E1502" s="6" t="n">
        <f aca="false">IFERROR(N(C1502)-N(D1502),"")</f>
        <v>14</v>
      </c>
      <c r="F1502" s="7" t="str">
        <f aca="false">IF(E1502&gt;0,"Yes",IF(E1502&lt;0,"No (Paternity higher)","Equal"))</f>
        <v>Yes</v>
      </c>
    </row>
    <row r="1503" customFormat="false" ht="15" hidden="false" customHeight="false" outlineLevel="0" collapsed="false">
      <c r="A1503" s="5" t="str">
        <f aca="false">'Source Data'!A1500</f>
        <v>Charter Communications</v>
      </c>
      <c r="B1503" s="5" t="str">
        <f aca="false">'Source Data'!B1500</f>
        <v>Telecommunications</v>
      </c>
      <c r="C1503" s="6" t="n">
        <f aca="false">'Source Data'!C1500</f>
        <v>8</v>
      </c>
      <c r="D1503" s="6" t="n">
        <f aca="false">'Source Data'!E1500</f>
        <v>0</v>
      </c>
      <c r="E1503" s="6" t="n">
        <f aca="false">IFERROR(N(C1503)-N(D1503),"")</f>
        <v>8</v>
      </c>
      <c r="F1503" s="7" t="str">
        <f aca="false">IF(E1503&gt;0,"Yes",IF(E1503&lt;0,"No (Paternity higher)","Equal"))</f>
        <v>Yes</v>
      </c>
    </row>
    <row r="1504" customFormat="false" ht="15" hidden="false" customHeight="false" outlineLevel="0" collapsed="false">
      <c r="A1504" s="5" t="str">
        <f aca="false">'Source Data'!A1501</f>
        <v>Asurion</v>
      </c>
      <c r="B1504" s="5" t="str">
        <f aca="false">'Source Data'!B1501</f>
        <v>Telecommunications</v>
      </c>
      <c r="C1504" s="6" t="n">
        <f aca="false">'Source Data'!C1501</f>
        <v>12</v>
      </c>
      <c r="D1504" s="6" t="n">
        <f aca="false">'Source Data'!E1501</f>
        <v>0</v>
      </c>
      <c r="E1504" s="6" t="n">
        <f aca="false">IFERROR(N(C1504)-N(D1504),"")</f>
        <v>12</v>
      </c>
      <c r="F1504" s="7" t="str">
        <f aca="false">IF(E1504&gt;0,"Yes",IF(E1504&lt;0,"No (Paternity higher)","Equal"))</f>
        <v>Yes</v>
      </c>
    </row>
    <row r="1505" customFormat="false" ht="15" hidden="false" customHeight="false" outlineLevel="0" collapsed="false">
      <c r="A1505" s="5" t="str">
        <f aca="false">'Source Data'!A1502</f>
        <v>AT&amp;T</v>
      </c>
      <c r="B1505" s="5" t="str">
        <f aca="false">'Source Data'!B1502</f>
        <v>Telecommunications</v>
      </c>
      <c r="C1505" s="6" t="n">
        <f aca="false">'Source Data'!C1502</f>
        <v>9</v>
      </c>
      <c r="D1505" s="6" t="n">
        <f aca="false">'Source Data'!E1502</f>
        <v>0</v>
      </c>
      <c r="E1505" s="6" t="n">
        <f aca="false">IFERROR(N(C1505)-N(D1505),"")</f>
        <v>9</v>
      </c>
      <c r="F1505" s="7" t="str">
        <f aca="false">IF(E1505&gt;0,"Yes",IF(E1505&lt;0,"No (Paternity higher)","Equal"))</f>
        <v>Yes</v>
      </c>
    </row>
    <row r="1506" customFormat="false" ht="15" hidden="false" customHeight="false" outlineLevel="0" collapsed="false">
      <c r="A1506" s="5" t="str">
        <f aca="false">'Source Data'!A1503</f>
        <v>Ciena</v>
      </c>
      <c r="B1506" s="5" t="str">
        <f aca="false">'Source Data'!B1503</f>
        <v>Telecommunications</v>
      </c>
      <c r="C1506" s="6" t="n">
        <f aca="false">'Source Data'!C1503</f>
        <v>18</v>
      </c>
      <c r="D1506" s="6" t="n">
        <f aca="false">'Source Data'!E1503</f>
        <v>0</v>
      </c>
      <c r="E1506" s="6" t="n">
        <f aca="false">IFERROR(N(C1506)-N(D1506),"")</f>
        <v>18</v>
      </c>
      <c r="F1506" s="7" t="str">
        <f aca="false">IF(E1506&gt;0,"Yes",IF(E1506&lt;0,"No (Paternity higher)","Equal"))</f>
        <v>Yes</v>
      </c>
    </row>
    <row r="1507" customFormat="false" ht="15" hidden="false" customHeight="false" outlineLevel="0" collapsed="false">
      <c r="A1507" s="5" t="str">
        <f aca="false">'Source Data'!A1504</f>
        <v>Comcast</v>
      </c>
      <c r="B1507" s="5" t="str">
        <f aca="false">'Source Data'!B1504</f>
        <v>Telecommunications</v>
      </c>
      <c r="C1507" s="6" t="n">
        <f aca="false">'Source Data'!C1504</f>
        <v>12</v>
      </c>
      <c r="D1507" s="6" t="n">
        <f aca="false">'Source Data'!E1504</f>
        <v>0</v>
      </c>
      <c r="E1507" s="6" t="n">
        <f aca="false">IFERROR(N(C1507)-N(D1507),"")</f>
        <v>12</v>
      </c>
      <c r="F1507" s="7" t="str">
        <f aca="false">IF(E1507&gt;0,"Yes",IF(E1507&lt;0,"No (Paternity higher)","Equal"))</f>
        <v>Yes</v>
      </c>
    </row>
    <row r="1508" customFormat="false" ht="15" hidden="false" customHeight="false" outlineLevel="0" collapsed="false">
      <c r="A1508" s="5" t="str">
        <f aca="false">'Source Data'!A1505</f>
        <v>Cox</v>
      </c>
      <c r="B1508" s="5" t="str">
        <f aca="false">'Source Data'!B1505</f>
        <v>Telecommunications</v>
      </c>
      <c r="C1508" s="6" t="n">
        <f aca="false">'Source Data'!C1505</f>
        <v>8</v>
      </c>
      <c r="D1508" s="6" t="n">
        <f aca="false">'Source Data'!E1505</f>
        <v>0</v>
      </c>
      <c r="E1508" s="6" t="n">
        <f aca="false">IFERROR(N(C1508)-N(D1508),"")</f>
        <v>8</v>
      </c>
      <c r="F1508" s="7" t="str">
        <f aca="false">IF(E1508&gt;0,"Yes",IF(E1508&lt;0,"No (Paternity higher)","Equal"))</f>
        <v>Yes</v>
      </c>
    </row>
    <row r="1509" customFormat="false" ht="15" hidden="false" customHeight="false" outlineLevel="0" collapsed="false">
      <c r="A1509" s="5" t="str">
        <f aca="false">'Source Data'!A1506</f>
        <v>G Fiber</v>
      </c>
      <c r="B1509" s="5" t="str">
        <f aca="false">'Source Data'!B1506</f>
        <v>Telecommunications</v>
      </c>
      <c r="C1509" s="6" t="n">
        <f aca="false">'Source Data'!C1506</f>
        <v>13</v>
      </c>
      <c r="D1509" s="6" t="n">
        <f aca="false">'Source Data'!E1506</f>
        <v>0</v>
      </c>
      <c r="E1509" s="6" t="n">
        <f aca="false">IFERROR(N(C1509)-N(D1509),"")</f>
        <v>13</v>
      </c>
      <c r="F1509" s="7" t="str">
        <f aca="false">IF(E1509&gt;0,"Yes",IF(E1509&lt;0,"No (Paternity higher)","Equal"))</f>
        <v>Yes</v>
      </c>
    </row>
    <row r="1510" customFormat="false" ht="15" hidden="false" customHeight="false" outlineLevel="0" collapsed="false">
      <c r="A1510" s="5" t="str">
        <f aca="false">'Source Data'!A1507</f>
        <v>Hughes Network Systems</v>
      </c>
      <c r="B1510" s="5" t="str">
        <f aca="false">'Source Data'!B1507</f>
        <v>Telecommunications</v>
      </c>
      <c r="C1510" s="6" t="n">
        <f aca="false">'Source Data'!C1507</f>
        <v>16</v>
      </c>
      <c r="D1510" s="6" t="n">
        <f aca="false">'Source Data'!E1507</f>
        <v>0</v>
      </c>
      <c r="E1510" s="6" t="n">
        <f aca="false">IFERROR(N(C1510)-N(D1510),"")</f>
        <v>16</v>
      </c>
      <c r="F1510" s="7" t="str">
        <f aca="false">IF(E1510&gt;0,"Yes",IF(E1510&lt;0,"No (Paternity higher)","Equal"))</f>
        <v>Yes</v>
      </c>
    </row>
    <row r="1511" customFormat="false" ht="15" hidden="false" customHeight="false" outlineLevel="0" collapsed="false">
      <c r="A1511" s="5" t="str">
        <f aca="false">'Source Data'!A1508</f>
        <v>Qualcomm Incorporated</v>
      </c>
      <c r="B1511" s="5" t="str">
        <f aca="false">'Source Data'!B1508</f>
        <v>Telecommunications</v>
      </c>
      <c r="C1511" s="6" t="n">
        <f aca="false">'Source Data'!C1508</f>
        <v>12</v>
      </c>
      <c r="D1511" s="6" t="n">
        <f aca="false">'Source Data'!E1508</f>
        <v>0</v>
      </c>
      <c r="E1511" s="6" t="n">
        <f aca="false">IFERROR(N(C1511)-N(D1511),"")</f>
        <v>12</v>
      </c>
      <c r="F1511" s="7" t="str">
        <f aca="false">IF(E1511&gt;0,"Yes",IF(E1511&lt;0,"No (Paternity higher)","Equal"))</f>
        <v>Yes</v>
      </c>
    </row>
    <row r="1512" customFormat="false" ht="15" hidden="false" customHeight="false" outlineLevel="0" collapsed="false">
      <c r="A1512" s="5" t="str">
        <f aca="false">'Source Data'!A1509</f>
        <v>RingCentral, Inc.</v>
      </c>
      <c r="B1512" s="5" t="str">
        <f aca="false">'Source Data'!B1509</f>
        <v>Telecommunications</v>
      </c>
      <c r="C1512" s="6" t="n">
        <f aca="false">'Source Data'!C1509</f>
        <v>12</v>
      </c>
      <c r="D1512" s="6" t="n">
        <f aca="false">'Source Data'!E1509</f>
        <v>0</v>
      </c>
      <c r="E1512" s="6" t="n">
        <f aca="false">IFERROR(N(C1512)-N(D1512),"")</f>
        <v>12</v>
      </c>
      <c r="F1512" s="7" t="str">
        <f aca="false">IF(E1512&gt;0,"Yes",IF(E1512&lt;0,"No (Paternity higher)","Equal"))</f>
        <v>Yes</v>
      </c>
    </row>
    <row r="1513" customFormat="false" ht="15" hidden="false" customHeight="false" outlineLevel="0" collapsed="false">
      <c r="A1513" s="5" t="str">
        <f aca="false">'Source Data'!A1510</f>
        <v>Telnyx</v>
      </c>
      <c r="B1513" s="5" t="str">
        <f aca="false">'Source Data'!B1510</f>
        <v>Telecommunications</v>
      </c>
      <c r="C1513" s="6" t="n">
        <f aca="false">'Source Data'!C1510</f>
        <v>12</v>
      </c>
      <c r="D1513" s="6" t="n">
        <f aca="false">'Source Data'!E1510</f>
        <v>0</v>
      </c>
      <c r="E1513" s="6" t="n">
        <f aca="false">IFERROR(N(C1513)-N(D1513),"")</f>
        <v>12</v>
      </c>
      <c r="F1513" s="7" t="str">
        <f aca="false">IF(E1513&gt;0,"Yes",IF(E1513&lt;0,"No (Paternity higher)","Equal"))</f>
        <v>Yes</v>
      </c>
    </row>
    <row r="1514" customFormat="false" ht="15" hidden="false" customHeight="false" outlineLevel="0" collapsed="false">
      <c r="A1514" s="5" t="str">
        <f aca="false">'Source Data'!A1511</f>
        <v>Viettel Group</v>
      </c>
      <c r="B1514" s="5" t="str">
        <f aca="false">'Source Data'!B1511</f>
        <v>Telecommunications</v>
      </c>
      <c r="C1514" s="6" t="n">
        <f aca="false">'Source Data'!C1511</f>
        <v>24</v>
      </c>
      <c r="D1514" s="6" t="n">
        <f aca="false">'Source Data'!E1511</f>
        <v>0</v>
      </c>
      <c r="E1514" s="6" t="n">
        <f aca="false">IFERROR(N(C1514)-N(D1514),"")</f>
        <v>24</v>
      </c>
      <c r="F1514" s="7" t="str">
        <f aca="false">IF(E1514&gt;0,"Yes",IF(E1514&lt;0,"No (Paternity higher)","Equal"))</f>
        <v>Yes</v>
      </c>
    </row>
    <row r="1515" customFormat="false" ht="15" hidden="false" customHeight="false" outlineLevel="0" collapsed="false">
      <c r="A1515" s="5" t="str">
        <f aca="false">'Source Data'!A1512</f>
        <v>Zara</v>
      </c>
      <c r="B1515" s="5" t="str">
        <f aca="false">'Source Data'!B1512</f>
        <v>Textiles</v>
      </c>
      <c r="C1515" s="6" t="n">
        <f aca="false">'Source Data'!C1512</f>
        <v>6</v>
      </c>
      <c r="D1515" s="6" t="n">
        <f aca="false">'Source Data'!E1512</f>
        <v>0</v>
      </c>
      <c r="E1515" s="6" t="n">
        <f aca="false">IFERROR(N(C1515)-N(D1515),"")</f>
        <v>6</v>
      </c>
      <c r="F1515" s="7" t="str">
        <f aca="false">IF(E1515&gt;0,"Yes",IF(E1515&lt;0,"No (Paternity higher)","Equal"))</f>
        <v>Yes</v>
      </c>
    </row>
    <row r="1516" customFormat="false" ht="15" hidden="false" customHeight="false" outlineLevel="0" collapsed="false">
      <c r="A1516" s="5" t="str">
        <f aca="false">'Source Data'!A1513</f>
        <v>FlixBus</v>
      </c>
      <c r="B1516" s="5" t="str">
        <f aca="false">'Source Data'!B1513</f>
        <v>Transportation: Bus</v>
      </c>
      <c r="C1516" s="6" t="n">
        <f aca="false">'Source Data'!C1513</f>
        <v>52</v>
      </c>
      <c r="D1516" s="6" t="n">
        <f aca="false">'Source Data'!E1513</f>
        <v>0</v>
      </c>
      <c r="E1516" s="6" t="n">
        <f aca="false">IFERROR(N(C1516)-N(D1516),"")</f>
        <v>52</v>
      </c>
      <c r="F1516" s="7" t="str">
        <f aca="false">IF(E1516&gt;0,"Yes",IF(E1516&lt;0,"No (Paternity higher)","Equal"))</f>
        <v>Yes</v>
      </c>
    </row>
    <row r="1517" customFormat="false" ht="15" hidden="false" customHeight="false" outlineLevel="0" collapsed="false">
      <c r="A1517" s="5" t="str">
        <f aca="false">'Source Data'!A1514</f>
        <v>UPS</v>
      </c>
      <c r="B1517" s="5" t="str">
        <f aca="false">'Source Data'!B1514</f>
        <v>Transportation: Couriers &amp; Delivery</v>
      </c>
      <c r="C1517" s="6" t="n">
        <f aca="false">'Source Data'!C1514</f>
        <v>3</v>
      </c>
      <c r="D1517" s="6" t="n">
        <f aca="false">'Source Data'!E1514</f>
        <v>0</v>
      </c>
      <c r="E1517" s="6" t="n">
        <f aca="false">IFERROR(N(C1517)-N(D1517),"")</f>
        <v>3</v>
      </c>
      <c r="F1517" s="7" t="str">
        <f aca="false">IF(E1517&gt;0,"Yes",IF(E1517&lt;0,"No (Paternity higher)","Equal"))</f>
        <v>Yes</v>
      </c>
    </row>
    <row r="1518" customFormat="false" ht="15" hidden="false" customHeight="false" outlineLevel="0" collapsed="false">
      <c r="A1518" s="5" t="str">
        <f aca="false">'Source Data'!A1515</f>
        <v>CSX Corporation</v>
      </c>
      <c r="B1518" s="5" t="str">
        <f aca="false">'Source Data'!B1515</f>
        <v>Transportation: Freight &amp; Logistics</v>
      </c>
      <c r="C1518" s="6" t="n">
        <f aca="false">'Source Data'!C1515</f>
        <v>16</v>
      </c>
      <c r="D1518" s="6" t="n">
        <f aca="false">'Source Data'!E1515</f>
        <v>0</v>
      </c>
      <c r="E1518" s="6" t="n">
        <f aca="false">IFERROR(N(C1518)-N(D1518),"")</f>
        <v>16</v>
      </c>
      <c r="F1518" s="7" t="str">
        <f aca="false">IF(E1518&gt;0,"Yes",IF(E1518&lt;0,"No (Paternity higher)","Equal"))</f>
        <v>Yes</v>
      </c>
    </row>
    <row r="1519" customFormat="false" ht="15" hidden="false" customHeight="false" outlineLevel="0" collapsed="false">
      <c r="A1519" s="5" t="str">
        <f aca="false">'Source Data'!A1516</f>
        <v>Dematic</v>
      </c>
      <c r="B1519" s="5" t="str">
        <f aca="false">'Source Data'!B1516</f>
        <v>Transportation: Freight &amp; Logistics</v>
      </c>
      <c r="C1519" s="6" t="n">
        <f aca="false">'Source Data'!C1516</f>
        <v>6</v>
      </c>
      <c r="D1519" s="6" t="n">
        <f aca="false">'Source Data'!E1516</f>
        <v>0</v>
      </c>
      <c r="E1519" s="6" t="n">
        <f aca="false">IFERROR(N(C1519)-N(D1519),"")</f>
        <v>6</v>
      </c>
      <c r="F1519" s="7" t="str">
        <f aca="false">IF(E1519&gt;0,"Yes",IF(E1519&lt;0,"No (Paternity higher)","Equal"))</f>
        <v>Yes</v>
      </c>
    </row>
    <row r="1520" customFormat="false" ht="15" hidden="false" customHeight="false" outlineLevel="0" collapsed="false">
      <c r="A1520" s="5" t="str">
        <f aca="false">'Source Data'!A1517</f>
        <v>Echo Global Logistics</v>
      </c>
      <c r="B1520" s="5" t="str">
        <f aca="false">'Source Data'!B1517</f>
        <v>Transportation: Freight &amp; Logistics</v>
      </c>
      <c r="C1520" s="6" t="n">
        <f aca="false">'Source Data'!C1517</f>
        <v>4</v>
      </c>
      <c r="D1520" s="6" t="n">
        <f aca="false">'Source Data'!E1517</f>
        <v>0</v>
      </c>
      <c r="E1520" s="6" t="n">
        <f aca="false">IFERROR(N(C1520)-N(D1520),"")</f>
        <v>4</v>
      </c>
      <c r="F1520" s="7" t="str">
        <f aca="false">IF(E1520&gt;0,"Yes",IF(E1520&lt;0,"No (Paternity higher)","Equal"))</f>
        <v>Yes</v>
      </c>
    </row>
    <row r="1521" customFormat="false" ht="15" hidden="false" customHeight="false" outlineLevel="0" collapsed="false">
      <c r="A1521" s="5" t="str">
        <f aca="false">'Source Data'!A1518</f>
        <v>Redwood Logistics</v>
      </c>
      <c r="B1521" s="5" t="str">
        <f aca="false">'Source Data'!B1518</f>
        <v>Transportation: Freight &amp; Logistics</v>
      </c>
      <c r="C1521" s="6" t="n">
        <f aca="false">'Source Data'!C1518</f>
        <v>4.5</v>
      </c>
      <c r="D1521" s="6" t="n">
        <f aca="false">'Source Data'!E1518</f>
        <v>0</v>
      </c>
      <c r="E1521" s="6" t="n">
        <f aca="false">IFERROR(N(C1521)-N(D1521),"")</f>
        <v>4.5</v>
      </c>
      <c r="F1521" s="7" t="str">
        <f aca="false">IF(E1521&gt;0,"Yes",IF(E1521&lt;0,"No (Paternity higher)","Equal"))</f>
        <v>Yes</v>
      </c>
    </row>
    <row r="1522" customFormat="false" ht="15" hidden="false" customHeight="false" outlineLevel="0" collapsed="false">
      <c r="A1522" s="5" t="str">
        <f aca="false">'Source Data'!A1519</f>
        <v>Transplace</v>
      </c>
      <c r="B1522" s="5" t="str">
        <f aca="false">'Source Data'!B1519</f>
        <v>Transportation: Freight &amp; Logistics</v>
      </c>
      <c r="C1522" s="6" t="n">
        <f aca="false">'Source Data'!C1519</f>
        <v>5</v>
      </c>
      <c r="D1522" s="6" t="n">
        <f aca="false">'Source Data'!E1519</f>
        <v>0</v>
      </c>
      <c r="E1522" s="6" t="n">
        <f aca="false">IFERROR(N(C1522)-N(D1522),"")</f>
        <v>5</v>
      </c>
      <c r="F1522" s="7" t="str">
        <f aca="false">IF(E1522&gt;0,"Yes",IF(E1522&lt;0,"No (Paternity higher)","Equal"))</f>
        <v>Yes</v>
      </c>
    </row>
    <row r="1523" customFormat="false" ht="15" hidden="false" customHeight="false" outlineLevel="0" collapsed="false">
      <c r="A1523" s="5" t="str">
        <f aca="false">'Source Data'!A1520</f>
        <v>UniGroup</v>
      </c>
      <c r="B1523" s="5" t="str">
        <f aca="false">'Source Data'!B1520</f>
        <v>Transportation: Freight &amp; Logistics</v>
      </c>
      <c r="C1523" s="6" t="n">
        <f aca="false">'Source Data'!C1520</f>
        <v>4</v>
      </c>
      <c r="D1523" s="6" t="n">
        <f aca="false">'Source Data'!E1520</f>
        <v>0</v>
      </c>
      <c r="E1523" s="6" t="n">
        <f aca="false">IFERROR(N(C1523)-N(D1523),"")</f>
        <v>4</v>
      </c>
      <c r="F1523" s="7" t="str">
        <f aca="false">IF(E1523&gt;0,"Yes",IF(E1523&lt;0,"No (Paternity higher)","Equal"))</f>
        <v>Yes</v>
      </c>
    </row>
    <row r="1524" customFormat="false" ht="15" hidden="false" customHeight="false" outlineLevel="0" collapsed="false">
      <c r="A1524" s="5" t="str">
        <f aca="false">'Source Data'!A1521</f>
        <v>American Airlines</v>
      </c>
      <c r="B1524" s="5" t="str">
        <f aca="false">'Source Data'!B1521</f>
        <v>Transportation: Passenger Air</v>
      </c>
      <c r="C1524" s="6" t="n">
        <f aca="false">'Source Data'!C1521</f>
        <v>10.5</v>
      </c>
      <c r="D1524" s="6" t="n">
        <f aca="false">'Source Data'!E1521</f>
        <v>0</v>
      </c>
      <c r="E1524" s="6" t="n">
        <f aca="false">IFERROR(N(C1524)-N(D1524),"")</f>
        <v>10.5</v>
      </c>
      <c r="F1524" s="7" t="str">
        <f aca="false">IF(E1524&gt;0,"Yes",IF(E1524&lt;0,"No (Paternity higher)","Equal"))</f>
        <v>Yes</v>
      </c>
    </row>
    <row r="1525" customFormat="false" ht="15" hidden="false" customHeight="false" outlineLevel="0" collapsed="false">
      <c r="A1525" s="5" t="str">
        <f aca="false">'Source Data'!A1522</f>
        <v>Southwest Airlines</v>
      </c>
      <c r="B1525" s="5" t="str">
        <f aca="false">'Source Data'!B1522</f>
        <v>Transportation: Passenger Air</v>
      </c>
      <c r="C1525" s="6" t="n">
        <f aca="false">'Source Data'!C1522</f>
        <v>12</v>
      </c>
      <c r="D1525" s="6" t="n">
        <f aca="false">'Source Data'!E1522</f>
        <v>0</v>
      </c>
      <c r="E1525" s="6" t="n">
        <f aca="false">IFERROR(N(C1525)-N(D1525),"")</f>
        <v>12</v>
      </c>
      <c r="F1525" s="7" t="str">
        <f aca="false">IF(E1525&gt;0,"Yes",IF(E1525&lt;0,"No (Paternity higher)","Equal"))</f>
        <v>Yes</v>
      </c>
    </row>
    <row r="1526" customFormat="false" ht="15" hidden="false" customHeight="false" outlineLevel="0" collapsed="false">
      <c r="A1526" s="5" t="str">
        <f aca="false">'Source Data'!A1523</f>
        <v>United Airlines</v>
      </c>
      <c r="B1526" s="5" t="str">
        <f aca="false">'Source Data'!B1523</f>
        <v>Transportation: Passenger Air</v>
      </c>
      <c r="C1526" s="6" t="n">
        <f aca="false">'Source Data'!C1523</f>
        <v>6</v>
      </c>
      <c r="D1526" s="6" t="n">
        <f aca="false">'Source Data'!E1523</f>
        <v>0</v>
      </c>
      <c r="E1526" s="6" t="n">
        <f aca="false">IFERROR(N(C1526)-N(D1526),"")</f>
        <v>6</v>
      </c>
      <c r="F1526" s="7" t="str">
        <f aca="false">IF(E1526&gt;0,"Yes",IF(E1526&lt;0,"No (Paternity higher)","Equal"))</f>
        <v>Yes</v>
      </c>
    </row>
    <row r="1527" customFormat="false" ht="15" hidden="false" customHeight="false" outlineLevel="0" collapsed="false">
      <c r="A1527" s="5" t="str">
        <f aca="false">'Source Data'!A1524</f>
        <v>Amtrak</v>
      </c>
      <c r="B1527" s="5" t="str">
        <f aca="false">'Source Data'!B1524</f>
        <v>Transportation: Rail</v>
      </c>
      <c r="C1527" s="6" t="n">
        <f aca="false">'Source Data'!C1524</f>
        <v>6</v>
      </c>
      <c r="D1527" s="6" t="n">
        <f aca="false">'Source Data'!E1524</f>
        <v>0</v>
      </c>
      <c r="E1527" s="6" t="n">
        <f aca="false">IFERROR(N(C1527)-N(D1527),"")</f>
        <v>6</v>
      </c>
      <c r="F1527" s="7" t="str">
        <f aca="false">IF(E1527&gt;0,"Yes",IF(E1527&lt;0,"No (Paternity higher)","Equal"))</f>
        <v>Yes</v>
      </c>
    </row>
    <row r="1528" customFormat="false" ht="15" hidden="false" customHeight="false" outlineLevel="0" collapsed="false">
      <c r="A1528" s="5" t="str">
        <f aca="false">'Source Data'!A1525</f>
        <v>BNSF Logistics</v>
      </c>
      <c r="B1528" s="5" t="str">
        <f aca="false">'Source Data'!B1525</f>
        <v>Transportation: Rail</v>
      </c>
      <c r="C1528" s="6" t="n">
        <f aca="false">'Source Data'!C1525</f>
        <v>12</v>
      </c>
      <c r="D1528" s="6" t="n">
        <f aca="false">'Source Data'!E1525</f>
        <v>0</v>
      </c>
      <c r="E1528" s="6" t="n">
        <f aca="false">IFERROR(N(C1528)-N(D1528),"")</f>
        <v>12</v>
      </c>
      <c r="F1528" s="7" t="str">
        <f aca="false">IF(E1528&gt;0,"Yes",IF(E1528&lt;0,"No (Paternity higher)","Equal"))</f>
        <v>Yes</v>
      </c>
    </row>
    <row r="1529" customFormat="false" ht="15" hidden="false" customHeight="false" outlineLevel="0" collapsed="false">
      <c r="A1529" s="5" t="str">
        <f aca="false">'Source Data'!A1526</f>
        <v>Kansas City Southern</v>
      </c>
      <c r="B1529" s="5" t="str">
        <f aca="false">'Source Data'!B1526</f>
        <v>Transportation: Rail</v>
      </c>
      <c r="C1529" s="6" t="n">
        <f aca="false">'Source Data'!C1526</f>
        <v>6</v>
      </c>
      <c r="D1529" s="6" t="n">
        <f aca="false">'Source Data'!E1526</f>
        <v>0</v>
      </c>
      <c r="E1529" s="6" t="n">
        <f aca="false">IFERROR(N(C1529)-N(D1529),"")</f>
        <v>6</v>
      </c>
      <c r="F1529" s="7" t="str">
        <f aca="false">IF(E1529&gt;0,"Yes",IF(E1529&lt;0,"No (Paternity higher)","Equal"))</f>
        <v>Yes</v>
      </c>
    </row>
    <row r="1530" customFormat="false" ht="15" hidden="false" customHeight="false" outlineLevel="0" collapsed="false">
      <c r="A1530" s="5" t="str">
        <f aca="false">'Source Data'!A1527</f>
        <v>Avis Budget Group, Inc.</v>
      </c>
      <c r="B1530" s="5" t="str">
        <f aca="false">'Source Data'!B1527</f>
        <v>Transportation: Rental</v>
      </c>
      <c r="C1530" s="6" t="n">
        <f aca="false">'Source Data'!C1527</f>
        <v>6</v>
      </c>
      <c r="D1530" s="6" t="n">
        <f aca="false">'Source Data'!E1527</f>
        <v>0</v>
      </c>
      <c r="E1530" s="6" t="n">
        <f aca="false">IFERROR(N(C1530)-N(D1530),"")</f>
        <v>6</v>
      </c>
      <c r="F1530" s="7" t="str">
        <f aca="false">IF(E1530&gt;0,"Yes",IF(E1530&lt;0,"No (Paternity higher)","Equal"))</f>
        <v>Yes</v>
      </c>
    </row>
    <row r="1531" customFormat="false" ht="15" hidden="false" customHeight="false" outlineLevel="0" collapsed="false">
      <c r="A1531" s="5" t="str">
        <f aca="false">'Source Data'!A1528</f>
        <v>Enterprise Holdings</v>
      </c>
      <c r="B1531" s="5" t="str">
        <f aca="false">'Source Data'!B1528</f>
        <v>Transportation: Rental</v>
      </c>
      <c r="C1531" s="6" t="n">
        <f aca="false">'Source Data'!C1528</f>
        <v>12</v>
      </c>
      <c r="D1531" s="6" t="n">
        <f aca="false">'Source Data'!E1528</f>
        <v>0</v>
      </c>
      <c r="E1531" s="6" t="n">
        <f aca="false">IFERROR(N(C1531)-N(D1531),"")</f>
        <v>12</v>
      </c>
      <c r="F1531" s="7" t="str">
        <f aca="false">IF(E1531&gt;0,"Yes",IF(E1531&lt;0,"No (Paternity higher)","Equal"))</f>
        <v>Yes</v>
      </c>
    </row>
    <row r="1532" customFormat="false" ht="15" hidden="false" customHeight="false" outlineLevel="0" collapsed="false">
      <c r="A1532" s="5" t="str">
        <f aca="false">'Source Data'!A1529</f>
        <v>Hertz Global Holdings, Inc.</v>
      </c>
      <c r="B1532" s="5" t="str">
        <f aca="false">'Source Data'!B1529</f>
        <v>Transportation: Rental</v>
      </c>
      <c r="C1532" s="6" t="n">
        <f aca="false">'Source Data'!C1529</f>
        <v>12</v>
      </c>
      <c r="D1532" s="6" t="n">
        <f aca="false">'Source Data'!E1529</f>
        <v>0</v>
      </c>
      <c r="E1532" s="6" t="n">
        <f aca="false">IFERROR(N(C1532)-N(D1532),"")</f>
        <v>12</v>
      </c>
      <c r="F1532" s="7" t="str">
        <f aca="false">IF(E1532&gt;0,"Yes",IF(E1532&lt;0,"No (Paternity higher)","Equal"))</f>
        <v>Yes</v>
      </c>
    </row>
    <row r="1533" customFormat="false" ht="15" hidden="false" customHeight="false" outlineLevel="0" collapsed="false">
      <c r="A1533" s="5" t="str">
        <f aca="false">'Source Data'!A1530</f>
        <v>ISO New England</v>
      </c>
      <c r="B1533" s="5" t="str">
        <f aca="false">'Source Data'!B1530</f>
        <v>Utilities</v>
      </c>
      <c r="C1533" s="6" t="n">
        <f aca="false">'Source Data'!C1530</f>
        <v>2</v>
      </c>
      <c r="D1533" s="6" t="n">
        <f aca="false">'Source Data'!E1530</f>
        <v>0</v>
      </c>
      <c r="E1533" s="6" t="n">
        <f aca="false">IFERROR(N(C1533)-N(D1533),"")</f>
        <v>2</v>
      </c>
      <c r="F1533" s="7" t="str">
        <f aca="false">IF(E1533&gt;0,"Yes",IF(E1533&lt;0,"No (Paternity higher)","Equal"))</f>
        <v>Yes</v>
      </c>
    </row>
    <row r="1534" customFormat="false" ht="15" hidden="false" customHeight="false" outlineLevel="0" collapsed="false">
      <c r="A1534" s="5" t="str">
        <f aca="false">'Source Data'!A1531</f>
        <v>Equinox</v>
      </c>
      <c r="B1534" s="5" t="str">
        <f aca="false">'Source Data'!B1531</f>
        <v>Wellness &amp; Fitness</v>
      </c>
      <c r="C1534" s="6" t="n">
        <f aca="false">'Source Data'!C1531</f>
        <v>6</v>
      </c>
      <c r="D1534" s="6" t="n">
        <f aca="false">'Source Data'!E1531</f>
        <v>0</v>
      </c>
      <c r="E1534" s="6" t="n">
        <f aca="false">IFERROR(N(C1534)-N(D1534),"")</f>
        <v>6</v>
      </c>
      <c r="F1534" s="7" t="str">
        <f aca="false">IF(E1534&gt;0,"Yes",IF(E1534&lt;0,"No (Paternity higher)","Equal"))</f>
        <v>Yes</v>
      </c>
    </row>
    <row r="1535" customFormat="false" ht="15" hidden="false" customHeight="false" outlineLevel="0" collapsed="false">
      <c r="A1535" s="5" t="str">
        <f aca="false">'Source Data'!A1532</f>
        <v>THE WELL</v>
      </c>
      <c r="B1535" s="5" t="str">
        <f aca="false">'Source Data'!B1532</f>
        <v>Wellness &amp; Fitness</v>
      </c>
      <c r="C1535" s="6" t="n">
        <f aca="false">'Source Data'!C1532</f>
        <v>12</v>
      </c>
      <c r="D1535" s="6" t="n">
        <f aca="false">'Source Data'!E1532</f>
        <v>0</v>
      </c>
      <c r="E1535" s="6" t="n">
        <f aca="false">IFERROR(N(C1535)-N(D1535),"")</f>
        <v>12</v>
      </c>
      <c r="F1535" s="7" t="str">
        <f aca="false">IF(E1535&gt;0,"Yes",IF(E1535&lt;0,"No (Paternity higher)","Equal"))</f>
        <v>Yes</v>
      </c>
    </row>
    <row r="1536" customFormat="false" ht="15" hidden="false" customHeight="false" outlineLevel="0" collapsed="false">
      <c r="A1536" s="5" t="str">
        <f aca="false">'Source Data'!A1533</f>
        <v>C&amp;S Wholesale Grocers</v>
      </c>
      <c r="B1536" s="5" t="str">
        <f aca="false">'Source Data'!B1533</f>
        <v>Wholesale</v>
      </c>
      <c r="C1536" s="6" t="n">
        <f aca="false">'Source Data'!C1533</f>
        <v>6</v>
      </c>
      <c r="D1536" s="6" t="n">
        <f aca="false">'Source Data'!E1533</f>
        <v>0</v>
      </c>
      <c r="E1536" s="6" t="n">
        <f aca="false">IFERROR(N(C1536)-N(D1536),"")</f>
        <v>6</v>
      </c>
      <c r="F1536" s="7" t="str">
        <f aca="false">IF(E1536&gt;0,"Yes",IF(E1536&lt;0,"No (Paternity higher)","Equal"))</f>
        <v>Yes</v>
      </c>
    </row>
    <row r="1537" customFormat="false" ht="15" hidden="false" customHeight="false" outlineLevel="0" collapsed="false">
      <c r="A1537" s="5" t="str">
        <f aca="false">'Source Data'!A1534</f>
        <v>Martine's Wines</v>
      </c>
      <c r="B1537" s="5" t="str">
        <f aca="false">'Source Data'!B1534</f>
        <v>Wholesale</v>
      </c>
      <c r="C1537" s="6" t="n">
        <f aca="false">'Source Data'!C1534</f>
        <v>6</v>
      </c>
      <c r="D1537" s="6" t="n">
        <f aca="false">'Source Data'!E1534</f>
        <v>0</v>
      </c>
      <c r="E1537" s="6" t="n">
        <f aca="false">IFERROR(N(C1537)-N(D1537),"")</f>
        <v>6</v>
      </c>
      <c r="F1537" s="7" t="str">
        <f aca="false">IF(E1537&gt;0,"Yes",IF(E1537&lt;0,"No (Paternity higher)","Equal"))</f>
        <v>Yes</v>
      </c>
    </row>
    <row r="1538" customFormat="false" ht="15" hidden="false" customHeight="false" outlineLevel="0" collapsed="false">
      <c r="A1538" s="5" t="str">
        <f aca="false">'Source Data'!A1535</f>
        <v>Sonepar</v>
      </c>
      <c r="B1538" s="5" t="str">
        <f aca="false">'Source Data'!B1535</f>
        <v>Wholesale</v>
      </c>
      <c r="C1538" s="6" t="n">
        <f aca="false">'Source Data'!C1535</f>
        <v>8</v>
      </c>
      <c r="D1538" s="6" t="n">
        <f aca="false">'Source Data'!E1535</f>
        <v>0</v>
      </c>
      <c r="E1538" s="6" t="n">
        <f aca="false">IFERROR(N(C1538)-N(D1538),"")</f>
        <v>8</v>
      </c>
      <c r="F1538" s="7" t="str">
        <f aca="false">IF(E1538&gt;0,"Yes",IF(E1538&lt;0,"No (Paternity higher)","Equal"))</f>
        <v>Yes</v>
      </c>
    </row>
    <row r="1539" customFormat="false" ht="15" hidden="false" customHeight="false" outlineLevel="0" collapsed="false">
      <c r="A1539" s="5" t="str">
        <f aca="false">'Source Data'!A1536</f>
        <v>Sonepar USA</v>
      </c>
      <c r="B1539" s="5" t="str">
        <f aca="false">'Source Data'!B1536</f>
        <v>Wholesale</v>
      </c>
      <c r="C1539" s="6" t="n">
        <f aca="false">'Source Data'!C1536</f>
        <v>6</v>
      </c>
      <c r="D1539" s="6" t="n">
        <f aca="false">'Source Data'!E1536</f>
        <v>0</v>
      </c>
      <c r="E1539" s="6" t="n">
        <f aca="false">IFERROR(N(C1539)-N(D1539),"")</f>
        <v>6</v>
      </c>
      <c r="F1539" s="7" t="str">
        <f aca="false">IF(E1539&gt;0,"Yes",IF(E1539&lt;0,"No (Paternity higher)","Equal"))</f>
        <v>Yes</v>
      </c>
    </row>
    <row r="1540" customFormat="false" ht="15" hidden="false" customHeight="false" outlineLevel="0" collapsed="false">
      <c r="A1540" s="5" t="str">
        <f aca="false">'Source Data'!A1537</f>
        <v>Worldwide Produce</v>
      </c>
      <c r="B1540" s="5" t="str">
        <f aca="false">'Source Data'!B1537</f>
        <v>Wholesale</v>
      </c>
      <c r="C1540" s="6" t="n">
        <f aca="false">'Source Data'!C1537</f>
        <v>6</v>
      </c>
      <c r="D1540" s="6" t="n">
        <f aca="false">'Source Data'!E1537</f>
        <v>0</v>
      </c>
      <c r="E1540" s="6" t="n">
        <f aca="false">IFERROR(N(C1540)-N(D1540),"")</f>
        <v>6</v>
      </c>
      <c r="F1540" s="7" t="str">
        <f aca="false">IF(E1540&gt;0,"Yes",IF(E1540&lt;0,"No (Paternity higher)","Equal"))</f>
        <v>Yes</v>
      </c>
    </row>
    <row r="1541" customFormat="false" ht="15" hidden="false" customHeight="false" outlineLevel="0" collapsed="false">
      <c r="A1541" s="5" t="str">
        <f aca="false">'Source Data'!A1538</f>
        <v>Daggerwing Group Inc.</v>
      </c>
      <c r="B1541" s="5" t="str">
        <f aca="false">'Source Data'!B1538</f>
        <v>Advertising</v>
      </c>
      <c r="C1541" s="6" t="n">
        <f aca="false">'Source Data'!C1538</f>
        <v>1</v>
      </c>
      <c r="D1541" s="6" t="n">
        <f aca="false">'Source Data'!E1538</f>
        <v>0</v>
      </c>
      <c r="E1541" s="6" t="n">
        <f aca="false">IFERROR(N(C1541)-N(D1541),"")</f>
        <v>1</v>
      </c>
      <c r="F1541" s="7" t="str">
        <f aca="false">IF(E1541&gt;0,"Yes",IF(E1541&lt;0,"No (Paternity higher)","Equal"))</f>
        <v>Yes</v>
      </c>
    </row>
    <row r="1542" customFormat="false" ht="15" hidden="false" customHeight="false" outlineLevel="0" collapsed="false">
      <c r="A1542" s="5" t="str">
        <f aca="false">'Source Data'!A1539</f>
        <v>KBS</v>
      </c>
      <c r="B1542" s="5" t="str">
        <f aca="false">'Source Data'!B1539</f>
        <v>Advertising</v>
      </c>
      <c r="C1542" s="6" t="n">
        <f aca="false">'Source Data'!C1539</f>
        <v>2</v>
      </c>
      <c r="D1542" s="6" t="n">
        <f aca="false">'Source Data'!E1539</f>
        <v>0</v>
      </c>
      <c r="E1542" s="6" t="n">
        <f aca="false">IFERROR(N(C1542)-N(D1542),"")</f>
        <v>2</v>
      </c>
      <c r="F1542" s="7" t="str">
        <f aca="false">IF(E1542&gt;0,"Yes",IF(E1542&lt;0,"No (Paternity higher)","Equal"))</f>
        <v>Yes</v>
      </c>
    </row>
    <row r="1543" customFormat="false" ht="15" hidden="false" customHeight="false" outlineLevel="0" collapsed="false">
      <c r="A1543" s="5" t="str">
        <f aca="false">'Source Data'!A1540</f>
        <v>Wilson Dow Group</v>
      </c>
      <c r="B1543" s="5" t="str">
        <f aca="false">'Source Data'!B1540</f>
        <v>Advertising</v>
      </c>
      <c r="C1543" s="6" t="n">
        <f aca="false">'Source Data'!C1540</f>
        <v>1</v>
      </c>
      <c r="D1543" s="6" t="n">
        <f aca="false">'Source Data'!E1540</f>
        <v>0</v>
      </c>
      <c r="E1543" s="6" t="n">
        <f aca="false">IFERROR(N(C1543)-N(D1543),"")</f>
        <v>1</v>
      </c>
      <c r="F1543" s="7" t="str">
        <f aca="false">IF(E1543&gt;0,"Yes",IF(E1543&lt;0,"No (Paternity higher)","Equal"))</f>
        <v>Yes</v>
      </c>
    </row>
    <row r="1544" customFormat="false" ht="15" hidden="false" customHeight="false" outlineLevel="0" collapsed="false">
      <c r="A1544" s="5" t="str">
        <f aca="false">'Source Data'!A1541</f>
        <v>Compass Group PLC</v>
      </c>
      <c r="B1544" s="5" t="str">
        <f aca="false">'Source Data'!B1541</f>
        <v>Business Services: Food &amp; Hospitality</v>
      </c>
      <c r="C1544" s="6" t="n">
        <f aca="false">'Source Data'!C1541</f>
        <v>0</v>
      </c>
      <c r="D1544" s="6" t="n">
        <f aca="false">'Source Data'!E1541</f>
        <v>0</v>
      </c>
      <c r="E1544" s="6" t="n">
        <f aca="false">IFERROR(N(C1544)-N(D1544),"")</f>
        <v>0</v>
      </c>
      <c r="F1544" s="7" t="str">
        <f aca="false">IF(E1544&gt;0,"Yes",IF(E1544&lt;0,"No (Paternity higher)","Equal"))</f>
        <v>Equal</v>
      </c>
    </row>
    <row r="1545" customFormat="false" ht="15" hidden="false" customHeight="false" outlineLevel="0" collapsed="false">
      <c r="A1545" s="5" t="str">
        <f aca="false">'Source Data'!A1542</f>
        <v>Hays PLC</v>
      </c>
      <c r="B1545" s="5" t="str">
        <f aca="false">'Source Data'!B1542</f>
        <v>Business Services: Staffing &amp; Outsourcing</v>
      </c>
      <c r="C1545" s="6" t="n">
        <f aca="false">'Source Data'!C1542</f>
        <v>2</v>
      </c>
      <c r="D1545" s="6" t="n">
        <f aca="false">'Source Data'!E1542</f>
        <v>0</v>
      </c>
      <c r="E1545" s="6" t="n">
        <f aca="false">IFERROR(N(C1545)-N(D1545),"")</f>
        <v>2</v>
      </c>
      <c r="F1545" s="7" t="str">
        <f aca="false">IF(E1545&gt;0,"Yes",IF(E1545&lt;0,"No (Paternity higher)","Equal"))</f>
        <v>Yes</v>
      </c>
    </row>
    <row r="1546" customFormat="false" ht="15" hidden="false" customHeight="false" outlineLevel="0" collapsed="false">
      <c r="A1546" s="5" t="str">
        <f aca="false">'Source Data'!A1543</f>
        <v>S.i. Systems</v>
      </c>
      <c r="B1546" s="5" t="str">
        <f aca="false">'Source Data'!B1543</f>
        <v>Business Services: Staffing &amp; Outsourcing</v>
      </c>
      <c r="C1546" s="6" t="n">
        <f aca="false">'Source Data'!C1543</f>
        <v>0</v>
      </c>
      <c r="D1546" s="6" t="n">
        <f aca="false">'Source Data'!E1543</f>
        <v>0</v>
      </c>
      <c r="E1546" s="6" t="n">
        <f aca="false">IFERROR(N(C1546)-N(D1546),"")</f>
        <v>0</v>
      </c>
      <c r="F1546" s="7" t="str">
        <f aca="false">IF(E1546&gt;0,"Yes",IF(E1546&lt;0,"No (Paternity higher)","Equal"))</f>
        <v>Equal</v>
      </c>
    </row>
    <row r="1547" customFormat="false" ht="15" hidden="false" customHeight="false" outlineLevel="0" collapsed="false">
      <c r="A1547" s="5" t="str">
        <f aca="false">'Source Data'!A1544</f>
        <v>Vectrus</v>
      </c>
      <c r="B1547" s="5" t="str">
        <f aca="false">'Source Data'!B1544</f>
        <v>Conglomerate</v>
      </c>
      <c r="C1547" s="6" t="n">
        <f aca="false">'Source Data'!C1544</f>
        <v>40</v>
      </c>
      <c r="D1547" s="6" t="n">
        <f aca="false">'Source Data'!E1544</f>
        <v>0</v>
      </c>
      <c r="E1547" s="6" t="n">
        <f aca="false">IFERROR(N(C1547)-N(D1547),"")</f>
        <v>40</v>
      </c>
      <c r="F1547" s="7" t="str">
        <f aca="false">IF(E1547&gt;0,"Yes",IF(E1547&lt;0,"No (Paternity higher)","Equal"))</f>
        <v>Yes</v>
      </c>
    </row>
    <row r="1548" customFormat="false" ht="15" hidden="false" customHeight="false" outlineLevel="0" collapsed="false">
      <c r="A1548" s="5" t="str">
        <f aca="false">'Source Data'!A1545</f>
        <v>Scentsy</v>
      </c>
      <c r="B1548" s="5" t="str">
        <f aca="false">'Source Data'!B1545</f>
        <v>Consumer Packaged Goods: Packaged Products</v>
      </c>
      <c r="C1548" s="6" t="n">
        <f aca="false">'Source Data'!C1545</f>
        <v>52</v>
      </c>
      <c r="D1548" s="6" t="n">
        <f aca="false">'Source Data'!E1545</f>
        <v>0</v>
      </c>
      <c r="E1548" s="6" t="n">
        <f aca="false">IFERROR(N(C1548)-N(D1548),"")</f>
        <v>52</v>
      </c>
      <c r="F1548" s="7" t="str">
        <f aca="false">IF(E1548&gt;0,"Yes",IF(E1548&lt;0,"No (Paternity higher)","Equal"))</f>
        <v>Yes</v>
      </c>
    </row>
    <row r="1549" customFormat="false" ht="15" hidden="false" customHeight="false" outlineLevel="0" collapsed="false">
      <c r="A1549" s="5" t="str">
        <f aca="false">'Source Data'!A1546</f>
        <v>Yankee Candle</v>
      </c>
      <c r="B1549" s="5" t="str">
        <f aca="false">'Source Data'!B1546</f>
        <v>Consumer Packaged Goods: Packaged Products</v>
      </c>
      <c r="C1549" s="6" t="n">
        <f aca="false">'Source Data'!C1546</f>
        <v>12</v>
      </c>
      <c r="D1549" s="6" t="n">
        <f aca="false">'Source Data'!E1546</f>
        <v>0</v>
      </c>
      <c r="E1549" s="6" t="n">
        <f aca="false">IFERROR(N(C1549)-N(D1549),"")</f>
        <v>12</v>
      </c>
      <c r="F1549" s="7" t="str">
        <f aca="false">IF(E1549&gt;0,"Yes",IF(E1549&lt;0,"No (Paternity higher)","Equal"))</f>
        <v>Yes</v>
      </c>
    </row>
    <row r="1550" customFormat="false" ht="15" hidden="false" customHeight="false" outlineLevel="0" collapsed="false">
      <c r="A1550" s="5" t="str">
        <f aca="false">'Source Data'!A1547</f>
        <v>Weill Cornell Medicine</v>
      </c>
      <c r="B1550" s="5" t="str">
        <f aca="false">'Source Data'!B1547</f>
        <v>Educational Services: College &amp; Universities</v>
      </c>
      <c r="C1550" s="6" t="n">
        <f aca="false">'Source Data'!C1547</f>
        <v>12.5</v>
      </c>
      <c r="D1550" s="6" t="n">
        <f aca="false">'Source Data'!E1547</f>
        <v>0</v>
      </c>
      <c r="E1550" s="6" t="n">
        <f aca="false">IFERROR(N(C1550)-N(D1550),"")</f>
        <v>12.5</v>
      </c>
      <c r="F1550" s="7" t="str">
        <f aca="false">IF(E1550&gt;0,"Yes",IF(E1550&lt;0,"No (Paternity higher)","Equal"))</f>
        <v>Yes</v>
      </c>
    </row>
    <row r="1551" customFormat="false" ht="15" hidden="false" customHeight="false" outlineLevel="0" collapsed="false">
      <c r="A1551" s="5" t="str">
        <f aca="false">'Source Data'!A1548</f>
        <v>Round Rock ISD</v>
      </c>
      <c r="B1551" s="5" t="str">
        <f aca="false">'Source Data'!B1548</f>
        <v>Educational Services: Management</v>
      </c>
      <c r="C1551" s="6" t="n">
        <f aca="false">'Source Data'!C1548</f>
        <v>0</v>
      </c>
      <c r="D1551" s="6" t="n">
        <f aca="false">'Source Data'!E1548</f>
        <v>0</v>
      </c>
      <c r="E1551" s="6" t="n">
        <f aca="false">IFERROR(N(C1551)-N(D1551),"")</f>
        <v>0</v>
      </c>
      <c r="F1551" s="7" t="str">
        <f aca="false">IF(E1551&gt;0,"Yes",IF(E1551&lt;0,"No (Paternity higher)","Equal"))</f>
        <v>Equal</v>
      </c>
    </row>
    <row r="1552" customFormat="false" ht="15" hidden="false" customHeight="false" outlineLevel="0" collapsed="false">
      <c r="A1552" s="5" t="str">
        <f aca="false">'Source Data'!A1549</f>
        <v>Austin Independent School District</v>
      </c>
      <c r="B1552" s="5" t="str">
        <f aca="false">'Source Data'!B1549</f>
        <v>Educational Services: School</v>
      </c>
      <c r="C1552" s="6" t="n">
        <f aca="false">'Source Data'!C1549</f>
        <v>1</v>
      </c>
      <c r="D1552" s="6" t="n">
        <f aca="false">'Source Data'!E1549</f>
        <v>0</v>
      </c>
      <c r="E1552" s="6" t="n">
        <f aca="false">IFERROR(N(C1552)-N(D1552),"")</f>
        <v>1</v>
      </c>
      <c r="F1552" s="7" t="str">
        <f aca="false">IF(E1552&gt;0,"Yes",IF(E1552&lt;0,"No (Paternity higher)","Equal"))</f>
        <v>Yes</v>
      </c>
    </row>
    <row r="1553" customFormat="false" ht="15" hidden="false" customHeight="false" outlineLevel="0" collapsed="false">
      <c r="A1553" s="5" t="str">
        <f aca="false">'Source Data'!A1550</f>
        <v>Bain Capital</v>
      </c>
      <c r="B1553" s="5" t="str">
        <f aca="false">'Source Data'!B1550</f>
        <v>Finance: Asset Management</v>
      </c>
      <c r="C1553" s="6" t="n">
        <f aca="false">'Source Data'!C1550</f>
        <v>16</v>
      </c>
      <c r="D1553" s="6" t="n">
        <f aca="false">'Source Data'!E1550</f>
        <v>0</v>
      </c>
      <c r="E1553" s="6" t="n">
        <f aca="false">IFERROR(N(C1553)-N(D1553),"")</f>
        <v>16</v>
      </c>
      <c r="F1553" s="7" t="str">
        <f aca="false">IF(E1553&gt;0,"Yes",IF(E1553&lt;0,"No (Paternity higher)","Equal"))</f>
        <v>Yes</v>
      </c>
    </row>
    <row r="1554" customFormat="false" ht="15" hidden="false" customHeight="false" outlineLevel="0" collapsed="false">
      <c r="A1554" s="5" t="str">
        <f aca="false">'Source Data'!A1551</f>
        <v>KKR &amp; Co. LP</v>
      </c>
      <c r="B1554" s="5" t="str">
        <f aca="false">'Source Data'!B1551</f>
        <v>Finance: Asset Management</v>
      </c>
      <c r="C1554" s="6" t="n">
        <f aca="false">'Source Data'!C1551</f>
        <v>16</v>
      </c>
      <c r="D1554" s="6" t="n">
        <f aca="false">'Source Data'!E1551</f>
        <v>0</v>
      </c>
      <c r="E1554" s="6" t="n">
        <f aca="false">IFERROR(N(C1554)-N(D1554),"")</f>
        <v>16</v>
      </c>
      <c r="F1554" s="7" t="str">
        <f aca="false">IF(E1554&gt;0,"Yes",IF(E1554&lt;0,"No (Paternity higher)","Equal"))</f>
        <v>Yes</v>
      </c>
    </row>
    <row r="1555" customFormat="false" ht="15" hidden="false" customHeight="false" outlineLevel="0" collapsed="false">
      <c r="A1555" s="5" t="str">
        <f aca="false">'Source Data'!A1552</f>
        <v>Nationwide Building Society</v>
      </c>
      <c r="B1555" s="5" t="str">
        <f aca="false">'Source Data'!B1552</f>
        <v>Finance: Diversified</v>
      </c>
      <c r="C1555" s="6" t="n">
        <f aca="false">'Source Data'!C1552</f>
        <v>26</v>
      </c>
      <c r="D1555" s="6" t="n">
        <f aca="false">'Source Data'!E1552</f>
        <v>0</v>
      </c>
      <c r="E1555" s="6" t="n">
        <f aca="false">IFERROR(N(C1555)-N(D1555),"")</f>
        <v>26</v>
      </c>
      <c r="F1555" s="7" t="str">
        <f aca="false">IF(E1555&gt;0,"Yes",IF(E1555&lt;0,"No (Paternity higher)","Equal"))</f>
        <v>Yes</v>
      </c>
    </row>
    <row r="1556" customFormat="false" ht="15" hidden="false" customHeight="false" outlineLevel="0" collapsed="false">
      <c r="A1556" s="5" t="str">
        <f aca="false">'Source Data'!A1553</f>
        <v>Carbon Health</v>
      </c>
      <c r="B1556" s="5" t="str">
        <f aca="false">'Source Data'!B1553</f>
        <v>Healthcare: Hospitals &amp; Clinics</v>
      </c>
      <c r="C1556" s="6" t="n">
        <f aca="false">'Source Data'!C1553</f>
        <v>12</v>
      </c>
      <c r="D1556" s="6" t="n">
        <f aca="false">'Source Data'!E1553</f>
        <v>0</v>
      </c>
      <c r="E1556" s="6" t="n">
        <f aca="false">IFERROR(N(C1556)-N(D1556),"")</f>
        <v>12</v>
      </c>
      <c r="F1556" s="7" t="str">
        <f aca="false">IF(E1556&gt;0,"Yes",IF(E1556&lt;0,"No (Paternity higher)","Equal"))</f>
        <v>Yes</v>
      </c>
    </row>
    <row r="1557" customFormat="false" ht="15" hidden="false" customHeight="false" outlineLevel="0" collapsed="false">
      <c r="A1557" s="5" t="str">
        <f aca="false">'Source Data'!A1554</f>
        <v>Nemours</v>
      </c>
      <c r="B1557" s="5" t="str">
        <f aca="false">'Source Data'!B1554</f>
        <v>Healthcare: Hospitals &amp; Clinics</v>
      </c>
      <c r="C1557" s="6" t="n">
        <f aca="false">'Source Data'!C1554</f>
        <v>0</v>
      </c>
      <c r="D1557" s="6" t="n">
        <f aca="false">'Source Data'!E1554</f>
        <v>0</v>
      </c>
      <c r="E1557" s="6" t="n">
        <f aca="false">IFERROR(N(C1557)-N(D1557),"")</f>
        <v>0</v>
      </c>
      <c r="F1557" s="7" t="str">
        <f aca="false">IF(E1557&gt;0,"Yes",IF(E1557&lt;0,"No (Paternity higher)","Equal"))</f>
        <v>Equal</v>
      </c>
    </row>
    <row r="1558" customFormat="false" ht="15" hidden="false" customHeight="false" outlineLevel="0" collapsed="false">
      <c r="A1558" s="5" t="str">
        <f aca="false">'Source Data'!A1555</f>
        <v>ProMedica</v>
      </c>
      <c r="B1558" s="5" t="str">
        <f aca="false">'Source Data'!B1555</f>
        <v>Healthcare: Hospitals &amp; Clinics</v>
      </c>
      <c r="C1558" s="6" t="n">
        <f aca="false">'Source Data'!C1555</f>
        <v>0</v>
      </c>
      <c r="D1558" s="6" t="n">
        <f aca="false">'Source Data'!E1555</f>
        <v>0</v>
      </c>
      <c r="E1558" s="6" t="n">
        <f aca="false">IFERROR(N(C1558)-N(D1558),"")</f>
        <v>0</v>
      </c>
      <c r="F1558" s="7" t="str">
        <f aca="false">IF(E1558&gt;0,"Yes",IF(E1558&lt;0,"No (Paternity higher)","Equal"))</f>
        <v>Equal</v>
      </c>
    </row>
    <row r="1559" customFormat="false" ht="15" hidden="false" customHeight="false" outlineLevel="0" collapsed="false">
      <c r="A1559" s="5" t="str">
        <f aca="false">'Source Data'!A1556</f>
        <v>Trinity Health System</v>
      </c>
      <c r="B1559" s="5" t="str">
        <f aca="false">'Source Data'!B1556</f>
        <v>Healthcare: Hospitals &amp; Clinics</v>
      </c>
      <c r="C1559" s="6" t="n">
        <f aca="false">'Source Data'!C1556</f>
        <v>2</v>
      </c>
      <c r="D1559" s="6" t="n">
        <f aca="false">'Source Data'!E1556</f>
        <v>0</v>
      </c>
      <c r="E1559" s="6" t="n">
        <f aca="false">IFERROR(N(C1559)-N(D1559),"")</f>
        <v>2</v>
      </c>
      <c r="F1559" s="7" t="str">
        <f aca="false">IF(E1559&gt;0,"Yes",IF(E1559&lt;0,"No (Paternity higher)","Equal"))</f>
        <v>Yes</v>
      </c>
    </row>
    <row r="1560" customFormat="false" ht="15" hidden="false" customHeight="false" outlineLevel="0" collapsed="false">
      <c r="A1560" s="5" t="str">
        <f aca="false">'Source Data'!A1557</f>
        <v>University Hospitals</v>
      </c>
      <c r="B1560" s="5" t="str">
        <f aca="false">'Source Data'!B1557</f>
        <v>Healthcare: Hospitals &amp; Clinics</v>
      </c>
      <c r="C1560" s="6" t="n">
        <f aca="false">'Source Data'!C1557</f>
        <v>0</v>
      </c>
      <c r="D1560" s="6" t="n">
        <f aca="false">'Source Data'!E1557</f>
        <v>0</v>
      </c>
      <c r="E1560" s="6" t="n">
        <f aca="false">IFERROR(N(C1560)-N(D1560),"")</f>
        <v>0</v>
      </c>
      <c r="F1560" s="7" t="str">
        <f aca="false">IF(E1560&gt;0,"Yes",IF(E1560&lt;0,"No (Paternity higher)","Equal"))</f>
        <v>Equal</v>
      </c>
    </row>
    <row r="1561" customFormat="false" ht="15" hidden="false" customHeight="false" outlineLevel="0" collapsed="false">
      <c r="A1561" s="5" t="str">
        <f aca="false">'Source Data'!A1558</f>
        <v>NxStage Medical, Inc.</v>
      </c>
      <c r="B1561" s="5" t="str">
        <f aca="false">'Source Data'!B1558</f>
        <v>Healthcare: Medical Devices</v>
      </c>
      <c r="C1561" s="6" t="n">
        <f aca="false">'Source Data'!C1558</f>
        <v>0</v>
      </c>
      <c r="D1561" s="6" t="n">
        <f aca="false">'Source Data'!E1558</f>
        <v>0</v>
      </c>
      <c r="E1561" s="6" t="n">
        <f aca="false">IFERROR(N(C1561)-N(D1561),"")</f>
        <v>0</v>
      </c>
      <c r="F1561" s="7" t="str">
        <f aca="false">IF(E1561&gt;0,"Yes",IF(E1561&lt;0,"No (Paternity higher)","Equal"))</f>
        <v>Equal</v>
      </c>
    </row>
    <row r="1562" customFormat="false" ht="15" hidden="false" customHeight="false" outlineLevel="0" collapsed="false">
      <c r="A1562" s="5" t="str">
        <f aca="false">'Source Data'!A1559</f>
        <v>Intercontinental Hotels Group</v>
      </c>
      <c r="B1562" s="5" t="str">
        <f aca="false">'Source Data'!B1559</f>
        <v>Hospitality: Hotels</v>
      </c>
      <c r="C1562" s="6" t="n">
        <f aca="false">'Source Data'!C1559</f>
        <v>50</v>
      </c>
      <c r="D1562" s="6" t="n">
        <f aca="false">'Source Data'!E1559</f>
        <v>0</v>
      </c>
      <c r="E1562" s="6" t="n">
        <f aca="false">IFERROR(N(C1562)-N(D1562),"")</f>
        <v>50</v>
      </c>
      <c r="F1562" s="7" t="str">
        <f aca="false">IF(E1562&gt;0,"Yes",IF(E1562&lt;0,"No (Paternity higher)","Equal"))</f>
        <v>Yes</v>
      </c>
    </row>
    <row r="1563" customFormat="false" ht="15" hidden="false" customHeight="false" outlineLevel="0" collapsed="false">
      <c r="A1563" s="5" t="str">
        <f aca="false">'Source Data'!A1560</f>
        <v>Waffle House</v>
      </c>
      <c r="B1563" s="5" t="str">
        <f aca="false">'Source Data'!B1560</f>
        <v>Hospitality: Restaurants</v>
      </c>
      <c r="C1563" s="6" t="n">
        <f aca="false">'Source Data'!C1560</f>
        <v>6</v>
      </c>
      <c r="D1563" s="6" t="n">
        <f aca="false">'Source Data'!E1560</f>
        <v>0</v>
      </c>
      <c r="E1563" s="6" t="n">
        <f aca="false">IFERROR(N(C1563)-N(D1563),"")</f>
        <v>6</v>
      </c>
      <c r="F1563" s="7" t="str">
        <f aca="false">IF(E1563&gt;0,"Yes",IF(E1563&lt;0,"No (Paternity higher)","Equal"))</f>
        <v>Yes</v>
      </c>
    </row>
    <row r="1564" customFormat="false" ht="15" hidden="false" customHeight="false" outlineLevel="0" collapsed="false">
      <c r="A1564" s="5" t="str">
        <f aca="false">'Source Data'!A1561</f>
        <v>Whataburger</v>
      </c>
      <c r="B1564" s="5" t="str">
        <f aca="false">'Source Data'!B1561</f>
        <v>Hospitality: Restaurants</v>
      </c>
      <c r="C1564" s="6" t="n">
        <f aca="false">'Source Data'!C1561</f>
        <v>40</v>
      </c>
      <c r="D1564" s="6" t="n">
        <f aca="false">'Source Data'!E1561</f>
        <v>0</v>
      </c>
      <c r="E1564" s="6" t="n">
        <f aca="false">IFERROR(N(C1564)-N(D1564),"")</f>
        <v>40</v>
      </c>
      <c r="F1564" s="7" t="str">
        <f aca="false">IF(E1564&gt;0,"Yes",IF(E1564&lt;0,"No (Paternity higher)","Equal"))</f>
        <v>Yes</v>
      </c>
    </row>
    <row r="1565" customFormat="false" ht="15" hidden="false" customHeight="false" outlineLevel="0" collapsed="false">
      <c r="A1565" s="5" t="str">
        <f aca="false">'Source Data'!A1562</f>
        <v>Pella Windows and Doors</v>
      </c>
      <c r="B1565" s="5" t="str">
        <f aca="false">'Source Data'!B1562</f>
        <v>Industrial: Building Materials Manufacturing</v>
      </c>
      <c r="C1565" s="6" t="n">
        <f aca="false">'Source Data'!C1562</f>
        <v>12</v>
      </c>
      <c r="D1565" s="6" t="n">
        <f aca="false">'Source Data'!E1562</f>
        <v>0</v>
      </c>
      <c r="E1565" s="6" t="n">
        <f aca="false">IFERROR(N(C1565)-N(D1565),"")</f>
        <v>12</v>
      </c>
      <c r="F1565" s="7" t="str">
        <f aca="false">IF(E1565&gt;0,"Yes",IF(E1565&lt;0,"No (Paternity higher)","Equal"))</f>
        <v>Yes</v>
      </c>
    </row>
    <row r="1566" customFormat="false" ht="15" hidden="false" customHeight="false" outlineLevel="0" collapsed="false">
      <c r="A1566" s="5" t="str">
        <f aca="false">'Source Data'!A1563</f>
        <v>American Bridge Company</v>
      </c>
      <c r="B1566" s="5" t="str">
        <f aca="false">'Source Data'!B1563</f>
        <v>Industrial: Construction Company</v>
      </c>
      <c r="C1566" s="6" t="n">
        <f aca="false">'Source Data'!C1563</f>
        <v>0</v>
      </c>
      <c r="D1566" s="6" t="n">
        <f aca="false">'Source Data'!E1563</f>
        <v>0</v>
      </c>
      <c r="E1566" s="6" t="n">
        <f aca="false">IFERROR(N(C1566)-N(D1566),"")</f>
        <v>0</v>
      </c>
      <c r="F1566" s="7" t="str">
        <f aca="false">IF(E1566&gt;0,"Yes",IF(E1566&lt;0,"No (Paternity higher)","Equal"))</f>
        <v>Equal</v>
      </c>
    </row>
    <row r="1567" customFormat="false" ht="15" hidden="false" customHeight="false" outlineLevel="0" collapsed="false">
      <c r="A1567" s="5" t="str">
        <f aca="false">'Source Data'!A1564</f>
        <v>Black &amp; Veatch</v>
      </c>
      <c r="B1567" s="5" t="str">
        <f aca="false">'Source Data'!B1564</f>
        <v>Industrial: Construction Company</v>
      </c>
      <c r="C1567" s="6" t="n">
        <f aca="false">'Source Data'!C1564</f>
        <v>12</v>
      </c>
      <c r="D1567" s="6" t="n">
        <f aca="false">'Source Data'!E1564</f>
        <v>0</v>
      </c>
      <c r="E1567" s="6" t="n">
        <f aca="false">IFERROR(N(C1567)-N(D1567),"")</f>
        <v>12</v>
      </c>
      <c r="F1567" s="7" t="str">
        <f aca="false">IF(E1567&gt;0,"Yes",IF(E1567&lt;0,"No (Paternity higher)","Equal"))</f>
        <v>Yes</v>
      </c>
    </row>
    <row r="1568" customFormat="false" ht="15" hidden="false" customHeight="false" outlineLevel="0" collapsed="false">
      <c r="A1568" s="5" t="str">
        <f aca="false">'Source Data'!A1565</f>
        <v>Bhel</v>
      </c>
      <c r="B1568" s="5" t="str">
        <f aca="false">'Source Data'!B1565</f>
        <v>Industrial: Equipment Manufacturing</v>
      </c>
      <c r="C1568" s="6" t="n">
        <f aca="false">'Source Data'!C1565</f>
        <v>50</v>
      </c>
      <c r="D1568" s="6" t="n">
        <f aca="false">'Source Data'!E1565</f>
        <v>0</v>
      </c>
      <c r="E1568" s="6" t="n">
        <f aca="false">IFERROR(N(C1568)-N(D1568),"")</f>
        <v>50</v>
      </c>
      <c r="F1568" s="7" t="str">
        <f aca="false">IF(E1568&gt;0,"Yes",IF(E1568&lt;0,"No (Paternity higher)","Equal"))</f>
        <v>Yes</v>
      </c>
    </row>
    <row r="1569" customFormat="false" ht="15" hidden="false" customHeight="false" outlineLevel="0" collapsed="false">
      <c r="A1569" s="5" t="str">
        <f aca="false">'Source Data'!A1566</f>
        <v>Macy's Technology</v>
      </c>
      <c r="B1569" s="5" t="str">
        <f aca="false">'Source Data'!B1566</f>
        <v>Information Services: Technology</v>
      </c>
      <c r="C1569" s="6" t="n">
        <f aca="false">'Source Data'!C1566</f>
        <v>8</v>
      </c>
      <c r="D1569" s="6" t="n">
        <f aca="false">'Source Data'!E1566</f>
        <v>0</v>
      </c>
      <c r="E1569" s="6" t="n">
        <f aca="false">IFERROR(N(C1569)-N(D1569),"")</f>
        <v>8</v>
      </c>
      <c r="F1569" s="7" t="str">
        <f aca="false">IF(E1569&gt;0,"Yes",IF(E1569&lt;0,"No (Paternity higher)","Equal"))</f>
        <v>Yes</v>
      </c>
    </row>
    <row r="1570" customFormat="false" ht="15" hidden="false" customHeight="false" outlineLevel="0" collapsed="false">
      <c r="A1570" s="5" t="str">
        <f aca="false">'Source Data'!A1567</f>
        <v>Wisetech Global</v>
      </c>
      <c r="B1570" s="5" t="str">
        <f aca="false">'Source Data'!B1567</f>
        <v>Information Services: Technology</v>
      </c>
      <c r="C1570" s="6" t="n">
        <f aca="false">'Source Data'!C1567</f>
        <v>0</v>
      </c>
      <c r="D1570" s="6" t="n">
        <f aca="false">'Source Data'!E1567</f>
        <v>0</v>
      </c>
      <c r="E1570" s="6" t="n">
        <f aca="false">IFERROR(N(C1570)-N(D1570),"")</f>
        <v>0</v>
      </c>
      <c r="F1570" s="7" t="str">
        <f aca="false">IF(E1570&gt;0,"Yes",IF(E1570&lt;0,"No (Paternity higher)","Equal"))</f>
        <v>Equal</v>
      </c>
    </row>
    <row r="1571" customFormat="false" ht="15" hidden="false" customHeight="false" outlineLevel="0" collapsed="false">
      <c r="A1571" s="5" t="str">
        <f aca="false">'Source Data'!A1568</f>
        <v>Yext</v>
      </c>
      <c r="B1571" s="5" t="str">
        <f aca="false">'Source Data'!B1568</f>
        <v>Information Services: Technology</v>
      </c>
      <c r="C1571" s="6" t="n">
        <f aca="false">'Source Data'!C1568</f>
        <v>16</v>
      </c>
      <c r="D1571" s="6" t="n">
        <f aca="false">'Source Data'!E1568</f>
        <v>0</v>
      </c>
      <c r="E1571" s="6" t="n">
        <f aca="false">IFERROR(N(C1571)-N(D1571),"")</f>
        <v>16</v>
      </c>
      <c r="F1571" s="7" t="str">
        <f aca="false">IF(E1571&gt;0,"Yes",IF(E1571&lt;0,"No (Paternity higher)","Equal"))</f>
        <v>Yes</v>
      </c>
    </row>
    <row r="1572" customFormat="false" ht="15" hidden="false" customHeight="false" outlineLevel="0" collapsed="false">
      <c r="A1572" s="5" t="str">
        <f aca="false">'Source Data'!A1569</f>
        <v>Matrix Absence Management, Inc.</v>
      </c>
      <c r="B1572" s="5" t="str">
        <f aca="false">'Source Data'!B1569</f>
        <v>Insurance: Diversified</v>
      </c>
      <c r="C1572" s="6" t="n">
        <f aca="false">'Source Data'!C1569</f>
        <v>8</v>
      </c>
      <c r="D1572" s="6" t="n">
        <f aca="false">'Source Data'!E1569</f>
        <v>0</v>
      </c>
      <c r="E1572" s="6" t="n">
        <f aca="false">IFERROR(N(C1572)-N(D1572),"")</f>
        <v>8</v>
      </c>
      <c r="F1572" s="7" t="str">
        <f aca="false">IF(E1572&gt;0,"Yes",IF(E1572&lt;0,"No (Paternity higher)","Equal"))</f>
        <v>Yes</v>
      </c>
    </row>
    <row r="1573" customFormat="false" ht="15" hidden="false" customHeight="false" outlineLevel="0" collapsed="false">
      <c r="A1573" s="5" t="str">
        <f aca="false">'Source Data'!A1570</f>
        <v>Elevance Health</v>
      </c>
      <c r="B1573" s="5" t="str">
        <f aca="false">'Source Data'!B1570</f>
        <v>Insurance: Health</v>
      </c>
      <c r="C1573" s="6" t="n">
        <f aca="false">'Source Data'!C1570</f>
        <v>6</v>
      </c>
      <c r="D1573" s="6" t="n">
        <f aca="false">'Source Data'!E1570</f>
        <v>0</v>
      </c>
      <c r="E1573" s="6" t="n">
        <f aca="false">IFERROR(N(C1573)-N(D1573),"")</f>
        <v>6</v>
      </c>
      <c r="F1573" s="7" t="str">
        <f aca="false">IF(E1573&gt;0,"Yes",IF(E1573&lt;0,"No (Paternity higher)","Equal"))</f>
        <v>Yes</v>
      </c>
    </row>
    <row r="1574" customFormat="false" ht="15" hidden="false" customHeight="false" outlineLevel="0" collapsed="false">
      <c r="A1574" s="5" t="str">
        <f aca="false">'Source Data'!A1571</f>
        <v>Auto-Owners Insurance</v>
      </c>
      <c r="B1574" s="5" t="str">
        <f aca="false">'Source Data'!B1571</f>
        <v>Insurance: Property &amp; Casualty</v>
      </c>
      <c r="C1574" s="6" t="n">
        <f aca="false">'Source Data'!C1571</f>
        <v>1</v>
      </c>
      <c r="D1574" s="6" t="n">
        <f aca="false">'Source Data'!E1571</f>
        <v>0</v>
      </c>
      <c r="E1574" s="6" t="n">
        <f aca="false">IFERROR(N(C1574)-N(D1574),"")</f>
        <v>1</v>
      </c>
      <c r="F1574" s="7" t="str">
        <f aca="false">IF(E1574&gt;0,"Yes",IF(E1574&lt;0,"No (Paternity higher)","Equal"))</f>
        <v>Yes</v>
      </c>
    </row>
    <row r="1575" customFormat="false" ht="15" hidden="false" customHeight="false" outlineLevel="0" collapsed="false">
      <c r="A1575" s="5" t="str">
        <f aca="false">'Source Data'!A1572</f>
        <v>Hapag-Lloyd</v>
      </c>
      <c r="B1575" s="5" t="str">
        <f aca="false">'Source Data'!B1572</f>
        <v>Maritime</v>
      </c>
      <c r="C1575" s="6" t="n">
        <f aca="false">'Source Data'!C1572</f>
        <v>14</v>
      </c>
      <c r="D1575" s="6" t="n">
        <f aca="false">'Source Data'!E1572</f>
        <v>0</v>
      </c>
      <c r="E1575" s="6" t="n">
        <f aca="false">IFERROR(N(C1575)-N(D1575),"")</f>
        <v>14</v>
      </c>
      <c r="F1575" s="7" t="str">
        <f aca="false">IF(E1575&gt;0,"Yes",IF(E1575&lt;0,"No (Paternity higher)","Equal"))</f>
        <v>Yes</v>
      </c>
    </row>
    <row r="1576" customFormat="false" ht="15" hidden="false" customHeight="false" outlineLevel="0" collapsed="false">
      <c r="A1576" s="5" t="str">
        <f aca="false">'Source Data'!A1573</f>
        <v>BASF</v>
      </c>
      <c r="B1576" s="5" t="str">
        <f aca="false">'Source Data'!B1573</f>
        <v>Natural Resources: Chemicals</v>
      </c>
      <c r="C1576" s="6" t="n">
        <f aca="false">'Source Data'!C1573</f>
        <v>18</v>
      </c>
      <c r="D1576" s="6" t="n">
        <f aca="false">'Source Data'!E1573</f>
        <v>0</v>
      </c>
      <c r="E1576" s="6" t="n">
        <f aca="false">IFERROR(N(C1576)-N(D1576),"")</f>
        <v>18</v>
      </c>
      <c r="F1576" s="7" t="str">
        <f aca="false">IF(E1576&gt;0,"Yes",IF(E1576&lt;0,"No (Paternity higher)","Equal"))</f>
        <v>Yes</v>
      </c>
    </row>
    <row r="1577" customFormat="false" ht="15" hidden="false" customHeight="false" outlineLevel="0" collapsed="false">
      <c r="A1577" s="5" t="str">
        <f aca="false">'Source Data'!A1574</f>
        <v>Alpha Natural Resources</v>
      </c>
      <c r="B1577" s="5" t="str">
        <f aca="false">'Source Data'!B1574</f>
        <v>Natural Resources: Metals &amp; Mining</v>
      </c>
      <c r="C1577" s="6" t="n">
        <f aca="false">'Source Data'!C1574</f>
        <v>6</v>
      </c>
      <c r="D1577" s="6" t="n">
        <f aca="false">'Source Data'!E1574</f>
        <v>0</v>
      </c>
      <c r="E1577" s="6" t="n">
        <f aca="false">IFERROR(N(C1577)-N(D1577),"")</f>
        <v>6</v>
      </c>
      <c r="F1577" s="7" t="str">
        <f aca="false">IF(E1577&gt;0,"Yes",IF(E1577&lt;0,"No (Paternity higher)","Equal"))</f>
        <v>Yes</v>
      </c>
    </row>
    <row r="1578" customFormat="false" ht="15" hidden="false" customHeight="false" outlineLevel="0" collapsed="false">
      <c r="A1578" s="5" t="str">
        <f aca="false">'Source Data'!A1575</f>
        <v>Barrick Gold Corporation</v>
      </c>
      <c r="B1578" s="5" t="str">
        <f aca="false">'Source Data'!B1575</f>
        <v>Natural Resources: Metals &amp; Mining</v>
      </c>
      <c r="C1578" s="6" t="n">
        <f aca="false">'Source Data'!C1575</f>
        <v>30</v>
      </c>
      <c r="D1578" s="6" t="n">
        <f aca="false">'Source Data'!E1575</f>
        <v>0</v>
      </c>
      <c r="E1578" s="6" t="n">
        <f aca="false">IFERROR(N(C1578)-N(D1578),"")</f>
        <v>30</v>
      </c>
      <c r="F1578" s="7" t="str">
        <f aca="false">IF(E1578&gt;0,"Yes",IF(E1578&lt;0,"No (Paternity higher)","Equal"))</f>
        <v>Yes</v>
      </c>
    </row>
    <row r="1579" customFormat="false" ht="15" hidden="false" customHeight="false" outlineLevel="0" collapsed="false">
      <c r="A1579" s="5" t="str">
        <f aca="false">'Source Data'!A1576</f>
        <v>BP</v>
      </c>
      <c r="B1579" s="5" t="str">
        <f aca="false">'Source Data'!B1576</f>
        <v>Natural Resources: Oil &amp; Gas</v>
      </c>
      <c r="C1579" s="6" t="n">
        <f aca="false">'Source Data'!C1576</f>
        <v>16</v>
      </c>
      <c r="D1579" s="6" t="n">
        <f aca="false">'Source Data'!E1576</f>
        <v>0</v>
      </c>
      <c r="E1579" s="6" t="n">
        <f aca="false">IFERROR(N(C1579)-N(D1579),"")</f>
        <v>16</v>
      </c>
      <c r="F1579" s="7" t="str">
        <f aca="false">IF(E1579&gt;0,"Yes",IF(E1579&lt;0,"No (Paternity higher)","Equal"))</f>
        <v>Yes</v>
      </c>
    </row>
    <row r="1580" customFormat="false" ht="15" hidden="false" customHeight="false" outlineLevel="0" collapsed="false">
      <c r="A1580" s="5" t="str">
        <f aca="false">'Source Data'!A1577</f>
        <v>Halliburton</v>
      </c>
      <c r="B1580" s="5" t="str">
        <f aca="false">'Source Data'!B1577</f>
        <v>Natural Resources: Oilfield Services</v>
      </c>
      <c r="C1580" s="6" t="n">
        <f aca="false">'Source Data'!C1577</f>
        <v>8</v>
      </c>
      <c r="D1580" s="6" t="n">
        <f aca="false">'Source Data'!E1577</f>
        <v>0</v>
      </c>
      <c r="E1580" s="6" t="n">
        <f aca="false">IFERROR(N(C1580)-N(D1580),"")</f>
        <v>8</v>
      </c>
      <c r="F1580" s="7" t="str">
        <f aca="false">IF(E1580&gt;0,"Yes",IF(E1580&lt;0,"No (Paternity higher)","Equal"))</f>
        <v>Yes</v>
      </c>
    </row>
    <row r="1581" customFormat="false" ht="15" hidden="false" customHeight="false" outlineLevel="0" collapsed="false">
      <c r="A1581" s="5" t="str">
        <f aca="false">'Source Data'!A1578</f>
        <v>National Oilwell Varco, Inc.</v>
      </c>
      <c r="B1581" s="5" t="str">
        <f aca="false">'Source Data'!B1578</f>
        <v>Natural Resources: Oilfield Services</v>
      </c>
      <c r="C1581" s="6" t="n">
        <f aca="false">'Source Data'!C1578</f>
        <v>2</v>
      </c>
      <c r="D1581" s="6" t="n">
        <f aca="false">'Source Data'!E1578</f>
        <v>0</v>
      </c>
      <c r="E1581" s="6" t="n">
        <f aca="false">IFERROR(N(C1581)-N(D1581),"")</f>
        <v>2</v>
      </c>
      <c r="F1581" s="7" t="str">
        <f aca="false">IF(E1581&gt;0,"Yes",IF(E1581&lt;0,"No (Paternity higher)","Equal"))</f>
        <v>Yes</v>
      </c>
    </row>
    <row r="1582" customFormat="false" ht="15" hidden="false" customHeight="false" outlineLevel="0" collapsed="false">
      <c r="A1582" s="5" t="str">
        <f aca="false">'Source Data'!A1579</f>
        <v>Silicon Valley Employers Forum</v>
      </c>
      <c r="B1582" s="5" t="str">
        <f aca="false">'Source Data'!B1579</f>
        <v>Nonprofit: Trade Organization</v>
      </c>
      <c r="C1582" s="6" t="n">
        <f aca="false">'Source Data'!C1579</f>
        <v>12</v>
      </c>
      <c r="D1582" s="6" t="n">
        <f aca="false">'Source Data'!E1579</f>
        <v>0</v>
      </c>
      <c r="E1582" s="6" t="n">
        <f aca="false">IFERROR(N(C1582)-N(D1582),"")</f>
        <v>12</v>
      </c>
      <c r="F1582" s="7" t="str">
        <f aca="false">IF(E1582&gt;0,"Yes",IF(E1582&lt;0,"No (Paternity higher)","Equal"))</f>
        <v>Yes</v>
      </c>
    </row>
    <row r="1583" customFormat="false" ht="15" hidden="false" customHeight="false" outlineLevel="0" collapsed="false">
      <c r="A1583" s="5" t="str">
        <f aca="false">'Source Data'!A1580</f>
        <v>SPEEA</v>
      </c>
      <c r="B1583" s="5" t="str">
        <f aca="false">'Source Data'!B1580</f>
        <v>Nonprofit: Trade Organization</v>
      </c>
      <c r="C1583" s="6" t="n">
        <f aca="false">'Source Data'!C1580</f>
        <v>0</v>
      </c>
      <c r="D1583" s="6" t="n">
        <f aca="false">'Source Data'!E1580</f>
        <v>0</v>
      </c>
      <c r="E1583" s="6" t="n">
        <f aca="false">IFERROR(N(C1583)-N(D1583),"")</f>
        <v>0</v>
      </c>
      <c r="F1583" s="7" t="str">
        <f aca="false">IF(E1583&gt;0,"Yes",IF(E1583&lt;0,"No (Paternity higher)","Equal"))</f>
        <v>Equal</v>
      </c>
    </row>
    <row r="1584" customFormat="false" ht="15" hidden="false" customHeight="false" outlineLevel="0" collapsed="false">
      <c r="A1584" s="5" t="str">
        <f aca="false">'Source Data'!A1581</f>
        <v>AmerisourceBergen</v>
      </c>
      <c r="B1584" s="5" t="str">
        <f aca="false">'Source Data'!B1581</f>
        <v>Pharmaceutical</v>
      </c>
      <c r="C1584" s="6" t="n">
        <f aca="false">'Source Data'!C1581</f>
        <v>8</v>
      </c>
      <c r="D1584" s="6" t="n">
        <f aca="false">'Source Data'!E1581</f>
        <v>0</v>
      </c>
      <c r="E1584" s="6" t="n">
        <f aca="false">IFERROR(N(C1584)-N(D1584),"")</f>
        <v>8</v>
      </c>
      <c r="F1584" s="7" t="str">
        <f aca="false">IF(E1584&gt;0,"Yes",IF(E1584&lt;0,"No (Paternity higher)","Equal"))</f>
        <v>Yes</v>
      </c>
    </row>
    <row r="1585" customFormat="false" ht="15" hidden="false" customHeight="false" outlineLevel="0" collapsed="false">
      <c r="A1585" s="5" t="str">
        <f aca="false">'Source Data'!A1582</f>
        <v>Transwestern</v>
      </c>
      <c r="B1585" s="5" t="str">
        <f aca="false">'Source Data'!B1582</f>
        <v>Real Estate: Development &amp; Management</v>
      </c>
      <c r="C1585" s="6" t="n">
        <f aca="false">'Source Data'!C1582</f>
        <v>7</v>
      </c>
      <c r="D1585" s="6" t="n">
        <f aca="false">'Source Data'!E1582</f>
        <v>0</v>
      </c>
      <c r="E1585" s="6" t="n">
        <f aca="false">IFERROR(N(C1585)-N(D1585),"")</f>
        <v>7</v>
      </c>
      <c r="F1585" s="7" t="str">
        <f aca="false">IF(E1585&gt;0,"Yes",IF(E1585&lt;0,"No (Paternity higher)","Equal"))</f>
        <v>Yes</v>
      </c>
    </row>
    <row r="1586" customFormat="false" ht="15" hidden="false" customHeight="false" outlineLevel="0" collapsed="false">
      <c r="A1586" s="5" t="str">
        <f aca="false">'Source Data'!A1583</f>
        <v>Trader JoeÕs</v>
      </c>
      <c r="B1586" s="5" t="str">
        <f aca="false">'Source Data'!B1583</f>
        <v>Retail: Convenience Store</v>
      </c>
      <c r="C1586" s="6" t="n">
        <f aca="false">'Source Data'!C1583</f>
        <v>0</v>
      </c>
      <c r="D1586" s="6" t="n">
        <f aca="false">'Source Data'!E1583</f>
        <v>0</v>
      </c>
      <c r="E1586" s="6" t="n">
        <f aca="false">IFERROR(N(C1586)-N(D1586),"")</f>
        <v>0</v>
      </c>
      <c r="F1586" s="7" t="str">
        <f aca="false">IF(E1586&gt;0,"Yes",IF(E1586&lt;0,"No (Paternity higher)","Equal"))</f>
        <v>Equal</v>
      </c>
    </row>
    <row r="1587" customFormat="false" ht="15" hidden="false" customHeight="false" outlineLevel="0" collapsed="false">
      <c r="A1587" s="5" t="str">
        <f aca="false">'Source Data'!A1584</f>
        <v>Harrods</v>
      </c>
      <c r="B1587" s="5" t="str">
        <f aca="false">'Source Data'!B1584</f>
        <v>Retail: Department Store</v>
      </c>
      <c r="C1587" s="6" t="n">
        <f aca="false">'Source Data'!C1584</f>
        <v>10</v>
      </c>
      <c r="D1587" s="6" t="n">
        <f aca="false">'Source Data'!E1584</f>
        <v>0</v>
      </c>
      <c r="E1587" s="6" t="n">
        <f aca="false">IFERROR(N(C1587)-N(D1587),"")</f>
        <v>10</v>
      </c>
      <c r="F1587" s="7" t="str">
        <f aca="false">IF(E1587&gt;0,"Yes",IF(E1587&lt;0,"No (Paternity higher)","Equal"))</f>
        <v>Yes</v>
      </c>
    </row>
    <row r="1588" customFormat="false" ht="15" hidden="false" customHeight="false" outlineLevel="0" collapsed="false">
      <c r="A1588" s="5" t="str">
        <f aca="false">'Source Data'!A1585</f>
        <v>Tractor Supply Company</v>
      </c>
      <c r="B1588" s="5" t="str">
        <f aca="false">'Source Data'!B1585</f>
        <v>Retail: General Merchandise</v>
      </c>
      <c r="C1588" s="6" t="n">
        <f aca="false">'Source Data'!C1585</f>
        <v>6</v>
      </c>
      <c r="D1588" s="6" t="n">
        <f aca="false">'Source Data'!E1585</f>
        <v>0</v>
      </c>
      <c r="E1588" s="6" t="n">
        <f aca="false">IFERROR(N(C1588)-N(D1588),"")</f>
        <v>6</v>
      </c>
      <c r="F1588" s="7" t="str">
        <f aca="false">IF(E1588&gt;0,"Yes",IF(E1588&lt;0,"No (Paternity higher)","Equal"))</f>
        <v>Yes</v>
      </c>
    </row>
    <row r="1589" customFormat="false" ht="15" hidden="false" customHeight="false" outlineLevel="0" collapsed="false">
      <c r="A1589" s="5" t="str">
        <f aca="false">'Source Data'!A1586</f>
        <v>American Eagle Outfitters</v>
      </c>
      <c r="B1589" s="5" t="str">
        <f aca="false">'Source Data'!B1586</f>
        <v>Retail: Shoes, Accessories and Apparel</v>
      </c>
      <c r="C1589" s="6" t="n">
        <f aca="false">'Source Data'!C1586</f>
        <v>4</v>
      </c>
      <c r="D1589" s="6" t="n">
        <f aca="false">'Source Data'!E1586</f>
        <v>0</v>
      </c>
      <c r="E1589" s="6" t="n">
        <f aca="false">IFERROR(N(C1589)-N(D1589),"")</f>
        <v>4</v>
      </c>
      <c r="F1589" s="7" t="str">
        <f aca="false">IF(E1589&gt;0,"Yes",IF(E1589&lt;0,"No (Paternity higher)","Equal"))</f>
        <v>Yes</v>
      </c>
    </row>
    <row r="1590" customFormat="false" ht="15" hidden="false" customHeight="false" outlineLevel="0" collapsed="false">
      <c r="A1590" s="5" t="str">
        <f aca="false">'Source Data'!A1587</f>
        <v>LVMH</v>
      </c>
      <c r="B1590" s="5" t="str">
        <f aca="false">'Source Data'!B1587</f>
        <v>Retail: Shoes, Accessories and Apparel</v>
      </c>
      <c r="C1590" s="6" t="n">
        <f aca="false">'Source Data'!C1587</f>
        <v>10</v>
      </c>
      <c r="D1590" s="6" t="n">
        <f aca="false">'Source Data'!E1587</f>
        <v>0</v>
      </c>
      <c r="E1590" s="6" t="n">
        <f aca="false">IFERROR(N(C1590)-N(D1590),"")</f>
        <v>10</v>
      </c>
      <c r="F1590" s="7" t="str">
        <f aca="false">IF(E1590&gt;0,"Yes",IF(E1590&lt;0,"No (Paternity higher)","Equal"))</f>
        <v>Yes</v>
      </c>
    </row>
    <row r="1591" customFormat="false" ht="15" hidden="false" customHeight="false" outlineLevel="0" collapsed="false">
      <c r="A1591" s="5" t="str">
        <f aca="false">'Source Data'!A1588</f>
        <v>Steve Madden</v>
      </c>
      <c r="B1591" s="5" t="str">
        <f aca="false">'Source Data'!B1588</f>
        <v>Retail: Shoes, Accessories and Apparel</v>
      </c>
      <c r="C1591" s="6" t="n">
        <f aca="false">'Source Data'!C1588</f>
        <v>6</v>
      </c>
      <c r="D1591" s="6" t="n">
        <f aca="false">'Source Data'!E1588</f>
        <v>0</v>
      </c>
      <c r="E1591" s="6" t="n">
        <f aca="false">IFERROR(N(C1591)-N(D1591),"")</f>
        <v>6</v>
      </c>
      <c r="F1591" s="7" t="str">
        <f aca="false">IF(E1591&gt;0,"Yes",IF(E1591&lt;0,"No (Paternity higher)","Equal"))</f>
        <v>Yes</v>
      </c>
    </row>
    <row r="1592" customFormat="false" ht="15" hidden="false" customHeight="false" outlineLevel="0" collapsed="false">
      <c r="A1592" s="5" t="str">
        <f aca="false">'Source Data'!A1589</f>
        <v>Food Lion</v>
      </c>
      <c r="B1592" s="5" t="str">
        <f aca="false">'Source Data'!B1589</f>
        <v>Retail: Supermarket Company</v>
      </c>
      <c r="C1592" s="6" t="n">
        <f aca="false">'Source Data'!C1589</f>
        <v>0</v>
      </c>
      <c r="D1592" s="6" t="n">
        <f aca="false">'Source Data'!E1589</f>
        <v>0</v>
      </c>
      <c r="E1592" s="6" t="n">
        <f aca="false">IFERROR(N(C1592)-N(D1592),"")</f>
        <v>0</v>
      </c>
      <c r="F1592" s="7" t="str">
        <f aca="false">IF(E1592&gt;0,"Yes",IF(E1592&lt;0,"No (Paternity higher)","Equal"))</f>
        <v>Equal</v>
      </c>
    </row>
    <row r="1593" customFormat="false" ht="15" hidden="false" customHeight="false" outlineLevel="0" collapsed="false">
      <c r="A1593" s="5" t="str">
        <f aca="false">'Source Data'!A1590</f>
        <v>Bright Horizons</v>
      </c>
      <c r="B1593" s="5" t="str">
        <f aca="false">'Source Data'!B1590</f>
        <v>Services: Daycare</v>
      </c>
      <c r="C1593" s="6" t="n">
        <f aca="false">'Source Data'!C1590</f>
        <v>0</v>
      </c>
      <c r="D1593" s="6" t="n">
        <f aca="false">'Source Data'!E1590</f>
        <v>0</v>
      </c>
      <c r="E1593" s="6" t="n">
        <f aca="false">IFERROR(N(C1593)-N(D1593),"")</f>
        <v>0</v>
      </c>
      <c r="F1593" s="7" t="str">
        <f aca="false">IF(E1593&gt;0,"Yes",IF(E1593&lt;0,"No (Paternity higher)","Equal"))</f>
        <v>Equal</v>
      </c>
    </row>
    <row r="1594" customFormat="false" ht="15" hidden="false" customHeight="false" outlineLevel="0" collapsed="false">
      <c r="A1594" s="5" t="str">
        <f aca="false">'Source Data'!A1591</f>
        <v>Talent Inc.</v>
      </c>
      <c r="B1594" s="5" t="str">
        <f aca="false">'Source Data'!B1591</f>
        <v>Services: Other</v>
      </c>
      <c r="C1594" s="6" t="n">
        <f aca="false">'Source Data'!C1591</f>
        <v>10</v>
      </c>
      <c r="D1594" s="6" t="n">
        <f aca="false">'Source Data'!E1591</f>
        <v>0</v>
      </c>
      <c r="E1594" s="6" t="n">
        <f aca="false">IFERROR(N(C1594)-N(D1594),"")</f>
        <v>10</v>
      </c>
      <c r="F1594" s="7" t="str">
        <f aca="false">IF(E1594&gt;0,"Yes",IF(E1594&lt;0,"No (Paternity higher)","Equal"))</f>
        <v>Yes</v>
      </c>
    </row>
    <row r="1595" customFormat="false" ht="15" hidden="false" customHeight="false" outlineLevel="0" collapsed="false">
      <c r="A1595" s="5" t="str">
        <f aca="false">'Source Data'!A1592</f>
        <v>SHI International Corp.</v>
      </c>
      <c r="B1595" s="5" t="str">
        <f aca="false">'Source Data'!B1592</f>
        <v>Technology: B2B Tech Services</v>
      </c>
      <c r="C1595" s="6" t="n">
        <f aca="false">'Source Data'!C1592</f>
        <v>0</v>
      </c>
      <c r="D1595" s="6" t="n">
        <f aca="false">'Source Data'!E1592</f>
        <v>0</v>
      </c>
      <c r="E1595" s="6" t="n">
        <f aca="false">IFERROR(N(C1595)-N(D1595),"")</f>
        <v>0</v>
      </c>
      <c r="F1595" s="7" t="str">
        <f aca="false">IF(E1595&gt;0,"Yes",IF(E1595&lt;0,"No (Paternity higher)","Equal"))</f>
        <v>Equal</v>
      </c>
    </row>
    <row r="1596" customFormat="false" ht="15" hidden="false" customHeight="false" outlineLevel="0" collapsed="false">
      <c r="A1596" s="5" t="str">
        <f aca="false">'Source Data'!A1593</f>
        <v>Vistaprint</v>
      </c>
      <c r="B1596" s="5" t="str">
        <f aca="false">'Source Data'!B1593</f>
        <v>Technology: Consumer Internet</v>
      </c>
      <c r="C1596" s="6" t="n">
        <f aca="false">'Source Data'!C1593</f>
        <v>16</v>
      </c>
      <c r="D1596" s="6" t="n">
        <f aca="false">'Source Data'!E1593</f>
        <v>0</v>
      </c>
      <c r="E1596" s="6" t="n">
        <f aca="false">IFERROR(N(C1596)-N(D1596),"")</f>
        <v>16</v>
      </c>
      <c r="F1596" s="7" t="str">
        <f aca="false">IF(E1596&gt;0,"Yes",IF(E1596&lt;0,"No (Paternity higher)","Equal"))</f>
        <v>Yes</v>
      </c>
    </row>
    <row r="1597" customFormat="false" ht="15" hidden="false" customHeight="false" outlineLevel="0" collapsed="false">
      <c r="A1597" s="5" t="str">
        <f aca="false">'Source Data'!A1594</f>
        <v>Fujifilm Global</v>
      </c>
      <c r="B1597" s="5" t="str">
        <f aca="false">'Source Data'!B1594</f>
        <v>Technology: Manufacturing</v>
      </c>
      <c r="C1597" s="6" t="n">
        <f aca="false">'Source Data'!C1594</f>
        <v>12</v>
      </c>
      <c r="D1597" s="6" t="n">
        <f aca="false">'Source Data'!E1594</f>
        <v>0</v>
      </c>
      <c r="E1597" s="6" t="n">
        <f aca="false">IFERROR(N(C1597)-N(D1597),"")</f>
        <v>12</v>
      </c>
      <c r="F1597" s="7" t="str">
        <f aca="false">IF(E1597&gt;0,"Yes",IF(E1597&lt;0,"No (Paternity higher)","Equal"))</f>
        <v>Yes</v>
      </c>
    </row>
    <row r="1598" customFormat="false" ht="15" hidden="false" customHeight="false" outlineLevel="0" collapsed="false">
      <c r="A1598" s="5" t="str">
        <f aca="false">'Source Data'!A1595</f>
        <v>PlayStation</v>
      </c>
      <c r="B1598" s="5" t="str">
        <f aca="false">'Source Data'!B1595</f>
        <v>Technology: Manufacturing</v>
      </c>
      <c r="C1598" s="6" t="n">
        <f aca="false">'Source Data'!C1595</f>
        <v>12</v>
      </c>
      <c r="D1598" s="6" t="n">
        <f aca="false">'Source Data'!E1595</f>
        <v>0</v>
      </c>
      <c r="E1598" s="6" t="n">
        <f aca="false">IFERROR(N(C1598)-N(D1598),"")</f>
        <v>12</v>
      </c>
      <c r="F1598" s="7" t="str">
        <f aca="false">IF(E1598&gt;0,"Yes",IF(E1598&lt;0,"No (Paternity higher)","Equal"))</f>
        <v>Yes</v>
      </c>
    </row>
    <row r="1599" customFormat="false" ht="15" hidden="false" customHeight="false" outlineLevel="0" collapsed="false">
      <c r="A1599" s="5" t="str">
        <f aca="false">'Source Data'!A1596</f>
        <v>Druva</v>
      </c>
      <c r="B1599" s="5" t="str">
        <f aca="false">'Source Data'!B1596</f>
        <v>Technology: Software</v>
      </c>
      <c r="C1599" s="6" t="n">
        <f aca="false">'Source Data'!C1596</f>
        <v>2</v>
      </c>
      <c r="D1599" s="6" t="n">
        <f aca="false">'Source Data'!E1596</f>
        <v>0</v>
      </c>
      <c r="E1599" s="6" t="n">
        <f aca="false">IFERROR(N(C1599)-N(D1599),"")</f>
        <v>2</v>
      </c>
      <c r="F1599" s="7" t="str">
        <f aca="false">IF(E1599&gt;0,"Yes",IF(E1599&lt;0,"No (Paternity higher)","Equal"))</f>
        <v>Yes</v>
      </c>
    </row>
    <row r="1600" customFormat="false" ht="15" hidden="false" customHeight="false" outlineLevel="0" collapsed="false">
      <c r="A1600" s="5" t="str">
        <f aca="false">'Source Data'!A1597</f>
        <v>SurveyGizmo</v>
      </c>
      <c r="B1600" s="5" t="str">
        <f aca="false">'Source Data'!B1597</f>
        <v>Technology: Software</v>
      </c>
      <c r="C1600" s="6" t="n">
        <f aca="false">'Source Data'!C1597</f>
        <v>4</v>
      </c>
      <c r="D1600" s="6" t="n">
        <f aca="false">'Source Data'!E1597</f>
        <v>0</v>
      </c>
      <c r="E1600" s="6" t="n">
        <f aca="false">IFERROR(N(C1600)-N(D1600),"")</f>
        <v>4</v>
      </c>
      <c r="F1600" s="7" t="str">
        <f aca="false">IF(E1600&gt;0,"Yes",IF(E1600&lt;0,"No (Paternity higher)","Equal"))</f>
        <v>Yes</v>
      </c>
    </row>
    <row r="1601" customFormat="false" ht="15" hidden="false" customHeight="false" outlineLevel="0" collapsed="false">
      <c r="A1601" s="5" t="str">
        <f aca="false">'Source Data'!A1598</f>
        <v>Xero</v>
      </c>
      <c r="B1601" s="5" t="str">
        <f aca="false">'Source Data'!B1598</f>
        <v>Technology: Software</v>
      </c>
      <c r="C1601" s="6" t="n">
        <f aca="false">'Source Data'!C1598</f>
        <v>6</v>
      </c>
      <c r="D1601" s="6" t="n">
        <f aca="false">'Source Data'!E1598</f>
        <v>0</v>
      </c>
      <c r="E1601" s="6" t="n">
        <f aca="false">IFERROR(N(C1601)-N(D1601),"")</f>
        <v>6</v>
      </c>
      <c r="F1601" s="7" t="str">
        <f aca="false">IF(E1601&gt;0,"Yes",IF(E1601&lt;0,"No (Paternity higher)","Equal"))</f>
        <v>Yes</v>
      </c>
    </row>
    <row r="1602" customFormat="false" ht="15" hidden="false" customHeight="false" outlineLevel="0" collapsed="false">
      <c r="A1602" s="5" t="str">
        <f aca="false">'Source Data'!A1599</f>
        <v>Fedex Supply Chain</v>
      </c>
      <c r="B1602" s="5" t="str">
        <f aca="false">'Source Data'!B1599</f>
        <v>Transportation: Freight &amp; Logistics</v>
      </c>
      <c r="C1602" s="6" t="n">
        <f aca="false">'Source Data'!C1599</f>
        <v>2</v>
      </c>
      <c r="D1602" s="6" t="n">
        <f aca="false">'Source Data'!E1599</f>
        <v>0</v>
      </c>
      <c r="E1602" s="6" t="n">
        <f aca="false">IFERROR(N(C1602)-N(D1602),"")</f>
        <v>2</v>
      </c>
      <c r="F1602" s="7" t="str">
        <f aca="false">IF(E1602&gt;0,"Yes",IF(E1602&lt;0,"No (Paternity higher)","Equal"))</f>
        <v>Yes</v>
      </c>
    </row>
    <row r="1603" customFormat="false" ht="15" hidden="false" customHeight="false" outlineLevel="0" collapsed="false">
      <c r="A1603" s="5" t="str">
        <f aca="false">'Source Data'!A1600</f>
        <v>Schneider National</v>
      </c>
      <c r="B1603" s="5" t="str">
        <f aca="false">'Source Data'!B1600</f>
        <v>Transportation: Freight &amp; Logistics</v>
      </c>
      <c r="C1603" s="6" t="n">
        <f aca="false">'Source Data'!C1600</f>
        <v>0</v>
      </c>
      <c r="D1603" s="6" t="n">
        <f aca="false">'Source Data'!E1600</f>
        <v>0</v>
      </c>
      <c r="E1603" s="6" t="n">
        <f aca="false">IFERROR(N(C1603)-N(D1603),"")</f>
        <v>0</v>
      </c>
      <c r="F1603" s="7" t="str">
        <f aca="false">IF(E1603&gt;0,"Yes",IF(E1603&lt;0,"No (Paternity higher)","Equal"))</f>
        <v>Equal</v>
      </c>
    </row>
    <row r="1604" customFormat="false" ht="15" hidden="false" customHeight="false" outlineLevel="0" collapsed="false">
      <c r="A1604" s="5" t="str">
        <f aca="false">'Source Data'!A1601</f>
        <v>HD Supply</v>
      </c>
      <c r="B1604" s="5" t="str">
        <f aca="false">'Source Data'!B1601</f>
        <v>Wholesale</v>
      </c>
      <c r="C1604" s="6" t="n">
        <f aca="false">'Source Data'!C1601</f>
        <v>14</v>
      </c>
      <c r="D1604" s="6" t="n">
        <f aca="false">'Source Data'!E1601</f>
        <v>0</v>
      </c>
      <c r="E1604" s="6" t="n">
        <f aca="false">IFERROR(N(C1604)-N(D1604),"")</f>
        <v>14</v>
      </c>
      <c r="F1604" s="7" t="str">
        <f aca="false">IF(E1604&gt;0,"Yes",IF(E1604&lt;0,"No (Paternity higher)","Equal"))</f>
        <v>Yes</v>
      </c>
    </row>
    <row r="1605" customFormat="false" ht="15" hidden="false" customHeight="false" outlineLevel="0" collapsed="false">
      <c r="A1605" s="5" t="str">
        <f aca="false">'Source Data'!A1602</f>
        <v>Merrimac Industrial Sales</v>
      </c>
      <c r="B1605" s="5" t="str">
        <f aca="false">'Source Data'!B1602</f>
        <v>Wholesale</v>
      </c>
      <c r="C1605" s="6" t="n">
        <f aca="false">'Source Data'!C1602</f>
        <v>0</v>
      </c>
      <c r="D1605" s="6" t="n">
        <f aca="false">'Source Data'!E1602</f>
        <v>0</v>
      </c>
      <c r="E1605" s="6" t="n">
        <f aca="false">IFERROR(N(C1605)-N(D1605),"")</f>
        <v>0</v>
      </c>
      <c r="F1605" s="7" t="str">
        <f aca="false">IF(E1605&gt;0,"Yes",IF(E1605&lt;0,"No (Paternity higher)","Equal"))</f>
        <v>Equal</v>
      </c>
    </row>
  </sheetData>
  <autoFilter ref="A4:F1605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2026-08-26T22:16:49Z</dcterms:created>
  <dc:creator>openpyxl</dc:creator>
  <dc:description/>
  <dc:language>en-US</dc:language>
  <cp:lastModifiedBy/>
  <dcterms:modified xsi:type="dcterms:W3CDTF">2026-08-26T22:16:50Z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